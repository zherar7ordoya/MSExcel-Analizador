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 defaultThemeVersion="124226"/>
  <bookViews>
    <workbookView xWindow="-120" yWindow="-120" windowWidth="20640" windowHeight="11310" activeTab="2"/>
  </bookViews>
  <sheets>
    <sheet name="InputSheet" sheetId="1360" r:id="rId1"/>
    <sheet name="Carolina" sheetId="1354" r:id="rId2"/>
    <sheet name="OutputSheet" sheetId="101" r:id="rId3"/>
  </sheets>
  <definedNames>
    <definedName name="_xlnm.Print_Area" localSheetId="2">OutputSheet!$A:$L</definedName>
    <definedName name="_xlnm.Print_Titles" localSheetId="2">OutputSheet!$1:$1</definedName>
  </definedNames>
  <calcPr calcId="145621"/>
  <pivotCaches>
    <pivotCache cacheId="156" r:id="rId4"/>
  </pivotCaches>
</workbook>
</file>

<file path=xl/calcChain.xml><?xml version="1.0" encoding="utf-8"?>
<calcChain xmlns="http://schemas.openxmlformats.org/spreadsheetml/2006/main">
  <c r="F2" i="1360" l="1"/>
  <c r="F3" i="1360"/>
  <c r="F4" i="1360"/>
  <c r="F5" i="1360"/>
  <c r="F6" i="1360"/>
  <c r="F7" i="1360"/>
  <c r="F8" i="1360"/>
  <c r="F9" i="1360"/>
  <c r="F10" i="1360"/>
  <c r="F11" i="1360"/>
  <c r="F12" i="1360"/>
  <c r="F13" i="1360"/>
  <c r="F14" i="1360"/>
  <c r="F15" i="1360"/>
  <c r="F16" i="1360"/>
  <c r="F17" i="1360"/>
  <c r="F18" i="1360"/>
  <c r="F19" i="1360"/>
  <c r="F20" i="1360"/>
  <c r="F21" i="1360"/>
  <c r="F22" i="1360"/>
  <c r="F23" i="1360"/>
  <c r="F24" i="1360"/>
  <c r="F25" i="1360"/>
  <c r="F26" i="1360"/>
  <c r="F27" i="1360"/>
  <c r="F28" i="1360"/>
  <c r="F29" i="1360"/>
  <c r="F30" i="1360"/>
  <c r="F31" i="1360"/>
  <c r="F32" i="1360"/>
  <c r="F33" i="1360"/>
  <c r="F34" i="1360"/>
  <c r="F35" i="1360"/>
  <c r="F36" i="1360"/>
  <c r="F37" i="1360"/>
  <c r="F38" i="1360"/>
  <c r="F39" i="1360"/>
  <c r="F40" i="1360"/>
  <c r="F41" i="1360"/>
  <c r="F42" i="1360"/>
  <c r="F43" i="1360"/>
  <c r="F44" i="1360"/>
  <c r="F45" i="1360"/>
  <c r="F46" i="1360"/>
  <c r="F47" i="1360"/>
  <c r="F48" i="1360"/>
  <c r="F49" i="1360"/>
  <c r="F50" i="1360"/>
  <c r="F51" i="1360"/>
  <c r="F52" i="1360"/>
  <c r="F53" i="1360"/>
  <c r="F54" i="1360"/>
  <c r="F55" i="1360"/>
  <c r="F56" i="1360"/>
  <c r="F57" i="1360"/>
  <c r="F58" i="1360"/>
  <c r="F59" i="1360"/>
  <c r="F60" i="1360"/>
  <c r="F61" i="1360"/>
  <c r="F62" i="1360"/>
  <c r="F63" i="1360"/>
  <c r="F64" i="1360"/>
  <c r="F65" i="1360"/>
  <c r="F66" i="1360"/>
  <c r="F67" i="1360"/>
  <c r="F68" i="1360"/>
  <c r="F69" i="1360"/>
  <c r="F70" i="1360"/>
  <c r="F71" i="1360"/>
  <c r="F72" i="1360"/>
  <c r="F73" i="1360"/>
  <c r="F74" i="1360"/>
  <c r="F75" i="1360"/>
  <c r="F76" i="1360"/>
  <c r="F77" i="1360"/>
  <c r="F78" i="1360"/>
  <c r="F79" i="1360"/>
  <c r="F80" i="1360"/>
  <c r="F81" i="1360"/>
  <c r="F82" i="1360"/>
  <c r="F83" i="1360"/>
  <c r="F84" i="1360"/>
  <c r="F85" i="1360"/>
  <c r="F86" i="1360"/>
  <c r="F87" i="1360"/>
  <c r="F88" i="1360"/>
  <c r="F89" i="1360"/>
  <c r="F90" i="1360"/>
  <c r="F91" i="1360"/>
  <c r="F92" i="1360"/>
  <c r="F93" i="1360"/>
  <c r="F94" i="1360"/>
  <c r="F95" i="1360"/>
  <c r="F96" i="1360"/>
  <c r="F97" i="1360"/>
  <c r="F98" i="1360"/>
  <c r="F99" i="1360"/>
  <c r="F100" i="1360"/>
  <c r="F101" i="1360"/>
  <c r="F102" i="1360"/>
  <c r="F103" i="1360"/>
  <c r="F104" i="1360"/>
  <c r="F105" i="1360"/>
  <c r="F106" i="1360"/>
  <c r="F107" i="1360"/>
  <c r="F108" i="1360"/>
  <c r="F109" i="1360"/>
  <c r="F110" i="1360"/>
  <c r="F111" i="1360"/>
  <c r="F112" i="1360"/>
  <c r="F113" i="1360"/>
  <c r="F114" i="1360"/>
  <c r="F115" i="1360"/>
  <c r="R2" i="1360"/>
  <c r="S2" i="1360" s="1"/>
  <c r="R3" i="1360"/>
  <c r="S3" i="1360" s="1"/>
  <c r="R4" i="1360"/>
  <c r="S4" i="1360" s="1"/>
  <c r="R5" i="1360"/>
  <c r="S5" i="1360" s="1"/>
  <c r="R6" i="1360"/>
  <c r="S6" i="1360" s="1"/>
  <c r="R7" i="1360"/>
  <c r="S7" i="1360" s="1"/>
  <c r="R8" i="1360"/>
  <c r="S8" i="1360" s="1"/>
  <c r="R9" i="1360"/>
  <c r="S9" i="1360" s="1"/>
  <c r="R10" i="1360"/>
  <c r="S10" i="1360" s="1"/>
  <c r="R11" i="1360"/>
  <c r="S11" i="1360" s="1"/>
  <c r="R12" i="1360"/>
  <c r="S12" i="1360" s="1"/>
  <c r="R13" i="1360"/>
  <c r="S13" i="1360" s="1"/>
  <c r="R14" i="1360"/>
  <c r="S14" i="1360" s="1"/>
  <c r="R15" i="1360"/>
  <c r="S15" i="1360" s="1"/>
  <c r="R16" i="1360"/>
  <c r="S16" i="1360" s="1"/>
  <c r="R17" i="1360"/>
  <c r="S17" i="1360" s="1"/>
  <c r="R18" i="1360"/>
  <c r="S18" i="1360" s="1"/>
  <c r="R19" i="1360"/>
  <c r="S19" i="1360" s="1"/>
  <c r="R20" i="1360"/>
  <c r="S20" i="1360" s="1"/>
  <c r="R21" i="1360"/>
  <c r="S21" i="1360" s="1"/>
  <c r="R22" i="1360"/>
  <c r="S22" i="1360" s="1"/>
  <c r="R23" i="1360"/>
  <c r="S23" i="1360" s="1"/>
  <c r="R24" i="1360"/>
  <c r="S24" i="1360" s="1"/>
  <c r="R25" i="1360"/>
  <c r="S25" i="1360" s="1"/>
  <c r="R26" i="1360"/>
  <c r="S26" i="1360" s="1"/>
  <c r="R27" i="1360"/>
  <c r="S27" i="1360" s="1"/>
  <c r="R28" i="1360"/>
  <c r="S28" i="1360" s="1"/>
  <c r="R29" i="1360"/>
  <c r="S29" i="1360" s="1"/>
  <c r="R30" i="1360"/>
  <c r="S30" i="1360" s="1"/>
  <c r="R31" i="1360"/>
  <c r="S31" i="1360" s="1"/>
  <c r="R32" i="1360"/>
  <c r="S32" i="1360" s="1"/>
  <c r="R33" i="1360"/>
  <c r="S33" i="1360" s="1"/>
  <c r="R34" i="1360"/>
  <c r="S34" i="1360" s="1"/>
  <c r="R35" i="1360"/>
  <c r="S35" i="1360" s="1"/>
  <c r="R36" i="1360"/>
  <c r="S36" i="1360" s="1"/>
  <c r="R37" i="1360"/>
  <c r="S37" i="1360" s="1"/>
  <c r="R38" i="1360"/>
  <c r="S38" i="1360" s="1"/>
  <c r="R39" i="1360"/>
  <c r="S39" i="1360" s="1"/>
  <c r="R40" i="1360"/>
  <c r="S40" i="1360" s="1"/>
  <c r="R41" i="1360"/>
  <c r="S41" i="1360" s="1"/>
  <c r="R42" i="1360"/>
  <c r="S42" i="1360" s="1"/>
  <c r="R43" i="1360"/>
  <c r="S43" i="1360" s="1"/>
  <c r="R44" i="1360"/>
  <c r="S44" i="1360" s="1"/>
  <c r="R45" i="1360"/>
  <c r="S45" i="1360" s="1"/>
  <c r="R46" i="1360"/>
  <c r="S46" i="1360" s="1"/>
  <c r="R47" i="1360"/>
  <c r="S47" i="1360" s="1"/>
  <c r="R48" i="1360"/>
  <c r="S48" i="1360" s="1"/>
  <c r="R49" i="1360"/>
  <c r="S49" i="1360" s="1"/>
  <c r="R50" i="1360"/>
  <c r="S50" i="1360" s="1"/>
  <c r="R51" i="1360"/>
  <c r="S51" i="1360" s="1"/>
  <c r="R52" i="1360"/>
  <c r="S52" i="1360" s="1"/>
  <c r="R53" i="1360"/>
  <c r="S53" i="1360" s="1"/>
  <c r="R54" i="1360"/>
  <c r="S54" i="1360" s="1"/>
  <c r="R55" i="1360"/>
  <c r="S55" i="1360" s="1"/>
  <c r="R56" i="1360"/>
  <c r="S56" i="1360" s="1"/>
  <c r="R57" i="1360"/>
  <c r="S57" i="1360" s="1"/>
  <c r="R58" i="1360"/>
  <c r="S58" i="1360" s="1"/>
  <c r="R59" i="1360"/>
  <c r="S59" i="1360" s="1"/>
  <c r="R60" i="1360"/>
  <c r="S60" i="1360" s="1"/>
  <c r="R61" i="1360"/>
  <c r="S61" i="1360" s="1"/>
  <c r="R62" i="1360"/>
  <c r="S62" i="1360" s="1"/>
  <c r="R63" i="1360"/>
  <c r="S63" i="1360" s="1"/>
  <c r="R64" i="1360"/>
  <c r="S64" i="1360" s="1"/>
  <c r="R65" i="1360"/>
  <c r="S65" i="1360" s="1"/>
  <c r="R66" i="1360"/>
  <c r="S66" i="1360" s="1"/>
  <c r="R67" i="1360"/>
  <c r="S67" i="1360" s="1"/>
  <c r="R68" i="1360"/>
  <c r="S68" i="1360" s="1"/>
  <c r="R69" i="1360"/>
  <c r="S69" i="1360" s="1"/>
  <c r="R70" i="1360"/>
  <c r="S70" i="1360" s="1"/>
  <c r="R71" i="1360"/>
  <c r="S71" i="1360" s="1"/>
  <c r="R72" i="1360"/>
  <c r="S72" i="1360" s="1"/>
  <c r="R73" i="1360"/>
  <c r="S73" i="1360" s="1"/>
  <c r="R74" i="1360"/>
  <c r="S74" i="1360" s="1"/>
  <c r="R75" i="1360"/>
  <c r="S75" i="1360" s="1"/>
  <c r="R76" i="1360"/>
  <c r="S76" i="1360" s="1"/>
  <c r="R77" i="1360"/>
  <c r="S77" i="1360" s="1"/>
  <c r="R78" i="1360"/>
  <c r="S78" i="1360" s="1"/>
  <c r="R79" i="1360"/>
  <c r="S79" i="1360" s="1"/>
  <c r="R80" i="1360"/>
  <c r="S80" i="1360" s="1"/>
  <c r="R81" i="1360"/>
  <c r="S81" i="1360" s="1"/>
  <c r="R82" i="1360"/>
  <c r="S82" i="1360" s="1"/>
  <c r="R83" i="1360"/>
  <c r="S83" i="1360" s="1"/>
  <c r="R84" i="1360"/>
  <c r="S84" i="1360" s="1"/>
  <c r="R85" i="1360"/>
  <c r="S85" i="1360" s="1"/>
  <c r="R86" i="1360"/>
  <c r="S86" i="1360" s="1"/>
  <c r="R87" i="1360"/>
  <c r="S87" i="1360" s="1"/>
  <c r="R88" i="1360"/>
  <c r="S88" i="1360" s="1"/>
  <c r="R89" i="1360"/>
  <c r="S89" i="1360" s="1"/>
  <c r="R90" i="1360"/>
  <c r="S90" i="1360" s="1"/>
  <c r="R91" i="1360"/>
  <c r="S91" i="1360" s="1"/>
  <c r="R92" i="1360"/>
  <c r="S92" i="1360" s="1"/>
  <c r="R93" i="1360"/>
  <c r="S93" i="1360" s="1"/>
  <c r="R94" i="1360"/>
  <c r="S94" i="1360" s="1"/>
  <c r="R95" i="1360"/>
  <c r="S95" i="1360" s="1"/>
  <c r="R96" i="1360"/>
  <c r="S96" i="1360" s="1"/>
  <c r="R97" i="1360"/>
  <c r="S97" i="1360" s="1"/>
  <c r="R98" i="1360"/>
  <c r="S98" i="1360" s="1"/>
  <c r="R99" i="1360"/>
  <c r="S99" i="1360" s="1"/>
  <c r="R100" i="1360"/>
  <c r="S100" i="1360" s="1"/>
  <c r="R101" i="1360"/>
  <c r="S101" i="1360" s="1"/>
  <c r="R102" i="1360"/>
  <c r="S102" i="1360" s="1"/>
  <c r="R103" i="1360"/>
  <c r="S103" i="1360" s="1"/>
  <c r="R104" i="1360"/>
  <c r="S104" i="1360" s="1"/>
  <c r="R105" i="1360"/>
  <c r="S105" i="1360" s="1"/>
  <c r="R106" i="1360"/>
  <c r="S106" i="1360" s="1"/>
  <c r="R107" i="1360"/>
  <c r="S107" i="1360" s="1"/>
  <c r="R108" i="1360"/>
  <c r="S108" i="1360" s="1"/>
  <c r="R109" i="1360"/>
  <c r="S109" i="1360" s="1"/>
  <c r="R110" i="1360"/>
  <c r="S110" i="1360" s="1"/>
  <c r="R111" i="1360"/>
  <c r="S111" i="1360" s="1"/>
  <c r="R112" i="1360"/>
  <c r="S112" i="1360" s="1"/>
  <c r="R113" i="1360"/>
  <c r="S113" i="1360" s="1"/>
  <c r="R114" i="1360"/>
  <c r="S114" i="1360" s="1"/>
  <c r="R115" i="1360"/>
  <c r="S115" i="1360" s="1"/>
  <c r="B5" i="1354" l="1"/>
  <c r="Q2" i="1360"/>
  <c r="Q4" i="1360"/>
  <c r="Q6" i="1360"/>
  <c r="Q8" i="1360"/>
  <c r="Q10" i="1360"/>
  <c r="Q12" i="1360"/>
  <c r="Q14" i="1360"/>
  <c r="Q16" i="1360"/>
  <c r="Q18" i="1360"/>
  <c r="Q20" i="1360"/>
  <c r="Q22" i="1360"/>
  <c r="Q24" i="1360"/>
  <c r="Q26" i="1360"/>
  <c r="Q28" i="1360"/>
  <c r="Q30" i="1360"/>
  <c r="Q32" i="1360"/>
  <c r="Q34" i="1360"/>
  <c r="Q36" i="1360"/>
  <c r="Q38" i="1360"/>
  <c r="Q40" i="1360"/>
  <c r="Q42" i="1360"/>
  <c r="Q44" i="1360"/>
  <c r="Q46" i="1360"/>
  <c r="Q48" i="1360"/>
  <c r="Q50" i="1360"/>
  <c r="Q52" i="1360"/>
  <c r="Q54" i="1360"/>
  <c r="Q56" i="1360"/>
  <c r="Q58" i="1360"/>
  <c r="Q60" i="1360"/>
  <c r="Q62" i="1360"/>
  <c r="Q64" i="1360"/>
  <c r="Q66" i="1360"/>
  <c r="Q68" i="1360"/>
  <c r="Q70" i="1360"/>
  <c r="Q72" i="1360"/>
  <c r="Q74" i="1360"/>
  <c r="Q76" i="1360"/>
  <c r="Q78" i="1360"/>
  <c r="Q80" i="1360"/>
  <c r="Q82" i="1360"/>
  <c r="Q84" i="1360"/>
  <c r="Q86" i="1360"/>
  <c r="Q88" i="1360"/>
  <c r="Q92" i="1360"/>
  <c r="Q96" i="1360"/>
  <c r="Q100" i="1360"/>
  <c r="Q104" i="1360"/>
  <c r="Q110" i="1360"/>
  <c r="Q114" i="1360"/>
  <c r="Q3" i="1360"/>
  <c r="Q5" i="1360"/>
  <c r="Q7" i="1360"/>
  <c r="Q9" i="1360"/>
  <c r="Q11" i="1360"/>
  <c r="Q13" i="1360"/>
  <c r="Q15" i="1360"/>
  <c r="Q17" i="1360"/>
  <c r="Q19" i="1360"/>
  <c r="Q21" i="1360"/>
  <c r="Q23" i="1360"/>
  <c r="Q25" i="1360"/>
  <c r="Q27" i="1360"/>
  <c r="Q29" i="1360"/>
  <c r="Q31" i="1360"/>
  <c r="Q33" i="1360"/>
  <c r="Q35" i="1360"/>
  <c r="Q37" i="1360"/>
  <c r="Q39" i="1360"/>
  <c r="Q41" i="1360"/>
  <c r="Q43" i="1360"/>
  <c r="Q45" i="1360"/>
  <c r="Q47" i="1360"/>
  <c r="Q49" i="1360"/>
  <c r="Q51" i="1360"/>
  <c r="Q53" i="1360"/>
  <c r="Q55" i="1360"/>
  <c r="Q57" i="1360"/>
  <c r="Q59" i="1360"/>
  <c r="Q61" i="1360"/>
  <c r="Q63" i="1360"/>
  <c r="Q65" i="1360"/>
  <c r="Q67" i="1360"/>
  <c r="Q69" i="1360"/>
  <c r="Q71" i="1360"/>
  <c r="Q73" i="1360"/>
  <c r="Q75" i="1360"/>
  <c r="Q77" i="1360"/>
  <c r="Q79" i="1360"/>
  <c r="Q81" i="1360"/>
  <c r="Q83" i="1360"/>
  <c r="Q85" i="1360"/>
  <c r="Q87" i="1360"/>
  <c r="Q89" i="1360"/>
  <c r="Q91" i="1360"/>
  <c r="Q93" i="1360"/>
  <c r="Q95" i="1360"/>
  <c r="Q97" i="1360"/>
  <c r="Q99" i="1360"/>
  <c r="Q101" i="1360"/>
  <c r="Q103" i="1360"/>
  <c r="Q105" i="1360"/>
  <c r="Q107" i="1360"/>
  <c r="Q109" i="1360"/>
  <c r="Q111" i="1360"/>
  <c r="Q113" i="1360"/>
  <c r="Q115" i="1360"/>
  <c r="Q90" i="1360"/>
  <c r="Q94" i="1360"/>
  <c r="Q98" i="1360"/>
  <c r="Q102" i="1360"/>
  <c r="Q106" i="1360"/>
  <c r="Q108" i="1360"/>
  <c r="Q112" i="1360"/>
</calcChain>
</file>

<file path=xl/sharedStrings.xml><?xml version="1.0" encoding="utf-8"?>
<sst xmlns="http://schemas.openxmlformats.org/spreadsheetml/2006/main" count="2116" uniqueCount="588">
  <si>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</si>
  <si>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</si>
  <si>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</si>
  <si>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</si>
  <si>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</si>
  <si>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</si>
  <si>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</si>
  <si>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</si>
  <si>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</si>
  <si>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</si>
  <si>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</si>
  <si>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</si>
  <si>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</si>
  <si>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</si>
  <si>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</si>
  <si>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</si>
  <si>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</si>
  <si>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</si>
  <si>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</si>
  <si>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</si>
  <si>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</si>
  <si>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</si>
  <si>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</si>
  <si>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</si>
  <si>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</si>
  <si>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</si>
  <si>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</si>
  <si>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</si>
  <si>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</si>
  <si>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</si>
  <si>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</si>
  <si>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</si>
  <si>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</si>
  <si>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</si>
  <si>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</si>
  <si>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</si>
  <si>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</si>
  <si>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</si>
  <si>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</si>
  <si>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</si>
  <si>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</si>
  <si>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</si>
  <si>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</si>
  <si>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</si>
  <si>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</si>
  <si>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</si>
  <si>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</si>
  <si>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</si>
  <si>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</si>
  <si>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</si>
  <si>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</si>
  <si>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</si>
  <si>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</si>
  <si>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</si>
  <si>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</si>
  <si>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</si>
  <si>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</si>
  <si>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</si>
  <si>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</si>
  <si>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</si>
  <si>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</si>
  <si>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</si>
  <si>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</si>
  <si>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</si>
  <si>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</si>
  <si>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</si>
  <si>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</si>
  <si>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</si>
  <si>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</si>
  <si>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JVEN02</t>
  </si>
  <si>
    <t>JVEN06</t>
  </si>
  <si>
    <t>RQ VENTA DE TERRENOS</t>
  </si>
  <si>
    <t>&gt;PENDIENTE&lt;</t>
  </si>
  <si>
    <t>SUDC</t>
  </si>
  <si>
    <t>JPEDID</t>
  </si>
  <si>
    <t>JVEN01</t>
  </si>
  <si>
    <t>HORMIGONERA JUJUY S.R.L.</t>
  </si>
  <si>
    <t>JEMPCO</t>
  </si>
  <si>
    <t>Urbania S.R.L.</t>
  </si>
  <si>
    <t>HORMIGONERA + DE 20 AÑOS</t>
  </si>
  <si>
    <t>Empresa La Piedad S.A.</t>
  </si>
  <si>
    <t>Consultorios AV</t>
  </si>
  <si>
    <t>2x04</t>
  </si>
  <si>
    <t>PagE</t>
  </si>
  <si>
    <t>EvaLoc</t>
  </si>
  <si>
    <t>¿Color?</t>
  </si>
  <si>
    <t>Modalidad</t>
  </si>
  <si>
    <t>Total 0</t>
  </si>
  <si>
    <t>Vilar Cristian Leandro</t>
  </si>
  <si>
    <t>Dergam Srl</t>
  </si>
  <si>
    <t>1x04</t>
  </si>
  <si>
    <t>B&amp;N</t>
  </si>
  <si>
    <t>VALDIVIEZO LILA FERNANDA</t>
  </si>
  <si>
    <t>NORTE GNC</t>
  </si>
  <si>
    <t>Promocionales</t>
  </si>
  <si>
    <t>2x10</t>
  </si>
  <si>
    <t>Salazar  Hugo</t>
  </si>
  <si>
    <t>Notables - Jujuy +1 Col</t>
  </si>
  <si>
    <t>JAGRUP</t>
  </si>
  <si>
    <t>2x05</t>
  </si>
  <si>
    <t>LOPEZ PIERRE - FARMACIA</t>
  </si>
  <si>
    <t>LOPEZ PIERRE FARMACIA</t>
  </si>
  <si>
    <t>JGESTET</t>
  </si>
  <si>
    <t>Juarez Meneses Dolores</t>
  </si>
  <si>
    <t>JGPSICPE</t>
  </si>
  <si>
    <t>ARMELLA CESAR DANIEL</t>
  </si>
  <si>
    <t>Editora Sociedad Anonima</t>
  </si>
  <si>
    <t>1-1450027-4</t>
  </si>
  <si>
    <t>Carvajal Juan Carlos</t>
  </si>
  <si>
    <t>FERRETERIA CARBAJAL</t>
  </si>
  <si>
    <t>28085</t>
  </si>
  <si>
    <t>1x10</t>
  </si>
  <si>
    <t>HORMIGONERA -VENTA DE HORMIGON EN MIXER</t>
  </si>
  <si>
    <t>HORMIGONERA  JUJUY S.R.L. VENTA DE ARIDOS: PIEDRA, ARENA, RIIO.  RELLENO DE TERRENO 4259148 - 4259548 ALTE BROW8 4259148</t>
  </si>
  <si>
    <t>PSICOPEDAGOGIA  Lic. DOLORES JUAREZ MENESES * PROBLEMAS DE A FASCIO-Av. Fascio 748 Solicitud de Turnos:(0388) 18    0388</t>
  </si>
  <si>
    <t>GNC MYN GRAN PROMOCION...</t>
  </si>
  <si>
    <t>Cañas  Carlos Alberto</t>
  </si>
  <si>
    <t>Servicios Sociales Futuro S R L</t>
  </si>
  <si>
    <t>SERIVICIO SOCIALES FUTURO...</t>
  </si>
  <si>
    <t>JOFREC</t>
  </si>
  <si>
    <t>1-1452341-1</t>
  </si>
  <si>
    <t>Palavecino Rodriguez Jose Miguel</t>
  </si>
  <si>
    <t>PROBLEMAS DE COLUMNA Y EXTREMIDADES                 QUIROPRAM. Palavecino  M.P. 1899 Independencia 518 - Cel. 155090998.</t>
  </si>
  <si>
    <t>Cine Teatro Alfa S.R.L.</t>
  </si>
  <si>
    <t>1235</t>
  </si>
  <si>
    <t>CINE ALFA...</t>
  </si>
  <si>
    <t>Sup Especial</t>
  </si>
  <si>
    <t>5x13</t>
  </si>
  <si>
    <t>Jairo Montes</t>
  </si>
  <si>
    <t>COSEJERO y HECHICERO JAIRO  Nuevo numero de Cel. 0388154648931154648931</t>
  </si>
  <si>
    <t>3x05</t>
  </si>
  <si>
    <t>PROBLEMAS DE COLUMNA Y EXTREMIDA</t>
  </si>
  <si>
    <t>PSICOPEDAGOGIA  Lic. DOLORES JUA</t>
  </si>
  <si>
    <t>HORMIGONERA -VENTA DE HORMIGON E</t>
  </si>
  <si>
    <t xml:space="preserve">HORMIGONERA  JUJUY S.R.L. VENTA </t>
  </si>
  <si>
    <t>CAÑAS VENTA *Excluisiva propieda</t>
  </si>
  <si>
    <t>COSEJERO y HECHICERO JAIRO  Nuev</t>
  </si>
  <si>
    <t>1-1429658-17</t>
  </si>
  <si>
    <t>JDINER</t>
  </si>
  <si>
    <t>ESPADA MARCOS MAXIMILIANO</t>
  </si>
  <si>
    <t>OREJA ELIAS DEPORTES</t>
  </si>
  <si>
    <t>º</t>
  </si>
  <si>
    <t>3x10</t>
  </si>
  <si>
    <t>CAÑAS VENTA *Excluisiva propiedad 30 habitaciones, atencion Sarmiento Tel 388-4227132 - 4233776 canasinmuebles@8 4227132</t>
  </si>
  <si>
    <t>0112200</t>
  </si>
  <si>
    <t>DEP</t>
  </si>
  <si>
    <t>Antonio Noguera</t>
  </si>
  <si>
    <t>SRES. INGENIEROS, ARQUITECTOS  gente que este en la construcDesagotes, Baños Químicos.  EL HORNERO.  156855015 8 4250352</t>
  </si>
  <si>
    <t>JMAQCO</t>
  </si>
  <si>
    <t>13-1455035-1</t>
  </si>
  <si>
    <t>ALQUILO MAQUINA RETROPALA -Nivelaciones CAMIONES VOLQUETES Todo tipo de trabajos "EL HORNERO" Cel.156855015</t>
  </si>
  <si>
    <t>13-1455036-2</t>
  </si>
  <si>
    <t>CONTENEDORES   EL HORNERO CAMION AGUATERO DESAGOTES BAÑOS QUIMICOS (0388)156855015 - 42503528 4250352</t>
  </si>
  <si>
    <t>Pastore  Ana Laura</t>
  </si>
  <si>
    <t>SRES. INGENIEROS, ARQUITECTOS  g</t>
  </si>
  <si>
    <t>ALQUILO MAQUINA RETROPALA -Nivel</t>
  </si>
  <si>
    <t>CONTENEDORES   EL HORNERO CAMION</t>
  </si>
  <si>
    <t>279185</t>
  </si>
  <si>
    <t>1-1455155-1</t>
  </si>
  <si>
    <t>279178</t>
  </si>
  <si>
    <t>279182</t>
  </si>
  <si>
    <t>279081</t>
  </si>
  <si>
    <t>279179</t>
  </si>
  <si>
    <t>1-1455182-1</t>
  </si>
  <si>
    <t>290180 120</t>
  </si>
  <si>
    <t>1-1455183-1</t>
  </si>
  <si>
    <t>1-1455184-1</t>
  </si>
  <si>
    <t>279751 4903</t>
  </si>
  <si>
    <t>1-1455150-2</t>
  </si>
  <si>
    <t>279180</t>
  </si>
  <si>
    <t>1-1455131-1</t>
  </si>
  <si>
    <t>279079</t>
  </si>
  <si>
    <t>1-1450349-2</t>
  </si>
  <si>
    <t>25697</t>
  </si>
  <si>
    <t>1-1455129-1</t>
  </si>
  <si>
    <t>279078</t>
  </si>
  <si>
    <t>1-1455158-1</t>
  </si>
  <si>
    <t>279184</t>
  </si>
  <si>
    <t>1-1455162-1</t>
  </si>
  <si>
    <t>1-1454910-5</t>
  </si>
  <si>
    <t>1-1455171-1</t>
  </si>
  <si>
    <t>279183</t>
  </si>
  <si>
    <t>1-1455153-1</t>
  </si>
  <si>
    <t>Orce Remis Esteban</t>
  </si>
  <si>
    <t xml:space="preserve"> TERRAZAS Y ORCE REMIS ESTUDIO JURÍDICO  CONTABLE  ASESORAMIs y Judiciales.  Nuevo Domicilio  Argañaraz 141 Tel8 4988746</t>
  </si>
  <si>
    <t xml:space="preserve"> TERRAZAS Y ORCE REMIS ESTUDIO J</t>
  </si>
  <si>
    <t>1-1455230-2</t>
  </si>
  <si>
    <t>Siles  Alejandra</t>
  </si>
  <si>
    <t>EFECTIVO EN EL ACTO SOLO CON TU TARJETA  DE CREDITO ( todas las tarjetas) Hasta $ 5.000. Cel. 388-50843808 5084380</t>
  </si>
  <si>
    <t xml:space="preserve">EFECTIVO EN EL ACTO SOLO CON TU </t>
  </si>
  <si>
    <t>1x12</t>
  </si>
  <si>
    <t>12-1455446-5</t>
  </si>
  <si>
    <t>LOPEZ DELGADO CLAUDIA TATIANA</t>
  </si>
  <si>
    <t>IMPORTANTE  TERRENO *ESQUINA* 1.400 m2 de Superficie total Clles  -detrás boliche Ibiza- Alto Comedero  Cel. 388 4084933</t>
  </si>
  <si>
    <t>12-1455448-3</t>
  </si>
  <si>
    <t>PERICO  VENDO 2 TERRENOS juntos 10x27 c/u. Bº Municipal. Recibo camioneta C/D. 4x4  Cel. 388 154084933154084933</t>
  </si>
  <si>
    <t>12-1455444-4</t>
  </si>
  <si>
    <t>LÒPEZ  INMOBILIARIA  ESTAMOS EN TODA LA PROVINCIA  COMPRAS-   S/ Ruta Prov.47  Santo Domingo-Perico  TEL. 0388 8 4913660</t>
  </si>
  <si>
    <t>15236</t>
  </si>
  <si>
    <t>CLASIFICADOS WEB</t>
  </si>
  <si>
    <t>IDC</t>
  </si>
  <si>
    <t>1-1455413-1</t>
  </si>
  <si>
    <t>Mamani  Dario Eduardo</t>
  </si>
  <si>
    <t>ABOGADOS - CAUSAS PENALES   ///AVISO ARMADO EN CARPETA DE LA FECHA</t>
  </si>
  <si>
    <t>3x28</t>
  </si>
  <si>
    <t>1x07</t>
  </si>
  <si>
    <t>ABOGADOS - CAUSAS PENALES   ///A</t>
  </si>
  <si>
    <t xml:space="preserve">LÒPEZ  INMOBILIARIA  ESTAMOS EN </t>
  </si>
  <si>
    <t>IMPORTANTE  TERRENO *ESQUINA* 1.</t>
  </si>
  <si>
    <t xml:space="preserve">PERICO  VENDO 2 TERRENOS juntos </t>
  </si>
  <si>
    <t>ATENCIÓN VENDO TERRENO  * 600 m2</t>
  </si>
  <si>
    <t>1-1455504-2</t>
  </si>
  <si>
    <t>Castro Rodrigo</t>
  </si>
  <si>
    <t>GRUPO EMPRESARIAL INCORPORA A SU EQUIPO: -Secretaria/o Admin a Senador Pérez 383 de Lunes a Viernes de 11.00 a 13.00 hs.</t>
  </si>
  <si>
    <t>1-1455510-2</t>
  </si>
  <si>
    <t>TASACIONES CASAS- TERRENOS- FINCAS. Martillero HUGO SALAZAR Cel.0388-154078693</t>
  </si>
  <si>
    <t>EL MATUTINO</t>
  </si>
  <si>
    <t>1-1455569-1</t>
  </si>
  <si>
    <t>Carretero  Maria Alejandra</t>
  </si>
  <si>
    <t>MARIA A. CARRETERO M.P. 3103  Familia  Sucesiones  Alimentos 9 a 14 hs Cel. 0388-155201043 Independencia 922 - Oficina 2</t>
  </si>
  <si>
    <t>4x17</t>
  </si>
  <si>
    <t>MARIA A. CARRETERO M.P. 3103  Fa</t>
  </si>
  <si>
    <t>TASACIONES CASAS- TERRENOS- FINC</t>
  </si>
  <si>
    <t>GRUPO EMPRESARIAL INCORPORA A SU</t>
  </si>
  <si>
    <t>2x06</t>
  </si>
  <si>
    <t>12-1455463-5</t>
  </si>
  <si>
    <t>ATENCIÓN VENDO TERRENO  * 600 m2.* Bº JARDIN  DEL CEIBAL sobre Ruta 9 Rec. Vehículos. Cel. 388 4084933</t>
  </si>
  <si>
    <t>1-1455713-1</t>
  </si>
  <si>
    <t>CAZON FLORENCIA</t>
  </si>
  <si>
    <t>DINERO T&amp;T PRESTAMOS - EMPEÑOS  EN EL ACTO Recibimos todas lijo 388- 4232023 ALVEAR 720 De 9 a 13.30 y 17.00 a 8 5844130</t>
  </si>
  <si>
    <t xml:space="preserve">DINERO T&amp;T PRESTAMOS - EMPEÑOS  </t>
  </si>
  <si>
    <t>1-1455655-3</t>
  </si>
  <si>
    <t>////LOGO///// Familia- Sucerio- Laboral-Prescripción Adquisi068 .  Argañaraz Nº 295, Of. 6. Recibimos todas las8 5073068</t>
  </si>
  <si>
    <t xml:space="preserve">////LOGO///// Familia- Sucerio- </t>
  </si>
  <si>
    <t>JVEN07</t>
  </si>
  <si>
    <t>1-1455893-3</t>
  </si>
  <si>
    <t>Copa Alejandro Daniel</t>
  </si>
  <si>
    <t>Dr. Alejandro Daniel Copa Dra. Vanesa Alejandra Bravo AbogadOf 4 Cel. 3886853895  (Consultas online - Mensajes-Whatsapp)</t>
  </si>
  <si>
    <t>Dr. Alejandro Daniel Copa Dra. V</t>
  </si>
  <si>
    <t>1-1455821-2</t>
  </si>
  <si>
    <t>MARTILLERO TASADOR   CRISTIAN L. VILAR Tel 388-4311517 / 1550112208 4311517</t>
  </si>
  <si>
    <t>Asamblea Cm- Jujuy</t>
  </si>
  <si>
    <t>JASAMB</t>
  </si>
  <si>
    <t>MARTILLERO TASADOR   CRISTIAN L.</t>
  </si>
  <si>
    <t>Obituarios</t>
  </si>
  <si>
    <t>Obituario Modulo - Jujuy</t>
  </si>
  <si>
    <t>OBIMOD</t>
  </si>
  <si>
    <t>Carlino  Julio</t>
  </si>
  <si>
    <t>1-1456073-2</t>
  </si>
  <si>
    <t>INMOBILIARIA LA RED S.R.L.</t>
  </si>
  <si>
    <t>279569</t>
  </si>
  <si>
    <t>BUSCAMOS ASESORES DE VENTA</t>
  </si>
  <si>
    <t>SALTA CAPITAL  Macrocentro vende</t>
  </si>
  <si>
    <t>1-1455128-7</t>
  </si>
  <si>
    <t>12-1456246-2</t>
  </si>
  <si>
    <t>Luis  Cabrera</t>
  </si>
  <si>
    <t>/////////////////JESUS TAROT////////</t>
  </si>
  <si>
    <t>1-1456260-2</t>
  </si>
  <si>
    <t>Cruz  Joel</t>
  </si>
  <si>
    <t>Samuel J. Cruz -Joel Hermes Cruz  ABOGADO ESPECIALIDAD EN DEJuev. de 19 a 22Hs. 3885775366-3885884113 Independencia 607.</t>
  </si>
  <si>
    <t>Samuel J. Cruz -Joel Hermes Cruz</t>
  </si>
  <si>
    <t>/////////////////JESUS TAROT////</t>
  </si>
  <si>
    <t>1-1456291-2</t>
  </si>
  <si>
    <t>Mamani  Cristian</t>
  </si>
  <si>
    <t>ESTUDIO CONTABLE CM (logo carp. 17-04) ASESORIA CONTABLE-FINtin 662-1er Piso -Dpto 2 Cel. 0388-154426610 (de 188    1704</t>
  </si>
  <si>
    <t>JGCONT</t>
  </si>
  <si>
    <t xml:space="preserve">ESTUDIO CONTABLE CM (logo carp. </t>
  </si>
  <si>
    <t>Remates/Edictos Cm- Jujuy</t>
  </si>
  <si>
    <t>JEDICT</t>
  </si>
  <si>
    <t>042021</t>
  </si>
  <si>
    <t>1x11</t>
  </si>
  <si>
    <t>Total 5</t>
  </si>
  <si>
    <t>1-1456573-1</t>
  </si>
  <si>
    <t>Doria Medina Federico</t>
  </si>
  <si>
    <t>VENDO CAMION Mercedes 710 Mod 94, con RTO. Cel 388-42557598 4255759</t>
  </si>
  <si>
    <t>1-1456638-3</t>
  </si>
  <si>
    <t>Carmen Gaby Leyton</t>
  </si>
  <si>
    <t>HYUNDAI TUCSON  4X2, L/N L16, año/2017 Gris-Exc. estado.  Tel. 3884784771.</t>
  </si>
  <si>
    <t>1-1456623-2</t>
  </si>
  <si>
    <t>SALTA CAPITAL  Macrocentro vende hermosa casa 4 dor. 2 baño,b zona, US$ 70.000, Rec. Veh. O pickup alta gama  3874026777</t>
  </si>
  <si>
    <t>1-1456632-2</t>
  </si>
  <si>
    <t>Martin Keselman</t>
  </si>
  <si>
    <t>DUEÑO VENDE  PROPIEDAD 2 PLANTAS Balcarce al 200 Cel. 3885806489</t>
  </si>
  <si>
    <t>Palue S.r.l.</t>
  </si>
  <si>
    <t>DUEÑO VENDE  PROPIEDAD 2 PLANTAS</t>
  </si>
  <si>
    <t>VENDO CAMION Mercedes 710 Mod 94</t>
  </si>
  <si>
    <t>HYUNDAI TUCSON  4X2, L/N L16, añ</t>
  </si>
  <si>
    <t>1-1456713-2</t>
  </si>
  <si>
    <t>Sandoval  Gustavo</t>
  </si>
  <si>
    <t>VENDO TERRENOS  Alto Comedero (atras de Kolor)  10x30mts y 25x44mts.  Tel. 3885040665/ 3885900001</t>
  </si>
  <si>
    <t>Horizontes S A</t>
  </si>
  <si>
    <t>1-1455470-13</t>
  </si>
  <si>
    <t>Total 2</t>
  </si>
  <si>
    <t>Total 3</t>
  </si>
  <si>
    <t>Total 4</t>
  </si>
  <si>
    <t>Total 10</t>
  </si>
  <si>
    <t>VENDO TERRENOS  Alto Comedero (a</t>
  </si>
  <si>
    <t>Canal</t>
  </si>
  <si>
    <t>Monto</t>
  </si>
  <si>
    <t>Por OP</t>
  </si>
  <si>
    <t>Por Fecha</t>
  </si>
  <si>
    <t>Por Web</t>
  </si>
  <si>
    <t>Total</t>
  </si>
  <si>
    <t>1-1456782-4</t>
  </si>
  <si>
    <t>Bº LOS CLAROS VENDO TERRENO GRANDE Hermosa vista Mart. HUGO SALAZAR  Tel. 3884078693</t>
  </si>
  <si>
    <t>1-1456778-3</t>
  </si>
  <si>
    <t>ALTO LA VIÑA Vendo  casa importante con pileta  a 500 mtrs del Hotel.  Martillero Salazar.  Cel 388-40786938 4078693</t>
  </si>
  <si>
    <t>1-1456779-3</t>
  </si>
  <si>
    <t>PARQUE SAN MARTIN vendo dpto. grande con cochera calle Padre Gottig  Cel.0388-154078693  Martillero Salazar</t>
  </si>
  <si>
    <t>1-1456781-2</t>
  </si>
  <si>
    <t>B° CHIJRA, vendo casa  (A medio Construir 80%) Calle Manantiales a 100mt. puente Cel.0388-154078693  Martillero Salazar</t>
  </si>
  <si>
    <t>1-1456783-2</t>
  </si>
  <si>
    <t>B°560 VIVIENDAS  Sobre Pje 3 dorm. Cel.0388-154078693  Martillero Salazar</t>
  </si>
  <si>
    <t>1-1456775-2</t>
  </si>
  <si>
    <t>Gorena  Alejandra</t>
  </si>
  <si>
    <t>CENTO DE ESTIMULACION  DEL APRENDIZAJE “CLASES DE APOYO” Nivdagogico Integrador.  ceajujuy2021@gmail.com Tel. 3886044042</t>
  </si>
  <si>
    <t>JINSPR</t>
  </si>
  <si>
    <t>1-1456780-2</t>
  </si>
  <si>
    <t>Bº CDAD DE NIEVA  VENDO CASA  Calle Cnel Arias al 1.100. Martillero HUGO SALAZAR Cel.0388-154078693</t>
  </si>
  <si>
    <t>1-1456823-2</t>
  </si>
  <si>
    <t>GRENNI RAUL EDUARDO</t>
  </si>
  <si>
    <t>279589</t>
  </si>
  <si>
    <t>Se alquilan locales y oficinas en peatonal belgrano, consultas en belgrano 730,2° piso, oficina 2. De 9 a 13</t>
  </si>
  <si>
    <t>JALO04</t>
  </si>
  <si>
    <t>Bº CDAD DE NIEVA  VENDO CASA  Ca</t>
  </si>
  <si>
    <t xml:space="preserve">B° CHIJRA, vendo casa  (A medio </t>
  </si>
  <si>
    <t>ALTO LA VIÑA Vendo  casa importa</t>
  </si>
  <si>
    <t>PARQUE SAN MARTIN vendo dpto. gr</t>
  </si>
  <si>
    <t>B°560 VIVIENDAS  Sobre Pje 3 dor</t>
  </si>
  <si>
    <t>Bº LOS CLAROS VENDO TERRENO GRAN</t>
  </si>
  <si>
    <t>Se alquilan locales y oficinas e</t>
  </si>
  <si>
    <t>CENTO DE ESTIMULACION  DEL APREN</t>
  </si>
  <si>
    <t>1-1456922-2</t>
  </si>
  <si>
    <t>Aramayo  Benito Carlos</t>
  </si>
  <si>
    <t>RENAULT KWID  2018- 27.000km Dueño Vende Tel. 38850231508    2018</t>
  </si>
  <si>
    <t>Alarcon</t>
  </si>
  <si>
    <t>1-1456934-3</t>
  </si>
  <si>
    <t>Zerpa  Martin</t>
  </si>
  <si>
    <t>SALTA CAPITAL VDO. O PERMUTO B° Juan Pablo II, zona Sur, exc o permuto por casa en Jujuy. 03877-422344/ Cel. 387  422344</t>
  </si>
  <si>
    <t>1-1455148-6</t>
  </si>
  <si>
    <t>13-1455037-4</t>
  </si>
  <si>
    <t>1-1456973-2</t>
  </si>
  <si>
    <t>Mendez Mealla Jacqueline</t>
  </si>
  <si>
    <t>OFREZCO  MI TRABAJO:  Técnico en Refrigeración arreglos y maticular y carnet de conducir al día. Consultas al 3885844179</t>
  </si>
  <si>
    <t>12-1456832-4</t>
  </si>
  <si>
    <t>PAC</t>
  </si>
  <si>
    <t xml:space="preserve"> E J E S A (EJESA)</t>
  </si>
  <si>
    <t>Total 25</t>
  </si>
  <si>
    <t>OFREZCO  MI TRABAJO:  Técnico en</t>
  </si>
  <si>
    <t xml:space="preserve">SALTA CAPITAL VDO. O PERMUTO B° </t>
  </si>
  <si>
    <t>RENAULT KWID  2018- 27.000km Due</t>
  </si>
  <si>
    <t>1-1456999-2</t>
  </si>
  <si>
    <t>Cardozo Teresa</t>
  </si>
  <si>
    <t>OPORTUNIDAD  TOYOTA HILUX 4x4, automatica, SRV 2015, tapizado efectivo, $3.115.000 - Monterrico. 3885844468/ 3885720516.</t>
  </si>
  <si>
    <t>Garrido Ahirini Isabel</t>
  </si>
  <si>
    <t>URGENTE VENDO  TERRENO 50x50 En *UQUÍA  Zona turística En *PENDO CASA  5 Habit. salón. Coc. Com. 2bños. Cel. 388 4482478</t>
  </si>
  <si>
    <t>12-1457034-2</t>
  </si>
  <si>
    <t>Mogro Enrique Rafael</t>
  </si>
  <si>
    <t>EN PERICO QUIQUE MOGRO VENDE CASAS Bº 20 de Junio Bº San Expalle Lavalle  Tratar San Martin 108 Perico  Cel. 388 5009599</t>
  </si>
  <si>
    <t>1-1457081-1</t>
  </si>
  <si>
    <t>1-1457075-2</t>
  </si>
  <si>
    <t>El Trebol S.r.l.</t>
  </si>
  <si>
    <t>278808 10903</t>
  </si>
  <si>
    <t>Empresa Constructora necesita OFICIAL DURLERO con más de 3 a920 Barrio Chijra / recursoshumanos@eltrebolconstructora.com</t>
  </si>
  <si>
    <t>1-1457090-2</t>
  </si>
  <si>
    <t>Servicio Medico Vital S.R.L.</t>
  </si>
  <si>
    <t>SE SELECCIONARÁ  INGENIERO EN SISTEMA. Presentarse con CV aco Piso  Lunes 26 y Martes 27 de 10 a 12Hs.  ¡¡¡Unic8  010404</t>
  </si>
  <si>
    <t>1-1457018-1</t>
  </si>
  <si>
    <t>Bianco  Claudia</t>
  </si>
  <si>
    <t>Dra. Claudia M. Bianco OTORRINOLARINGOLOGA ADULTOS IndependeTurnos solo por teléfono 0388-4833107 (fijo)/ 0388-8   01008</t>
  </si>
  <si>
    <t>JGOTRPRO</t>
  </si>
  <si>
    <t>1-1457072-2</t>
  </si>
  <si>
    <t>Rodriguez  Laura</t>
  </si>
  <si>
    <t>ESTARSIENDO  LIC. MARIA LAURA RODRIGUEZ ..recursos humanos...</t>
  </si>
  <si>
    <t>5x10</t>
  </si>
  <si>
    <t>Total 6</t>
  </si>
  <si>
    <t>Total 7</t>
  </si>
  <si>
    <t>5x35</t>
  </si>
  <si>
    <t>Total 21</t>
  </si>
  <si>
    <t>Total 26</t>
  </si>
  <si>
    <t>2x15</t>
  </si>
  <si>
    <t>Dra. Claudia M. Bianco OTORRINOL</t>
  </si>
  <si>
    <t>ESTARSIENDO  LIC. MARIA LAURA RO</t>
  </si>
  <si>
    <t>Empresa Constructora necesita OF</t>
  </si>
  <si>
    <t>SE SELECCIONARÁ  INGENIERO EN SI</t>
  </si>
  <si>
    <t>EN PERICO QUIQUE MOGRO VENDE CAS</t>
  </si>
  <si>
    <t xml:space="preserve">URGENTE VENDO  TERRENO 50x50 En </t>
  </si>
  <si>
    <t>OPORTUNIDAD  TOYOTA HILUX 4x4, a</t>
  </si>
  <si>
    <t>1-1455146-3</t>
  </si>
  <si>
    <t>1-1455163-6</t>
  </si>
  <si>
    <t>12-1456962-6</t>
  </si>
  <si>
    <t>1-1456845-3</t>
  </si>
  <si>
    <t>Machado  Rodrigo</t>
  </si>
  <si>
    <t>---E D I C T O S--  Ref. Expte. Nº D-35131/2020, Caratulado:021.---- Ante mí: Marcela Florencia Artaza, Secreta8   35131</t>
  </si>
  <si>
    <t>1-1456864-2</t>
  </si>
  <si>
    <t>EDICTO  - - - DRA. LIS M. VALDECANTOS, Juez habilitada de PrJUJUY, 17 de Noviembre del 2020. -  SECRETARIA Nº128  135935</t>
  </si>
  <si>
    <t>1-1457051-4</t>
  </si>
  <si>
    <t>Valverdi Gustavo Adolfo</t>
  </si>
  <si>
    <t>VALVERDI PROPIEDADES  VENTA - ALQUILERES - TASACIONES - ADMI 12 hs Jose de la Iglesia 1783. Tel. 3885933903 - 3885436871</t>
  </si>
  <si>
    <t>1-1456622-3</t>
  </si>
  <si>
    <t>Radio Vision Jujuy S.a.</t>
  </si>
  <si>
    <t>26 abril 2021</t>
  </si>
  <si>
    <t>Convocase a los señores Accionistas de Radio Visión Jujuy S.o titular y un Síndico Suplente por las acciones de Clase D.</t>
  </si>
  <si>
    <t>PES</t>
  </si>
  <si>
    <t>3x13</t>
  </si>
  <si>
    <t>Total 20</t>
  </si>
  <si>
    <t>Total 27</t>
  </si>
  <si>
    <t>1x08</t>
  </si>
  <si>
    <t>VALVERDI PROPIEDADES  VENTA - AL</t>
  </si>
  <si>
    <t>Convocase a los señores Accionis</t>
  </si>
  <si>
    <t xml:space="preserve">---E D I C T O S--  Ref. Expte. </t>
  </si>
  <si>
    <t>EDICTO  - - - DRA. LIS M. VALDEC</t>
  </si>
  <si>
    <t>1-1455186-3</t>
  </si>
  <si>
    <t>Obachi Gabriela Cecilia</t>
  </si>
  <si>
    <t>2909018 109</t>
  </si>
  <si>
    <t>Gabiota Sport</t>
  </si>
  <si>
    <t>JVEN08</t>
  </si>
  <si>
    <t>12-1456375-2</t>
  </si>
  <si>
    <t>Reyna  Zulema Lucia</t>
  </si>
  <si>
    <t>SEVERINO  *VENDO*  100 HAS. COMUNICATE 388-40825958 4082595</t>
  </si>
  <si>
    <t>12-1456373-5</t>
  </si>
  <si>
    <t>PERICO                                      VENDO CASAS: *CL Calle 23 de agosto Nº 295 Perico  Cel. Whapp. 388 154082595</t>
  </si>
  <si>
    <t>1-1455144-14</t>
  </si>
  <si>
    <t>279181</t>
  </si>
  <si>
    <t>DERGAM</t>
  </si>
  <si>
    <t>1-1457130-2</t>
  </si>
  <si>
    <t>Echeverria  Emilio</t>
  </si>
  <si>
    <t>SE BUSCA CARPINTERO  EN MELAMINA  Para armado de muebles e  instalacion en obras. Cel. 3886141461.</t>
  </si>
  <si>
    <t>1-1457146-1</t>
  </si>
  <si>
    <t>Labarrere  Silvana</t>
  </si>
  <si>
    <t>Necesito empleada domestica</t>
  </si>
  <si>
    <t>1-1457192-3</t>
  </si>
  <si>
    <t>1-1457125-3</t>
  </si>
  <si>
    <t>Zottos  Jorge Sebastian</t>
  </si>
  <si>
    <t>MOTONIVELADORA ZANELLO RU13200 año 2015, 3150 horas, motor Deutz 913 impecable. USD 68000 oficiales.  Cel. 38758   13200</t>
  </si>
  <si>
    <t>1-1457128-2</t>
  </si>
  <si>
    <t>TRAILER VIVIENDA, 12 X2.40, revestidos, instalación eléctricada, baño completo, sobre trineo.$1.900.000. Cel. 3875318595</t>
  </si>
  <si>
    <t>1-1456993-2</t>
  </si>
  <si>
    <t>Diosquez  Paola</t>
  </si>
  <si>
    <t>EDICTO DE CITACION   LA DIRECCION DE HABITAT E INCLUSION, en3 de abril de 2021- Director Arq. Horacio García Ra8 0617438</t>
  </si>
  <si>
    <t>1-1455180-1</t>
  </si>
  <si>
    <t>PANERO JULIO CESAR</t>
  </si>
  <si>
    <t>1 abril 2021</t>
  </si>
  <si>
    <t>JULIO PANERO</t>
  </si>
  <si>
    <t>1-1457186-2</t>
  </si>
  <si>
    <t>Valerio, Jose Luis</t>
  </si>
  <si>
    <t>272476</t>
  </si>
  <si>
    <t>Llamado a Asamblea- Club Deportivo Agua Chica El Club Deport 03-Posesión de su primera comisión legal. 04-Puntos varios.</t>
  </si>
  <si>
    <t>1-1457187-2</t>
  </si>
  <si>
    <t>272477</t>
  </si>
  <si>
    <t>Asamblea de Asociación Civil de Pequeños Productores de Quicnte de Asociación Civil de Pequeños Productores de Quichagua</t>
  </si>
  <si>
    <t>1-1452204-3</t>
  </si>
  <si>
    <t>HUANUCO</t>
  </si>
  <si>
    <t>MAS LUZ - JUJUY FM</t>
  </si>
  <si>
    <t>1-1456743-2</t>
  </si>
  <si>
    <t>Colegio De Abogados</t>
  </si>
  <si>
    <t>279538</t>
  </si>
  <si>
    <t>COLEGIO DE ABOGADOS - RESOLUCION 54/21</t>
  </si>
  <si>
    <t>1-1455433-5</t>
  </si>
  <si>
    <t>MORENO JOSE MARIA</t>
  </si>
  <si>
    <t>1304</t>
  </si>
  <si>
    <t>IITA - PROPUESTA EDUCATIVA (bonificados por pla 7+3)</t>
  </si>
  <si>
    <t>1-1457181-4</t>
  </si>
  <si>
    <t>22643</t>
  </si>
  <si>
    <t>AGROFER...</t>
  </si>
  <si>
    <t>1-1457193-2</t>
  </si>
  <si>
    <t>Alicia Teresita Zenarruza</t>
  </si>
  <si>
    <t>27042021</t>
  </si>
  <si>
    <t>APACHETA ORELLANA LUCCA</t>
  </si>
  <si>
    <t>1-1457203-4</t>
  </si>
  <si>
    <t>Colegio Farmaceutico de Jujuy</t>
  </si>
  <si>
    <t>26539</t>
  </si>
  <si>
    <t>COLEGIO FARMACEUTICOS DE JUJUY CONVOCATORIA...</t>
  </si>
  <si>
    <t>1-1455132-1</t>
  </si>
  <si>
    <t>Segura Ana</t>
  </si>
  <si>
    <t>279080</t>
  </si>
  <si>
    <t>Norte Servicios Sociales</t>
  </si>
  <si>
    <t>OBI</t>
  </si>
  <si>
    <t>1-1455574-21</t>
  </si>
  <si>
    <t>1-1455763-19</t>
  </si>
  <si>
    <t>36</t>
  </si>
  <si>
    <t>FUTBOL FM SOL</t>
  </si>
  <si>
    <t>1-1457137-2</t>
  </si>
  <si>
    <t>Direccion De Prensa Y Medios De Comunicacion</t>
  </si>
  <si>
    <t>GOBIERNO  27 DE ABRIL DIA GRANDE DE JUJUY....</t>
  </si>
  <si>
    <t>1-1457204-2</t>
  </si>
  <si>
    <t>EJESA CORTE....</t>
  </si>
  <si>
    <t>12-1455958-4</t>
  </si>
  <si>
    <t>Sepelios San Jose SRL.</t>
  </si>
  <si>
    <t>SEPELIOS SAN JOSE S.R.L. SERVICIOS SOCIALES</t>
  </si>
  <si>
    <t>1-1457217-2</t>
  </si>
  <si>
    <t>Gaitan  Gonzalo Luis</t>
  </si>
  <si>
    <t>+ CARMEN MERCEDES VEGA DE GASPAR "TITINA" Falleció el día 26por su eterno descanso y acompañan a la familia en su dolor.</t>
  </si>
  <si>
    <t>1-1457220-3</t>
  </si>
  <si>
    <t>Secundario Nº 1 Crucero Gral. Belgrano</t>
  </si>
  <si>
    <t>+ TEVES ARMANDO GUILLERMO Falleció  25 de abril 2021 El colegando elevar una oración para su eterno descanso de su alma.</t>
  </si>
  <si>
    <t>1-1457222-2</t>
  </si>
  <si>
    <t>279278</t>
  </si>
  <si>
    <t>CARGAR CUENTA DE WERCHOW  MOD 1X3 BYN   +BERTA FELISA RAMOS</t>
  </si>
  <si>
    <t>Sup Automotor</t>
  </si>
  <si>
    <t>1-1451973-3</t>
  </si>
  <si>
    <t>Duran Jorge Rafael</t>
  </si>
  <si>
    <t>279372</t>
  </si>
  <si>
    <t>CENTRO VOLKSWAGEN-SUP. AUTOMOTOR</t>
  </si>
  <si>
    <t>1-1452137-2</t>
  </si>
  <si>
    <t>Gentile Sergio Radames</t>
  </si>
  <si>
    <t>279377</t>
  </si>
  <si>
    <t>HAFID</t>
  </si>
  <si>
    <t>1-1452138-2</t>
  </si>
  <si>
    <t>Escalera Elías Alejandro</t>
  </si>
  <si>
    <t>279378</t>
  </si>
  <si>
    <t>CENTRO AUTOMOTOR</t>
  </si>
  <si>
    <t>1-1452145-2</t>
  </si>
  <si>
    <t>Salaberry Alejandro Esteban</t>
  </si>
  <si>
    <t>279390</t>
  </si>
  <si>
    <t>LUBRINOR</t>
  </si>
  <si>
    <t>1-1455352-3</t>
  </si>
  <si>
    <t>EICHENBERGER JULIANA ANDREA</t>
  </si>
  <si>
    <t>278666</t>
  </si>
  <si>
    <t>D.F.D REPUESTOS</t>
  </si>
  <si>
    <t>1-1455353-2</t>
  </si>
  <si>
    <t>278667</t>
  </si>
  <si>
    <t>Xtreme Neumáticos</t>
  </si>
  <si>
    <t>1-1455355-7</t>
  </si>
  <si>
    <t>Quispe Amante Julio Cesar</t>
  </si>
  <si>
    <t>278668</t>
  </si>
  <si>
    <t>El Lobito Repuestos</t>
  </si>
  <si>
    <t>1-1455356-2</t>
  </si>
  <si>
    <t>Neumatone Srl</t>
  </si>
  <si>
    <t>278669</t>
  </si>
  <si>
    <t>Neumatone</t>
  </si>
  <si>
    <t>1-1455357-2</t>
  </si>
  <si>
    <t>Motonoa S.R.L.</t>
  </si>
  <si>
    <t>278670</t>
  </si>
  <si>
    <t>Motonoa</t>
  </si>
  <si>
    <t>1-1455358-2</t>
  </si>
  <si>
    <t>Toyojuy-Chevrojuy S.R.L</t>
  </si>
  <si>
    <t>278671</t>
  </si>
  <si>
    <t>Toyojuy-Chevrojuy</t>
  </si>
  <si>
    <t>1-1455362-2</t>
  </si>
  <si>
    <t>Warnes Repuestos Noa S.A.</t>
  </si>
  <si>
    <t>278672</t>
  </si>
  <si>
    <t>Warnes Repuestos</t>
  </si>
  <si>
    <t>1-1455363-5</t>
  </si>
  <si>
    <t>ORTEGA JUAN CARLOS</t>
  </si>
  <si>
    <t>278673</t>
  </si>
  <si>
    <t>Ortega Automotores</t>
  </si>
  <si>
    <t>1-1455364-5</t>
  </si>
  <si>
    <t>Bejarano Alborta Mario Alvaro</t>
  </si>
  <si>
    <t>278674</t>
  </si>
  <si>
    <t>CAR PRO</t>
  </si>
  <si>
    <t>1-1455891-5</t>
  </si>
  <si>
    <t>Peressin Pablo Marcelo</t>
  </si>
  <si>
    <t>279199</t>
  </si>
  <si>
    <t>INDECAR</t>
  </si>
  <si>
    <t>1-1456541-3</t>
  </si>
  <si>
    <t>Melli Automotores S.R.L.</t>
  </si>
  <si>
    <t>a2021</t>
  </si>
  <si>
    <t>MELLI AUTOMOTORES</t>
  </si>
  <si>
    <t>1-1455192-10</t>
  </si>
  <si>
    <t>4x06</t>
  </si>
  <si>
    <t>1x17</t>
  </si>
  <si>
    <t>3x06</t>
  </si>
  <si>
    <t>2x13</t>
  </si>
  <si>
    <t>Total 17</t>
  </si>
  <si>
    <t>3x35</t>
  </si>
  <si>
    <t>Total 23</t>
  </si>
  <si>
    <t>Total 24</t>
  </si>
  <si>
    <t>Total 30</t>
  </si>
  <si>
    <t>Total 31</t>
  </si>
  <si>
    <t>1x15</t>
  </si>
  <si>
    <t>2x07</t>
  </si>
  <si>
    <t>SEPELIOS SAN JOSE S.R.L. SERVICI</t>
  </si>
  <si>
    <t>CARGAR CUENTA DE WERCHOW  MOD 1X</t>
  </si>
  <si>
    <t>+ CARMEN MERCEDES VEGA DE GASPAR</t>
  </si>
  <si>
    <t>+ TEVES ARMANDO GUILLERMO Fallec</t>
  </si>
  <si>
    <t>GOBIERNO  27 DE ABRIL DIA GRANDE</t>
  </si>
  <si>
    <t>COLEGIO FARMACEUTICOS DE JUJUY C</t>
  </si>
  <si>
    <t>COLEGIO DE ABOGADOS - RESOLUCION</t>
  </si>
  <si>
    <t>IITA - PROPUESTA EDUCATIVA (boni</t>
  </si>
  <si>
    <t>SE BUSCA CARPINTERO  EN MELAMINA</t>
  </si>
  <si>
    <t xml:space="preserve">PERICO                          </t>
  </si>
  <si>
    <t>SEVERINO  *VENDO*  100 HAS. COMU</t>
  </si>
  <si>
    <t>Llamado a Asamblea- Club Deporti</t>
  </si>
  <si>
    <t xml:space="preserve">Asamblea de Asociación Civil de </t>
  </si>
  <si>
    <t>MOTONIVELADORA ZANELLO RU13200 a</t>
  </si>
  <si>
    <t>TRAILER VIVIENDA, 12 X2.40, reve</t>
  </si>
  <si>
    <t>EDICTO DE CITACION   LA DIRECCIO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</si>
</sst>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\ * #,##0.00_-;\-&quot;$&quot;\ * #,##0.00_-;_-&quot;$&quot;\ * &quot;-&quot;??_-;_-@_-"/>
    <numFmt numFmtId="164" formatCode="[$$ -2C0A]#,##0.00;[$$ -2C0A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color indexed="8"/>
      <name val="Verdana"/>
      <family val="2"/>
    </font>
    <font>
      <b/>
      <sz val="10"/>
      <name val="Verdana"/>
      <family val="2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20"/>
      <color indexed="8"/>
      <name val="Arial"/>
      <family val="2"/>
    </font>
    <font>
      <sz val="20"/>
      <color indexed="8"/>
      <name val="Arial"/>
    </font>
    <font>
      <b/>
      <sz val="10"/>
      <color rgb="FFFF0000"/>
      <name val="Verdana"/>
      <family val="2"/>
    </font>
    <font>
      <sz val="10"/>
      <color theme="9"/>
      <name val="Verdana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>
      <alignment vertical="top"/>
    </xf>
    <xf numFmtId="0" fontId="1" fillId="0" borderId="0">
      <alignment vertical="top"/>
    </xf>
    <xf numFmtId="44" fontId="7" fillId="0" borderId="0" applyFont="0" applyFill="0" applyBorder="0" applyAlignment="0" applyProtection="0"/>
  </cellStyleXfs>
  <cellXfs count="28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3" fillId="0" borderId="3" xfId="0" applyNumberFormat="1" applyFont="1" applyBorder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8" fillId="0" borderId="0" xfId="0" applyFont="1">
      <alignment vertical="top"/>
    </xf>
    <xf numFmtId="44" fontId="8" fillId="0" borderId="0" xfId="2" applyFont="1" applyAlignment="1">
      <alignment vertical="top"/>
    </xf>
    <xf numFmtId="44" fontId="9" fillId="0" borderId="0" xfId="2" applyNumberFormat="1" applyFont="1" applyAlignment="1">
      <alignment vertical="top"/>
    </xf>
    <xf numFmtId="44" fontId="0" fillId="0" borderId="0" xfId="0" applyNumberFormat="1">
      <alignment vertical="top"/>
    </xf>
    <xf numFmtId="0" fontId="10" fillId="0" borderId="2" xfId="0" pivotButton="1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5" fillId="0" borderId="3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right" vertical="top"/>
    </xf>
    <xf numFmtId="0" fontId="11" fillId="0" borderId="3" xfId="0" applyNumberFormat="1" applyFont="1" applyBorder="1" applyAlignment="1">
      <alignment horizontal="center" vertical="top"/>
    </xf>
    <xf numFmtId="0" fontId="11" fillId="0" borderId="8" xfId="0" applyFont="1" applyBorder="1" applyAlignment="1">
      <alignment horizontal="right" vertical="top"/>
    </xf>
    <xf numFmtId="0" fontId="11" fillId="0" borderId="9" xfId="0" applyNumberFormat="1" applyFont="1" applyBorder="1" applyAlignment="1">
      <alignment horizontal="center" vertical="top"/>
    </xf>
    <xf numFmtId="0" fontId="11" fillId="0" borderId="2" xfId="0" applyFont="1" applyBorder="1" applyAlignment="1">
      <alignment horizontal="right" vertical="center" wrapText="1"/>
    </xf>
    <xf numFmtId="0" fontId="11" fillId="0" borderId="7" xfId="0" applyFont="1" applyBorder="1" applyAlignment="1">
      <alignment horizontal="right" vertical="center" wrapText="1"/>
    </xf>
  </cellXfs>
  <cellStyles count="3">
    <cellStyle name="Moneda" xfId="2" builtinId="4"/>
    <cellStyle name="Normal" xfId="0" builtinId="0"/>
    <cellStyle name="Normal 2" xfId="1"/>
  </cellStyles>
  <dxfs count="1031"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theme="9"/>
      </font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theme="9" tint="-0.249977111117893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theme="9"/>
      </font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theme="9" tint="-0.499984740745262"/>
      </font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theme="9"/>
      </font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theme="9"/>
      </font>
    </dxf>
    <dxf>
      <font>
        <color theme="9" tint="-0.249977111117893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theme="9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theme="9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9"/>
      </font>
    </dxf>
    <dxf>
      <font>
        <color theme="9" tint="-0.249977111117893"/>
      </font>
    </dxf>
    <dxf>
      <font>
        <b val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b/>
      </font>
    </dxf>
    <dxf>
      <numFmt numFmtId="0" formatCode="General"/>
    </dxf>
    <dxf>
      <font>
        <b/>
        <i/>
        <strike val="0"/>
        <color auto="1"/>
      </font>
      <fill>
        <patternFill>
          <bgColor theme="0" tint="-0.24994659260841701"/>
        </patternFill>
      </fill>
    </dxf>
    <dxf>
      <font>
        <b/>
        <i/>
        <strike val="0"/>
        <color auto="1"/>
      </font>
      <fill>
        <patternFill>
          <bgColor theme="0" tint="-0.24994659260841701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strike val="0"/>
        <color auto="1"/>
      </font>
      <fill>
        <patternFill patternType="solid">
          <fgColor auto="1"/>
          <bgColor theme="0" tint="-0.24994659260841701"/>
        </patternFill>
      </fill>
    </dxf>
    <dxf>
      <font>
        <b/>
        <i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9" tint="-0.249977111117893"/>
      </font>
    </dxf>
    <dxf>
      <alignment horizontal="center" readingOrder="0"/>
    </dxf>
    <dxf>
      <alignment horizontal="center" readingOrder="0"/>
    </dxf>
    <dxf>
      <alignment horizontal="right" readingOrder="0"/>
    </dxf>
    <dxf>
      <font>
        <color auto="1"/>
      </font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Arial"/>
        <scheme val="none"/>
      </font>
      <numFmt numFmtId="34" formatCode="_-&quot;$&quot;\ * #,##0.00_-;\-&quot;$&quot;\ * #,##0.00_-;_-&quot;$&quot;\ * &quot;-&quot;??_-;_-@_-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Arial"/>
        <scheme val="none"/>
      </font>
    </dxf>
    <dxf>
      <font>
        <strike val="0"/>
        <outline val="0"/>
        <shadow val="0"/>
        <u val="none"/>
        <vertAlign val="baseline"/>
        <sz val="20"/>
        <color indexed="8"/>
        <name val="ARIAL"/>
        <scheme val="none"/>
      </font>
    </dxf>
    <dxf>
      <font>
        <strike val="0"/>
        <outline val="0"/>
        <shadow val="0"/>
        <u val="none"/>
        <vertAlign val="baseline"/>
        <sz val="20"/>
        <color indexed="8"/>
        <name val="ARIAL"/>
        <scheme val="none"/>
      </font>
    </dxf>
    <dxf>
      <font>
        <strike val="0"/>
        <outline val="0"/>
        <shadow val="0"/>
        <u val="none"/>
        <vertAlign val="baseline"/>
        <sz val="20"/>
        <color indexed="8"/>
        <name val="ARIAL"/>
        <scheme val="none"/>
      </font>
    </dxf>
    <dxf>
      <font>
        <strike val="0"/>
        <outline val="0"/>
        <shadow val="0"/>
        <u val="none"/>
        <vertAlign val="baseline"/>
        <sz val="20"/>
        <color indexed="8"/>
        <name val="ARIAL"/>
        <scheme val="none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313.457155208336" createdVersion="4" refreshedVersion="4" minRefreshableVersion="3" recordCount="114">
  <cacheSource type="worksheet">
    <worksheetSource name="InputData"/>
  </cacheSource>
  <cacheFields count="19">
    <cacheField name="Section" numFmtId="0">
      <sharedItems count="15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55186-3"/>
        <s v="1-1456573-1"/>
        <s v="1-1456638-3"/>
        <s v="1-1456999-2"/>
        <s v="1-1455146-3"/>
        <s v="1-1455155-1"/>
        <s v="1-1456922-2"/>
        <s v="1-1455163-6"/>
        <s v="12-1455446-5"/>
        <s v="12-1455448-3"/>
        <s v="12-1455463-5"/>
        <s v="12-1456375-2"/>
        <s v="1-1456713-2"/>
        <s v="1-1456782-4"/>
        <s v="12-1456962-6"/>
        <s v="12-1455444-4"/>
        <s v="12-1456373-5"/>
        <s v="1-1456623-2"/>
        <s v="1-1456632-2"/>
        <s v="1-1456778-3"/>
        <s v="1-1456779-3"/>
        <s v="1-1456781-2"/>
        <s v="1-1456783-2"/>
        <s v="1-1456934-3"/>
        <s v="12-1457034-2"/>
        <s v="1-1457081-1"/>
        <s v="1-1455128-7"/>
        <s v="1-1455144-14"/>
        <s v="1-1455148-6"/>
        <s v="13-1455037-4"/>
        <s v="1-1455504-2"/>
        <s v="1-1456073-2"/>
        <s v="1-1457075-2"/>
        <s v="1-1457090-2"/>
        <s v="1-1457130-2"/>
        <s v="1-1457146-1"/>
        <s v="1-1457192-3"/>
        <s v="1-1456973-2"/>
        <s v="1-1429658-17"/>
        <s v="13-1455035-1"/>
        <s v="13-1455036-2"/>
        <s v="1-1457125-3"/>
        <s v="1-1457128-2"/>
        <s v="1-1456775-2"/>
        <s v="1-1455182-1"/>
        <s v="1-1455183-1"/>
        <s v="1-1455184-1"/>
        <s v="1-1456845-3"/>
        <s v="1-1456864-2"/>
        <s v="1-1456993-2"/>
        <s v="1-1455230-2"/>
        <s v="1-1455713-1"/>
        <s v="1-1455180-1"/>
        <s v="1-1455510-2"/>
        <s v="1-1455821-2"/>
        <s v="1-1456780-2"/>
        <s v="1-1457051-4"/>
        <s v="1-1456622-3"/>
        <s v="1-1457186-2"/>
        <s v="1-1457187-2"/>
        <s v="1-1456823-2"/>
        <s v="1-1455150-2"/>
        <s v="12-1456246-2"/>
        <s v="12-1456832-4"/>
        <s v="1-1452204-3"/>
        <s v="1-1456743-2"/>
        <s v="1-1455131-1"/>
        <s v="1-1450349-2"/>
        <s v="1-1455129-1"/>
        <s v="1-1455158-1"/>
        <s v="1-1455433-5"/>
        <s v="1-1457181-4"/>
        <s v="1-1457193-2"/>
        <s v="1-1457203-4"/>
        <s v="1-1455132-1"/>
        <s v="1-1455470-13"/>
        <s v="1-1455574-21"/>
        <s v="1-1455162-1"/>
        <s v="1-1455763-19"/>
        <s v="1-1457137-2"/>
        <s v="1-1457204-2"/>
        <s v="1-1454910-5"/>
        <s v="1-1450027-4"/>
        <s v="1-1457018-1"/>
        <s v="1-1457072-2"/>
        <s v="1-1452341-1"/>
        <s v="1-1455171-1"/>
        <s v="1-1456291-2"/>
        <s v="1-1455153-1"/>
        <s v="1-1455413-1"/>
        <s v="1-1455569-1"/>
        <s v="1-1455655-3"/>
        <s v="1-1455893-3"/>
        <s v="1-1456260-2"/>
        <s v="12-1455958-4"/>
        <s v="1-1457217-2"/>
        <s v="1-1457220-3"/>
        <s v="1-1457222-2"/>
        <s v="1-1451973-3"/>
        <s v="1-1452137-2"/>
        <s v="1-1452138-2"/>
        <s v="1-1452145-2"/>
        <s v="1-1455352-3"/>
        <s v="1-1455353-2"/>
        <s v="1-1455355-7"/>
        <s v="1-1455356-2"/>
        <s v="1-1455357-2"/>
        <s v="1-1455358-2"/>
        <s v="1-1455362-2"/>
        <s v="1-1455363-5"/>
        <s v="1-1455364-5"/>
        <s v="1-1455891-5"/>
        <s v="1-1456541-3"/>
        <s v="1-1455192-10"/>
        <s v="1-1447761-2" u="1"/>
        <s v="1-1447945-2" u="1"/>
        <s v="10-1446878-5" u="1"/>
        <s v="10-1433334-4" u="1"/>
        <s v="10-1453641-2" u="1"/>
        <s v="1-1435561-3" u="1"/>
        <s v="1-1451843-2" u="1"/>
        <s v="1-1455144-6" u="1"/>
        <s v="1-1455944-2" u="1"/>
        <s v="10-1441001-2" u="1"/>
        <s v="12-1431970-24" u="1"/>
        <s v="1-1433237-2" u="1"/>
        <s v="1-1453236-2" u="1"/>
        <s v="1-1421237-2" u="1"/>
        <s v="1-1425338-2" u="1"/>
        <s v="1-1441236-2" u="1"/>
        <s v="1-1445137-3" u="1"/>
        <s v="1-1445245-2" u="1"/>
        <s v="1-1449038-4" u="1"/>
        <s v="1-1449438-2" u="1"/>
        <s v="1-1435845-3" u="1"/>
        <s v="1-1439870-2" u="1"/>
        <s v="1-1439962-2" u="1"/>
        <s v="1-1455136-7" u="1"/>
        <s v="1-1429728-10" u="1"/>
        <s v="1-1433061-2" u="1"/>
        <s v="1-1433429-2" u="1"/>
        <s v="1-1437070-2" u="1"/>
        <s v="1-1447961-2" u="1"/>
        <s v="12-1435918-6" u="1"/>
        <s v="1-1445437-2" u="1"/>
        <s v="1-1449154-3" u="1"/>
        <s v="1-1449354-2" u="1"/>
        <s v="10-1456637-3" u="1"/>
        <s v="1-1431952-2" u="1"/>
        <s v="1-1435561-4" u="1"/>
        <s v="1-1439862-3" u="1"/>
        <s v="1-1455144-7" u="1"/>
        <s v="1-1455360-5" u="1"/>
        <s v="1-1435562-17" u="1"/>
        <s v="1-1440029-13" u="1"/>
        <s v="1-1433129-4" u="1"/>
        <s v="1-1433161-2" u="1"/>
        <s v="1-1433437-2" u="1"/>
        <s v="1-1453528-2" u="1"/>
        <s v="1-1433944-7" u="1"/>
        <s v="1-1449038-5" u="1"/>
        <s v="1-1435861-3" u="1"/>
        <s v="1-1433537-2" u="1"/>
        <s v="1-1437270-2" u="1"/>
        <s v="1-1437454-2" u="1"/>
        <s v="1-1453060-3" u="1"/>
        <s v="1-1453336-3" u="1"/>
        <s v="1-1453444-2" u="1"/>
        <s v="1-1453628-2" u="1"/>
        <s v="1-1425270-2" u="1"/>
        <s v="1-1441244-3" u="1"/>
        <s v="1-1441260-2" u="1"/>
        <s v="1-1445361-2" u="1"/>
        <s v="1-1445729-2" u="1"/>
        <s v="1-1439862-4" u="1"/>
        <s v="1-1455144-8" u="1"/>
        <s v="1-1455760-4" u="1"/>
        <s v="11-1433425-2" u="1"/>
        <s v="1-1433637-2" u="1"/>
        <s v="1-1437738-2" u="1"/>
        <s v="1-1429839-2" u="1"/>
        <s v="1-1445461-2" u="1"/>
        <s v="10-1432757-2" u="1"/>
        <s v="1-1437638-3" u="1"/>
        <s v="1-1453460-2" u="1"/>
        <s v="1-1453828-2" u="1"/>
        <s v="1-1431029-2" u="1"/>
        <s v="1-1431045-1" u="1"/>
        <s v="1-1429755-2" u="1"/>
        <s v="1-1429939-2" u="1"/>
        <s v="1-1441736-2" u="1"/>
        <s v="1-1445837-2" u="1"/>
        <s v="1-1445929-2" u="1"/>
        <s v="1-1449462-3" u="1"/>
        <s v="1-1449570-2" u="1"/>
        <s v="1-1449862-1" u="1"/>
        <s v="1-1447138-2" u="1"/>
        <s v="1-1455144-9" u="1"/>
        <s v="11-1436437-2" u="1"/>
        <s v="1-1433561-2" u="1"/>
        <s v="1-1433637-3" u="1"/>
        <s v="1-1433929-2" u="1"/>
        <s v="1-1453836-2" u="1"/>
        <s v="1-1453928-2" u="1"/>
        <s v="1-1431037-2" u="1"/>
        <s v="1-1455137-2" u="1"/>
        <s v="1-1429839-3" u="1"/>
        <s v="1-1441836-2" u="1"/>
        <s v="1-1445661-2" u="1"/>
        <s v="1-1445845-2" u="1"/>
        <s v="1-1445937-2" u="1"/>
        <s v="1-1443029-3" u="1"/>
        <s v="1-1450299-6" u="1"/>
        <s v="12-1444480-2" u="1"/>
        <s v="13-1452995-2" u="1"/>
        <s v="1-1437654-3" u="1"/>
        <s v="1-1437762-2" u="1"/>
        <s v="1-1437854-2" u="1"/>
        <s v="1-1453336-5" u="1"/>
        <s v="1-1423937-6" u="1"/>
        <s v="1-1455053-2" u="1"/>
        <s v="1-1436415-15" u="1"/>
        <s v="1-1429939-3" u="1"/>
        <s v="1-1429955-2" u="1"/>
        <s v="1-1441660-2" u="1"/>
        <s v="1-1445745-3" u="1"/>
        <s v="1-1445761-2" u="1"/>
        <s v="1-1445945-2" u="1"/>
        <s v="1-1449954-2" u="1"/>
        <s v="1-1439770-6" u="1"/>
        <s v="1-1440689-10" u="1"/>
        <s v="10-1435665-2" u="1"/>
        <s v="1-1433637-4" u="1"/>
        <s v="1-1437754-3" u="1"/>
        <s v="1-1453944-2" u="1"/>
        <s v="1-1431037-3" u="1"/>
        <s v="1-1435138-3" u="1"/>
        <s v="1-1439163-2" u="1"/>
        <s v="1-1439347-2" u="1"/>
        <s v="1-1455229-3" u="1"/>
        <s v="1-1455261-1" u="1"/>
        <s v="1-1441760-2" u="1"/>
        <s v="1-1445861-2" u="1"/>
        <s v="1-1449038-8" u="1"/>
        <s v="1-1449670-3" u="1"/>
        <s v="1-1447254-2" u="1"/>
        <s v="1-1450299-7" u="1"/>
        <s v="10-1434917-2" u="1"/>
        <s v="11-1439437-2" u="1"/>
        <s v="1-1433861-2" u="1"/>
        <s v="1-1437654-4" u="1"/>
        <s v="1-1453336-6" u="1"/>
        <s v="1-1437655-17" u="1"/>
        <s v="1-1431061-2" u="1"/>
        <s v="1-1435162-2" u="1"/>
        <s v="1-1435438-2" u="1"/>
        <s v="1-1455053-3" u="1"/>
        <s v="1-1455253-2" u="1"/>
        <s v="1-1441860-2" u="1"/>
        <s v="1-1449570-4" u="1"/>
        <s v="1-1443237-3" u="1"/>
        <s v="1-1443637-1" u="1"/>
        <s v="1-1443729-1" u="1"/>
        <s v="1-1447354-2" u="1"/>
        <s v="1-1437862-3" u="1"/>
        <s v="1-1437970-2" u="1"/>
        <s v="1-1453960-2" u="1"/>
        <s v="11-1433356-2" u="1"/>
        <s v="1-1431037-4" u="1"/>
        <s v="1-1431437-2" u="1"/>
        <s v="1-1435170-2" u="1"/>
        <s v="1-1429763-4" u="1"/>
        <s v="1-1429871-3" u="1"/>
        <s v="1-1445845-4" u="1"/>
        <s v="1-1443537-2" u="1"/>
        <s v="1-1437654-5" u="1"/>
        <s v="12-1443699-2" u="1"/>
        <s v="1-1431245-3" u="1"/>
        <s v="1-1435454-2" u="1"/>
        <s v="1-1435470-1" u="1"/>
        <s v="1-1439447-3" u="1"/>
        <s v="1-1455161-3" u="1"/>
        <s v="1-1455253-3" u="1"/>
        <s v="1-1455361-2" u="1"/>
        <s v="1-1443653-1" u="1"/>
        <s v="1-1447738-2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-1455553-2" u="1"/>
        <s v="1-1455829-2" u="1"/>
        <s v="1-1445845-5" u="1"/>
        <s v="1-1443661-1" u="1"/>
        <s v="1-1443737-2" u="1"/>
        <s v="1-1437654-6" u="1"/>
        <s v="10-1430932-1" u="1"/>
        <s v="1-1431645-2" u="1"/>
        <s v="1-1435562-2" u="1"/>
        <s v="1-1439447-4" u="1"/>
        <s v="1-1455161-4" u="1"/>
        <s v="1-1455253-4" u="1"/>
        <s v="1-1455653-2" u="1"/>
        <s v="1-1455729-3" u="1"/>
        <s v="1-1455837-2" u="1"/>
        <s v="1-1433038-2" u="1"/>
        <s v="1-1437047-2" u="1"/>
        <s v="1-1438264-13" u="1"/>
        <s v="1-1433637-7" u="1"/>
        <s v="1-1449147-2" u="1"/>
        <s v="13-1447171-2" u="1"/>
        <s v="1-1431929-2" u="1"/>
        <s v="1-1435554-3" u="1"/>
        <s v="1-1435570-2" u="1"/>
        <s v="1-1435662-2" u="1"/>
        <s v="1-1435738-3" u="1"/>
        <s v="1-1435754-2" u="1"/>
        <s v="1-1451328-5" u="1"/>
        <s v="1-1451344-4" u="1"/>
        <s v="11-1431379-2" u="1"/>
        <s v="1-1445845-6" u="1"/>
        <s v="1-1453229-2" u="1"/>
        <s v="1-1443829-3" u="1"/>
        <s v="1-1447762-2" u="1"/>
        <s v="12-1455783-5" u="1"/>
        <s v="1-1429048-3" u="1"/>
        <s v="1-1437654-7" u="1"/>
        <s v="1-1445054-2" u="1"/>
        <s v="11-1455503-2" u="1"/>
        <s v="1-1435562-3" u="1"/>
        <s v="1-1435670-2" u="1"/>
        <s v="1-1439863-2" u="1"/>
        <s v="1-1451828-3" u="1"/>
        <s v="1-1455161-5" u="1"/>
        <s v="1-1455253-5" u="1"/>
        <s v="1-1455761-2" u="1"/>
        <s v="1-1455837-3" u="1"/>
        <s v="12-1454046-2" u="1"/>
        <s v="1-1437447-1" u="1"/>
        <s v="1-1443853-2" u="1"/>
        <s v="1-1425155-2" u="1"/>
        <s v="10-1435664-2" u="1"/>
        <s v="1-1435554-4" u="1"/>
        <s v="1-1439963-2" u="1"/>
        <s v="1-1451544-4" u="1"/>
        <s v="1-1455861-2" u="1"/>
        <s v="11-1433379-2" u="1"/>
        <s v="1-1433338-2" u="1"/>
        <s v="1-1437347-2" u="1"/>
        <s v="1-1445845-7" u="1"/>
        <s v="1-1429048-4" u="1"/>
        <s v="1-1437654-8" u="1"/>
        <s v="1-1441337-2" u="1"/>
        <s v="1-1445254-2" u="1"/>
        <s v="10-1435636-3" u="1"/>
        <s v="1-1439863-3" u="1"/>
        <s v="1-1451860-2" u="1"/>
        <s v="1-1455161-6" u="1"/>
        <s v="1-1455837-4" u="1"/>
        <s v="1-1433162-2" u="1"/>
        <s v="1-1437355-2" u="1"/>
        <s v="1-1453529-2" u="1"/>
        <s v="12-1451578-7" u="1"/>
        <s v="12-1451994-4" u="1"/>
        <s v="12-1455006-3" u="1"/>
        <s v="1-1433262-2" u="1"/>
        <s v="1-1433338-3" u="1"/>
        <s v="1-1445845-8" u="1"/>
        <s v="1-1453629-2" u="1"/>
        <s v="1-1453737-1" u="1"/>
        <s v="12-1438144-11" u="1"/>
        <s v="1-1429048-5" u="1"/>
        <s v="1-1437654-9" u="1"/>
        <s v="1-1441137-4" u="1"/>
        <s v="1-1441461-1" u="1"/>
        <s v="1-1455161-7" u="1"/>
        <s v="1-1433454-2" u="1"/>
        <s v="1-1433638-2" u="1"/>
        <s v="1-1453161-3" u="1"/>
        <s v="1-1453637-2" u="1"/>
        <s v="1-1429656-2" u="1"/>
        <s v="1-1441453-2" u="1"/>
        <s v="1-1437747-2" u="1"/>
        <s v="1-1453829-2" u="1"/>
        <s v="1-1455146-1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47047-2" u="1"/>
        <s v="1-1455161-8" u="1"/>
        <s v="1-1455237-9" u="1"/>
        <s v="1-1437847-2" u="1"/>
        <s v="1-1453653-2" u="1"/>
        <s v="1-1453837-2" u="1"/>
        <s v="1-1455046-2" u="1"/>
        <s v="1-1429656-3" u="1"/>
        <s v="1-1429856-2" u="1"/>
        <s v="1-1445954-1" u="1"/>
        <s v="1-1449671-2" u="1"/>
        <s v="1-1447239-2" u="1"/>
        <s v="11-1436435-2" u="1"/>
        <s v="12-1441606-4" u="1"/>
        <s v="1-1433938-2" u="1"/>
        <s v="1-1437655-3" u="1"/>
        <s v="1-1437747-3" u="1"/>
        <s v="10-1441114-2" u="1"/>
        <s v="1-1439448-1" u="1"/>
        <s v="1-1455054-2" u="1"/>
        <s v="1-1432379-21" u="1"/>
        <s v="1-1429048-7" u="1"/>
        <s v="1-1445654-3" u="1"/>
        <s v="1-1445946-2" u="1"/>
        <s v="1-1449755-3" u="1"/>
        <s v="1-1435562-7" u="1"/>
        <s v="1-1435870-5" u="1"/>
        <s v="1-1433638-4" u="1"/>
        <s v="1-1433854-2" u="1"/>
        <s v="1-1437863-2" u="1"/>
        <s v="1-1453653-3" u="1"/>
        <s v="1-1436464-13" u="1"/>
        <s v="1-1429780-2" u="1"/>
        <s v="1-1441853-2" u="1"/>
        <s v="1-1445862-2" u="1"/>
        <s v="1-1445954-2" u="1"/>
        <s v="1-1449471-4" u="1"/>
        <s v="1-1447347-2" u="1"/>
        <s v="11-1442766-4" u="1"/>
        <s v="1-1453861-2" u="1"/>
        <s v="1-1431062-2" u="1"/>
        <s v="1-1431246-2" u="1"/>
        <s v="1-1435147-3" u="1"/>
        <s v="1-1435547-1" u="1"/>
        <s v="1-1439172-2" u="1"/>
        <s v="1-1452738-13" u="1"/>
        <s v="1-1429956-3" u="1"/>
        <s v="1-1438000-2" u="1"/>
        <s v="1-1441661-3" u="1"/>
        <s v="1-1445962-2" u="1"/>
        <s v="1-1449971-2" u="1"/>
        <s v="1-1435544-10" u="1"/>
        <s v="1-1435562-8" u="1"/>
        <s v="1-1443254-2" u="1"/>
        <s v="1-1428797-11" u="1"/>
        <s v="10-1435635-3" u="1"/>
        <s v="10-1436939-2" u="1"/>
        <s v="1-1433838-4" u="1"/>
        <s v="1-1453761-3" u="1"/>
        <s v="1-1453961-2" u="1"/>
        <s v="1-1431254-2" u="1"/>
        <s v="1-1435171-2" u="1"/>
        <s v="1-1435447-2" u="1"/>
        <s v="1-1455354-2" u="1"/>
        <s v="1-1436464-23" u="1"/>
        <s v="1-1438100-2" u="1"/>
        <s v="1-1441961-2" u="1"/>
        <s v="12-1438983-4" u="1"/>
        <s v="1-1443154-3" u="1"/>
        <s v="1-1447255-3" u="1"/>
        <s v="1-1440818-14" u="1"/>
        <s v="10-1435807-3" u="1"/>
        <s v="12-1430874-5" u="1"/>
        <s v="1-1433862-3" u="1"/>
        <s v="1-1433938-4" u="1"/>
        <s v="1-1437747-5" u="1"/>
        <s v="1-1431262-2" u="1"/>
        <s v="1-1435455-2" u="1"/>
        <s v="1-1435471-1" u="1"/>
        <s v="1-1439172-3" u="1"/>
        <s v="1-1435562-9" u="1"/>
        <s v="1-1443454-2" u="1"/>
        <s v="1-1443654-1" u="1"/>
        <s v="1-1447447-3" u="1"/>
        <s v="1-1447739-2" u="1"/>
        <s v="10-1451673-2" u="1"/>
        <s v="11-1433342-2" u="1"/>
        <s v="1-1431546-2" u="1"/>
        <s v="1-1435371-2" u="1"/>
        <s v="1-1435571-1" u="1"/>
        <s v="1-1455646-2" u="1"/>
        <s v="1-1452690-12" u="1"/>
        <s v="1-1429656-6" u="1"/>
        <s v="1-1457039-2" u="1"/>
        <s v="12-1439955-5" u="1"/>
        <s v="1-1443462-2" u="1"/>
        <s v="1-1443646-2" u="1"/>
        <s v="1-1447471-2" u="1"/>
        <s v="1-1447747-2" u="1"/>
        <s v="1-1444791-12" u="1"/>
        <s v="12-1431970-4" u="1"/>
        <s v="1-1437655-6" u="1"/>
        <s v="1-1445039-2" u="1"/>
        <s v="1-1432379-19" u="1"/>
        <s v="11-1433406-3" u="1"/>
        <s v="11-1433422-2" u="1"/>
        <s v="12-1443777-2" u="1"/>
        <s v="1-1435747-2" u="1"/>
        <s v="1-1439280-3" u="1"/>
        <s v="1-1439648-3" u="1"/>
        <s v="1-1451461-2" u="1"/>
        <s v="1-1451645-2" u="1"/>
        <s v="1-1455346-4" u="1"/>
        <s v="1-1455470-2" u="1"/>
        <s v="1-1437048-2" u="1"/>
        <s v="1-1443162-4" u="1"/>
        <s v="1-1447571-2" u="1"/>
        <s v="1-1447739-3" u="1"/>
        <s v="1-1447939-2" u="1"/>
        <s v="1-1445139-2" u="1"/>
        <s v="1-1449148-2" u="1"/>
        <s v="1-1431362-3" u="1"/>
        <s v="1-1435371-3" u="1"/>
        <s v="1-1435571-2" u="1"/>
        <s v="1-1435847-2" u="1"/>
        <s v="1-1451929-2" u="1"/>
        <s v="1-1429162-10" u="1"/>
        <s v="1-1435376-16" u="1"/>
        <s v="1-1433047-2" u="1"/>
        <s v="1-1443462-3" u="1"/>
        <s v="1-1443646-3" u="1"/>
        <s v="1-1443846-2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51753-2" u="1"/>
        <s v="1-1455470-3" u="1"/>
        <s v="1-1455746-3" u="1"/>
        <s v="1-1433055-2" u="1"/>
        <s v="1-1447771-2" u="1"/>
        <s v="1-1447971-1" u="1"/>
        <s v="1-1420999-30" u="1"/>
        <s v="1-1449072-2" u="1"/>
        <s v="10-1434938-2" u="1"/>
        <s v="12-1445473-3" u="1"/>
        <s v="1-1431454-4" u="1"/>
        <s v="1-1431854-2" u="1"/>
        <s v="1-1435371-4" u="1"/>
        <s v="1-1435755-3" u="1"/>
        <s v="1-1435771-2" u="1"/>
        <s v="1-1451853-2" u="1"/>
        <s v="1-1455570-3" u="1"/>
        <s v="1-1451362-17" u="1"/>
        <s v="1-1429656-8" u="1"/>
        <s v="1-1433047-3" u="1"/>
        <s v="1-1457071-2" u="1"/>
        <s v="1-1438749-13" u="1"/>
        <s v="1-1443462-4" u="1"/>
        <s v="1-1443646-4" u="1"/>
        <s v="1-1447839-4" u="1"/>
        <s v="1-1429049-4" u="1"/>
        <s v="1-1437655-8" u="1"/>
        <s v="1-1441246-2" u="1"/>
        <s v="1-1431662-3" u="1"/>
        <s v="1-1435671-3" u="1"/>
        <s v="1-1451861-2" u="1"/>
        <s v="1-1451953-2" u="1"/>
        <s v="1-1455470-4" u="1"/>
        <s v="11-1432365-2" u="1"/>
        <s v="11-1433377-2" u="1"/>
        <s v="1-1433255-2" u="1"/>
        <s v="1-1433439-2" u="1"/>
        <s v="1-1453254-2" u="1"/>
        <s v="1-1447755-4" u="1"/>
        <s v="10-1435742-2" u="1"/>
        <s v="1-1431962-2" u="1"/>
        <s v="1-1435371-5" u="1"/>
        <s v="1-1448300-1" u="1"/>
        <s v="1-1451961-2" u="1"/>
        <s v="1-1429522-12" u="1"/>
        <s v="1-1429656-9" u="1"/>
        <s v="1-1433047-4" u="1"/>
        <s v="1-1433171-2" u="1"/>
        <s v="1-1453446-2" u="1"/>
        <s v="1-1453538-2" u="1"/>
        <s v="1-1443462-5" u="1"/>
        <s v="1-1443646-5" u="1"/>
        <s v="1-1429049-5" u="1"/>
        <s v="1-1437655-9" u="1"/>
        <s v="1-1437747-9" u="1"/>
        <s v="1-1441354-2" u="1"/>
        <s v="1-1445271-2" u="1"/>
        <s v="1-1449172-3" u="1"/>
        <s v="1-1449648-2" u="1"/>
        <s v="1-1439880-3" u="1"/>
        <s v="1-1443039-1" u="1"/>
        <s v="1-1448200-2" u="1"/>
        <s v="1-1455470-5" u="1"/>
        <s v="1-1455870-3" u="1"/>
        <s v="10-1432697-2" u="1"/>
        <s v="11-1452524-2" u="1"/>
        <s v="1-1433255-3" u="1"/>
        <s v="1-1433455-2" u="1"/>
        <s v="1-1453270-2" u="1"/>
        <s v="1-1453346-3" u="1"/>
        <s v="1-1453546-2" u="1"/>
        <s v="1-1453638-2" u="1"/>
        <s v="12-1430148-2" u="1"/>
        <s v="1-1425280-2" u="1"/>
        <s v="1-1441070-3" u="1"/>
        <s v="1-1449380-2" u="1"/>
        <s v="1-1449564-2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53370-2" u="1"/>
        <s v="1-1453554-2" u="1"/>
        <s v="1-1436300-2" u="1"/>
        <s v="1-1443462-6" u="1"/>
        <s v="1-1443646-6" u="1"/>
        <s v="1-1455039-2" u="1"/>
        <s v="1-1429049-6" u="1"/>
        <s v="1-1429849-2" u="1"/>
        <s v="1-1445655-2" u="1"/>
        <s v="1-1445947-1" u="1"/>
        <s v="1-1455144-10" u="1"/>
        <s v="10-1438650-2" u="1"/>
        <s v="1-1435671-5" u="1"/>
        <s v="1-1435871-4" u="1"/>
        <s v="1-1448400-2" u="1"/>
        <s v="1-1455470-6" u="1"/>
        <s v="1-1448409-15" u="1"/>
        <s v="11-1437469-2" u="1"/>
        <s v="1-1433255-4" u="1"/>
        <s v="1-1433471-2" u="1"/>
        <s v="1-1433671-1" u="1"/>
        <s v="1-1437664-2" u="1"/>
        <s v="1-1437848-2" u="1"/>
        <s v="1-1453346-4" u="1"/>
        <s v="1-1453470-2" u="1"/>
        <s v="1-1453654-2" u="1"/>
        <s v="1-1453838-2" u="1"/>
        <s v="1-1435048-2" u="1"/>
        <s v="1-1455139-2" u="1"/>
        <s v="1-1445939-2" u="1"/>
        <s v="1-1449472-3" u="1"/>
        <s v="1-1449580-2" u="1"/>
        <s v="1-1449672-2" u="1"/>
        <s v="1-1449764-2" u="1"/>
        <s v="1-1455224-11" u="1"/>
        <s v="1-1431362-7" u="1"/>
        <s v="1-1433339-5" u="1"/>
        <s v="1-1433555-3" u="1"/>
        <s v="1-1433847-2" u="1"/>
        <s v="1-1433939-2" u="1"/>
        <s v="10-1442228-2" u="1"/>
        <s v="1-1431047-2" u="1"/>
        <s v="1-1439065-2" u="1"/>
        <s v="1-1443462-7" u="1"/>
        <s v="1-1455071-1" u="1"/>
        <s v="1-1429049-7" u="1"/>
        <s v="1-1429973-1" u="1"/>
        <s v="1-1449864-2" u="1"/>
        <s v="1-1435671-6" u="1"/>
        <s v="1-1443239-2" u="1"/>
        <s v="1-1455470-7" u="1"/>
        <s v="1-1433255-5" u="1"/>
        <s v="1-1433839-3" u="1"/>
        <s v="1-1433947-2" u="1"/>
        <s v="1-1437864-2" u="1"/>
        <s v="1-1453346-5" u="1"/>
        <s v="1-1453946-2" u="1"/>
        <s v="1-1431055-2" u="1"/>
        <s v="1-1451038-3" u="1"/>
        <s v="1-1429781-2" u="1"/>
        <s v="1-1429873-2" u="1"/>
        <s v="1-1441470-3" u="1"/>
        <s v="1-1445171-5" u="1"/>
        <s v="1-1445739-4" u="1"/>
        <s v="1-1445771-2" u="1"/>
        <s v="1-1445955-2" u="1"/>
        <s v="1-1431362-8" u="1"/>
        <s v="10-1435657-3" u="1"/>
        <s v="13-1431980-2" u="1"/>
        <s v="1-1433339-6" u="1"/>
        <s v="1-1433555-4" u="1"/>
        <s v="1-1433971-1" u="1"/>
        <s v="1-1453370-4" u="1"/>
        <s v="1-1435148-3" u="1"/>
        <s v="1-1439265-2" u="1"/>
        <s v="1-1455071-2" u="1"/>
        <s v="1-1455163-2" u="1"/>
        <s v="1-1429865-3" u="1"/>
        <s v="1-1429881-2" u="1"/>
        <s v="1-1441770-2" u="1"/>
        <s v="1-1435709-11" u="1"/>
        <s v="1-1443347-2" u="1"/>
        <s v="1-1455470-8" u="1"/>
        <s v="10-1433805-3" u="1"/>
        <s v="10-1455936-2" u="1"/>
        <s v="11-1456500-2" u="1"/>
        <s v="1-1433255-6" u="1"/>
        <s v="1-1433671-3" u="1"/>
        <s v="1-1433855-3" u="1"/>
        <s v="1-1453346-6" u="1"/>
        <s v="10-1442300-1" u="1"/>
        <s v="1-1431439-2" u="1"/>
        <s v="1-1435172-2" u="1"/>
        <s v="1-1439273-2" u="1"/>
        <s v="1-1439457-2" u="1"/>
        <s v="1-1451038-4" u="1"/>
        <s v="1-1455447-2" u="1"/>
        <s v="1-1441470-4" u="1"/>
        <s v="1-1443139-4" u="1"/>
        <s v="1-1443463-1" u="1"/>
        <s v="1-1448700-3" u="1"/>
        <s v="10-1455540-3" u="1"/>
        <s v="12-1445540-3" u="1"/>
        <s v="1-1446189-11" u="1"/>
        <s v="13-1445295-2" u="1"/>
        <s v="1-1431171-2" u="1"/>
        <s v="1-1431339-3" u="1"/>
        <s v="1-1431539-2" u="1"/>
        <s v="1-1435548-2" u="1"/>
        <s v="1-1439173-3" u="1"/>
        <s v="1-1451170-2" u="1"/>
        <s v="1-1455163-3" u="1"/>
        <s v="1-1455271-2" u="1"/>
        <s v="1-1455363-2" u="1"/>
        <s v="1-1455639-2" u="1"/>
        <s v="1-1429049-9" u="1"/>
        <s v="1-1443347-3" u="1"/>
        <s v="1-1443471-1" u="1"/>
        <s v="1-1447264-3" u="1"/>
        <s v="1-1455470-9" u="1"/>
        <s v="1-1448481-23" u="1"/>
        <s v="10-1438565-3" u="1"/>
        <s v="1-1433255-7" u="1"/>
        <s v="12-1441867-2" u="1"/>
        <s v="1-1435264-3" u="1"/>
        <s v="1-1435372-2" u="1"/>
        <s v="1-1451270-2" u="1"/>
        <s v="1-1451546-2" u="1"/>
        <s v="1-1455647-2" u="1"/>
        <s v="1-1455739-2" u="1"/>
        <s v="12-1430147-2" u="1"/>
        <s v="1-1445955-4" u="1"/>
        <s v="1-1443647-2" u="1"/>
        <s v="1-1443739-2" u="1"/>
        <s v="1-1447164-4" u="1"/>
        <s v="1-1447472-2" u="1"/>
        <s v="1-1447764-1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51646-2" u="1"/>
        <s v="1-1455163-4" u="1"/>
        <s v="1-1455347-4" u="1"/>
        <s v="1-1455363-3" u="1"/>
        <s v="1-1455839-2" u="1"/>
        <s v="1-1443347-4" u="1"/>
        <s v="12-1450415-9" u="1"/>
        <s v="1-1453346-8" u="1"/>
        <s v="11-1436364-2" u="1"/>
        <s v="11-1436456-2" u="1"/>
        <s v="1-1431455-3" u="1"/>
        <s v="1-1431471-2" u="1"/>
        <s v="1-1431839-2" u="1"/>
        <s v="1-1435372-3" u="1"/>
        <s v="1-1435448-4" u="1"/>
        <s v="1-1435648-3" u="1"/>
        <s v="1-1451546-3" u="1"/>
        <s v="1-1434400-2" u="1"/>
        <s v="1-1437057-2" u="1"/>
        <s v="1-1445955-5" u="1"/>
        <s v="1-1443463-3" u="1"/>
        <s v="1-1443647-3" u="1"/>
        <s v="1-1443939-2" u="1"/>
        <s v="1-1433339-9" u="1"/>
        <s v="1-1433555-7" u="1"/>
        <s v="1-1445056-2" u="1"/>
        <s v="10-1453639-4" u="1"/>
        <s v="10-1455787-2" u="1"/>
        <s v="11-1436352-2" u="1"/>
        <s v="1-1435748-3" u="1"/>
        <s v="1-1435764-2" u="1"/>
        <s v="1-1451570-2" u="1"/>
        <s v="1-1451846-2" u="1"/>
        <s v="1-1455163-5" u="1"/>
        <s v="1-1455363-4" u="1"/>
        <s v="11-1431387-2" u="1"/>
        <s v="12-1454066-2" u="1"/>
        <s v="1-1453239-2" u="1"/>
        <s v="1-1443347-5" u="1"/>
        <s v="1-1443947-2" u="1"/>
        <s v="1-1441239-2" u="1"/>
        <s v="1-1453346-9" u="1"/>
        <s v="1-1426518-15" u="1"/>
        <s v="1-1431947-2" u="1"/>
        <s v="1-1435572-3" u="1"/>
        <s v="1-1435648-4" u="1"/>
        <s v="1-1451854-2" u="1"/>
        <s v="1-1441470-7" u="1"/>
        <s v="1-1445955-6" u="1"/>
        <s v="1-1453139-3" u="1"/>
        <s v="1-1453171-1" u="1"/>
        <s v="1-1425073-2" u="1"/>
        <s v="1-1441339-2" u="1"/>
        <s v="1-1445256-2" u="1"/>
        <s v="1-1449265-2" u="1"/>
        <s v="10-1433924-2" u="1"/>
        <s v="11-1456403-3" u="1"/>
        <s v="1-1435672-3" u="1"/>
        <s v="1-1435748-4" u="1"/>
        <s v="1-1443347-6" u="1"/>
        <s v="1-1443696-15" u="1"/>
        <s v="1-1443788-15" u="1"/>
        <s v="1-1441271-1" u="1"/>
        <s v="1-1449181-2" u="1"/>
        <s v="1-1431747-4" u="1"/>
        <s v="1-1435572-4" u="1"/>
        <s v="1-1435648-5" u="1"/>
        <s v="1-1435864-3" u="1"/>
        <s v="1-1455847-4" u="1"/>
        <s v="11-1452562-1" u="1"/>
        <s v="1-1433172-2" u="1"/>
        <s v="1-1437365-2" u="1"/>
        <s v="1-1453263-2" u="1"/>
        <s v="1-1453447-2" u="1"/>
        <s v="1-1443647-5" u="1"/>
        <s v="1-1437654-10" u="1"/>
        <s v="1-1445364-2" u="1"/>
        <s v="1-1431971-2" u="1"/>
        <s v="1-1435672-4" u="1"/>
        <s v="1-1435748-5" u="1"/>
        <s v="1-1440008-15" u="1"/>
        <s v="10-1452598-3" u="1"/>
        <s v="1-1437373-2" u="1"/>
        <s v="1-1453347-3" u="1"/>
        <s v="1-1443347-7" u="1"/>
        <s v="1-1429166-4" u="1"/>
        <s v="1-1429566-2" u="1"/>
        <s v="1-1441363-2" u="1"/>
        <s v="1-1441747-1" u="1"/>
        <s v="1-1445464-2" u="1"/>
        <s v="10-1437752-2" u="1"/>
        <s v="1-1435648-6" u="1"/>
        <s v="12-1438147-2" u="1"/>
        <s v="1-1453539-3" u="1"/>
        <s v="12-1438144-20" u="1"/>
        <s v="1-1443647-6" u="1"/>
        <s v="1-1437654-20" u="1"/>
        <s v="1-1429190-3" u="1"/>
        <s v="1-1429758-2" u="1"/>
        <s v="1-1441463-2" u="1"/>
        <s v="1-1445856-1" u="1"/>
        <s v="1-1449281-3" u="1"/>
        <s v="1-1449481-2" u="1"/>
        <s v="1-1435672-5" u="1"/>
        <s v="1-1433472-2" u="1"/>
        <s v="1-1433564-2" u="1"/>
        <s v="1-1433672-1" u="1"/>
        <s v="1-1437373-3" u="1"/>
        <s v="1-1453271-3" u="1"/>
        <s v="1-1453839-2" u="1"/>
        <s v="1-1429166-5" u="1"/>
        <s v="1-1429858-2" u="1"/>
        <s v="1-1445756-2" u="1"/>
        <s v="1-1449581-2" u="1"/>
        <s v="1-1449857-2" u="1"/>
        <s v="1-1435572-6" u="1"/>
        <s v="1-1448301-3" u="1"/>
        <s v="1-1448501-2" u="1"/>
        <s v="1-1433464-3" u="1"/>
        <s v="1-1437857-2" u="1"/>
        <s v="1-1453663-2" u="1"/>
        <s v="1-1443647-7" u="1"/>
        <s v="12-1434071-11" u="1"/>
        <s v="1-1429190-4" u="1"/>
        <s v="1-1429666-3" u="1"/>
        <s v="1-1429866-2" u="1"/>
        <s v="1-1441663-2" u="1"/>
        <s v="1-1441847-2" u="1"/>
        <s v="1-1449865-2" u="1"/>
        <s v="1-1455161-10" u="1"/>
        <s v="1-1435672-6" u="1"/>
        <s v="1-1447065-2" u="1"/>
        <s v="1-1455763-6" u="1"/>
        <s v="12-1440202-6" u="1"/>
        <s v="1-1433964-1" u="1"/>
        <s v="1-1437373-4" u="1"/>
        <s v="1-1437773-2" u="1"/>
        <s v="1-1453271-4" u="1"/>
        <s v="12-1431306-2" u="1"/>
        <s v="12-1454049-3" u="1"/>
        <s v="1-1451255-1" u="1"/>
        <s v="1-1432141-15" u="1"/>
        <s v="1-1429290-4" u="1"/>
        <s v="1-1429782-2" u="1"/>
        <s v="1-1429966-2" u="1"/>
        <s v="1-1441471-3" u="1"/>
        <s v="1-1441671-2" u="1"/>
        <s v="1-1441763-2" u="1"/>
        <s v="1-1445864-2" u="1"/>
        <s v="1-1445956-2" u="1"/>
        <s v="1-1445972-1" u="1"/>
        <s v="12-1434071-9" u="1"/>
        <s v="1-1435572-7" u="1"/>
        <s v="1-1443156-2" u="1"/>
        <s v="1-1447349-2" u="1"/>
        <s v="1-1448701-2" u="1"/>
        <s v="1-1448506-16" u="1"/>
        <s v="10-1451510-4" u="1"/>
        <s v="10-1454946-2" u="1"/>
        <s v="1-1437873-2" u="1"/>
        <s v="1-1435165-2" u="1"/>
        <s v="1-1435457-1" u="1"/>
        <s v="1-1439358-2" u="1"/>
        <s v="1-1443647-8" u="1"/>
        <s v="1-1455056-3" u="1"/>
        <s v="1-1429790-2" u="1"/>
        <s v="1-1438002-2" u="1"/>
        <s v="1-1445672-3" u="1"/>
        <s v="1-1449865-3" u="1"/>
        <s v="1-1449881-2" u="1"/>
        <s v="1-1443164-2" u="1"/>
        <s v="1-1443256-2" u="1"/>
        <s v="1-1447049-4" u="1"/>
        <s v="1-1447265-2" u="1"/>
        <s v="1-1455763-7" u="1"/>
        <s v="12-1445746-3" u="1"/>
        <s v="1-1437373-5" u="1"/>
        <s v="1-1437973-2" u="1"/>
        <s v="1-1431072-2" u="1"/>
        <s v="1-1439258-3" u="1"/>
        <s v="1-1439458-2" u="1"/>
        <s v="1-1429290-5" u="1"/>
        <s v="1-1429890-2" u="1"/>
        <s v="1-1441471-4" u="1"/>
        <s v="1-1435572-8" u="1"/>
        <s v="1-1443464-1" u="1"/>
        <s v="1-1447549-2" u="1"/>
        <s v="1-1440728-14" u="1"/>
        <s v="10-1455518-5" u="1"/>
        <s v="1-1446101-2" u="1"/>
        <s v="1-1437654-18" u="1"/>
        <s v="10-1448078-2" u="1"/>
        <s v="1-1431156-3" u="1"/>
        <s v="1-1431172-2" u="1"/>
        <s v="1-1431464-1" u="1"/>
        <s v="1-1435365-2" u="1"/>
        <s v="1-1435565-1" u="1"/>
        <s v="1-1439282-2" u="1"/>
        <s v="1-1443647-9" u="1"/>
        <s v="1-1451539-2" u="1"/>
        <s v="1-1455364-2" u="1"/>
        <s v="1-1429990-2" u="1"/>
        <s v="1-1438110-2" u="1"/>
        <s v="1-1454100-2" u="1"/>
        <s v="1-1435562-10" u="1"/>
        <s v="1-1455763-8" u="1"/>
        <s v="1-1446201-2" u="1"/>
        <s v="1-1435265-3" u="1"/>
        <s v="1-1435281-2" u="1"/>
        <s v="1-1451363-2" u="1"/>
        <s v="1-1429290-6" u="1"/>
        <s v="1-1434201-2" u="1"/>
        <s v="1-1441471-5" u="1"/>
        <s v="1-1454200-2" u="1"/>
        <s v="1-1447565-2" u="1"/>
        <s v="1-1447749-2" u="1"/>
        <s v="1-1447765-1" u="1"/>
        <s v="1-1446301-2" u="1"/>
        <s v="1-1427947-10" u="1"/>
        <s v="1-1431172-3" u="1"/>
        <s v="1-1431372-2" u="1"/>
        <s v="1-1435181-3" u="1"/>
        <s v="1-1435257-4" u="1"/>
        <s v="1-1435365-3" u="1"/>
        <s v="1-1439758-2" u="1"/>
        <s v="1-1455364-3" u="1"/>
        <s v="1-1455564-2" u="1"/>
        <s v="12-1431970-18" u="1"/>
        <s v="1-1429990-3" u="1"/>
        <s v="1-1430209-15" u="1"/>
        <s v="1-1447265-4" u="1"/>
        <s v="1-1447849-2" u="1"/>
        <s v="1-1455763-9" u="1"/>
        <s v="1-1433672-5" u="1"/>
        <s v="1-1446206-16" u="1"/>
        <s v="12-1442265-5" u="1"/>
        <s v="1-1431072-4" u="1"/>
        <s v="1-1435757-2" u="1"/>
        <s v="1-1435957-1" u="1"/>
        <s v="1-1455280-3" u="1"/>
        <s v="1-1429290-7" u="1"/>
        <s v="1-1434401-2" u="1"/>
        <s v="1-1441471-6" u="1"/>
        <s v="1-1447965-1" u="1"/>
        <s v="1-1445257-1" u="1"/>
        <s v="12-1438014-3" u="1"/>
        <s v="1-1431172-4" u="1"/>
        <s v="1-1435257-5" u="1"/>
        <s v="1-1435365-4" u="1"/>
        <s v="1-1435857-2" u="1"/>
        <s v="1-1439958-2" u="1"/>
        <s v="1-1455364-4" u="1"/>
        <s v="12-1431970-26" u="1"/>
        <s v="1-1429990-4" u="1"/>
        <s v="1-1433149-2" u="1"/>
        <s v="1-1433165-1" u="1"/>
        <s v="1-1454500-2" u="1"/>
        <s v="1-1443564-3" u="1"/>
        <s v="1-1445157-2" u="1"/>
        <s v="1-1445249-2" u="1"/>
        <s v="1-1431856-2" u="1"/>
        <s v="1-1451655-3" u="1"/>
        <s v="1-1451763-2" u="1"/>
        <s v="1-1451855-2" u="1"/>
        <s v="11-1431369-3" u="1"/>
        <s v="1-1429290-8" u="1"/>
        <s v="1-1429658-8" u="1"/>
        <s v="1-1433065-2" u="1"/>
        <s v="1-1433157-2" u="1"/>
        <s v="1-1434601-2" u="1"/>
        <s v="1-1454600-2" u="1"/>
        <s v="1-1457057-3" u="1"/>
        <s v="1-1450568-12" u="1"/>
        <s v="1-1436010-1" u="1"/>
        <s v="1-1443772-2" u="1"/>
        <s v="1-1446701-2" u="1"/>
        <s v="1-1449358-2" u="1"/>
        <s v="12-1441601-4" u="1"/>
        <s v="1-1431172-5" u="1"/>
        <s v="1-1431664-3" u="1"/>
        <s v="1-1431864-2" u="1"/>
        <s v="1-1435257-6" u="1"/>
        <s v="1-1435365-5" u="1"/>
        <s v="1-1435457-5" u="1"/>
        <s v="1-1435965-2" u="1"/>
        <s v="1-1439790-2" u="1"/>
        <s v="1-1455856-3" u="1"/>
        <s v="10-1441201-2" u="1"/>
        <s v="11-1431373-2" u="1"/>
        <s v="11-1432477-2" u="1"/>
        <s v="1-1429990-5" u="1"/>
        <s v="1-1437174-2" u="1"/>
        <s v="1-1437358-2" u="1"/>
        <s v="1-1453148-3" u="1"/>
        <s v="1-1447881-2" u="1"/>
        <s v="1-1456001-2" u="1"/>
        <s v="1-1429475-1" u="1"/>
        <s v="1-1441456-1" u="1"/>
        <s v="1-1445449-2" u="1"/>
        <s v="1-1439658-5" u="1"/>
        <s v="1-1439982-2" u="1"/>
        <s v="1-1429290-9" u="1"/>
        <s v="1-1433081-2" u="1"/>
        <s v="1-1438610-3" u="1"/>
        <s v="1-1453356-2" u="1"/>
        <s v="1-1454800-2" u="1"/>
        <s v="1-1443972-2" u="1"/>
        <s v="1-1437655-10" u="1"/>
        <s v="1-1437747-10" u="1"/>
        <s v="12-1435918-7" u="1"/>
        <s v="1-1446501-4" u="1"/>
        <s v="1-1449282-2" u="1"/>
        <s v="12-1448785-2" u="1"/>
        <s v="1-1435257-7" u="1"/>
        <s v="1-1435365-6" u="1"/>
        <s v="1-1448202-2" u="1"/>
        <s v="1-1451971-2" u="1"/>
        <s v="1-1440029-14" u="1"/>
        <s v="10-1430969-2" u="1"/>
        <s v="1-1429990-6" u="1"/>
        <s v="1-1453348-3" u="1"/>
        <s v="1-1454900-2" u="1"/>
        <s v="1-1432101-2" u="1"/>
        <s v="1-1441364-2" u="1"/>
        <s v="1-1446601-4" u="1"/>
        <s v="1-1449474-2" u="1"/>
        <s v="10-1455705-4" u="1"/>
        <s v="1-1448302-2" u="1"/>
        <s v="1-1429656-20" u="1"/>
        <s v="1-1437490-1" u="1"/>
        <s v="1-1431049-1" u="1"/>
        <s v="1-1432201-2" u="1"/>
        <s v="1-1447981-3" u="1"/>
        <s v="1-1452200-2" u="1"/>
        <s v="1-1437655-20" u="1"/>
        <s v="1-1437747-20" u="1"/>
        <s v="1-1429759-2" u="1"/>
        <s v="1-1445181-3" u="1"/>
        <s v="1-1445857-1" u="1"/>
        <s v="1-1445949-1" u="1"/>
        <s v="1-1449574-2" u="1"/>
        <s v="1-1440200-2" u="1"/>
        <s v="1-1448310-2" u="1"/>
        <s v="11-1452520-2" u="1"/>
        <s v="1-1429990-7" u="1"/>
        <s v="1-1453656-2" u="1"/>
        <s v="1-1431149-1" u="1"/>
        <s v="1-1432301-2" u="1"/>
        <s v="1-1436202-3" u="1"/>
        <s v="1-1441764-1" u="1"/>
        <s v="1-1445757-2" u="1"/>
        <s v="1-1445849-2" u="1"/>
        <s v="1-1446601-5" u="1"/>
        <s v="1-1443249-1" u="1"/>
        <s v="1-1444401-2" u="1"/>
        <s v="11-1436465-2" u="1"/>
        <s v="1-1433449-4" u="1"/>
        <s v="1-1433465-3" u="1"/>
        <s v="1-1433681-1" u="1"/>
        <s v="1-1433865-1" u="1"/>
        <s v="1-1437382-3" u="1"/>
        <s v="1-1437658-3" u="1"/>
        <s v="1-1437858-2" u="1"/>
        <s v="1-1453480-2" u="1"/>
        <s v="12-1432064-2" u="1"/>
        <s v="1-1439067-2" u="1"/>
        <s v="1-1452200-3" u="1"/>
        <s v="1-1429575-3" u="1"/>
        <s v="1-1429975-1" u="1"/>
        <s v="1-1441464-3" u="1"/>
        <s v="1-1441480-2" u="1"/>
        <s v="1-1441864-1" u="1"/>
        <s v="1-1445381-3" u="1"/>
        <s v="1-1449482-3" u="1"/>
        <s v="1-1449958-2" u="1"/>
        <s v="1-1429990-8" u="1"/>
        <s v="1-1453948-2" u="1"/>
        <s v="1-1431057-2" u="1"/>
        <s v="1-1439075-2" u="1"/>
        <s v="1-1439167-2" u="1"/>
        <s v="1-1455173-1" u="1"/>
        <s v="1-1429783-2" u="1"/>
        <s v="1-1445957-2" u="1"/>
        <s v="1-1446601-6" u="1"/>
        <s v="1-1439658-8" u="1"/>
        <s v="1-1440700-1" u="1"/>
        <s v="1-1443049-3" u="1"/>
        <s v="1-1443157-2" u="1"/>
        <s v="1-1444401-3" u="1"/>
        <s v="1-1448702-2" u="1"/>
        <s v="12-1444880-1" u="1"/>
        <s v="1-1433481-3" u="1"/>
        <s v="1-1437658-4" u="1"/>
        <s v="1-1446102-1" u="1"/>
        <s v="1-1453480-3" u="1"/>
        <s v="11-1431384-2" u="1"/>
        <s v="1-1452200-4" u="1"/>
        <s v="1-1452600-2" u="1"/>
        <s v="1-1441464-4" u="1"/>
        <s v="1-1443349-2" u="1"/>
        <s v="1-1443457-1" u="1"/>
        <s v="1-1447282-1" u="1"/>
        <s v="1-1440689-11" u="1"/>
        <s v="1-1433581-3" u="1"/>
        <s v="1-1433857-3" u="1"/>
        <s v="1-1433965-2" u="1"/>
        <s v="1-1453780-2" u="1"/>
        <s v="1-1453964-2" u="1"/>
        <s v="10-1443224-2" u="1"/>
        <s v="12-1454251-1" u="1"/>
        <s v="1-1431457-1" u="1"/>
        <s v="1-1436802-2" u="1"/>
        <s v="1-1429983-2" u="1"/>
        <s v="1-1441380-4" u="1"/>
        <s v="1-1446601-7" u="1"/>
        <s v="1-1443449-2" u="1"/>
        <s v="1-1447274-2" u="1"/>
        <s v="1-1448902-2" u="1"/>
        <s v="1-1433849-4" u="1"/>
        <s v="1-1437658-5" u="1"/>
        <s v="1-1437890-2" u="1"/>
        <s v="1-1453480-4" u="1"/>
        <s v="1-1453680-3" u="1"/>
        <s v="1-1437747-18" u="1"/>
        <s v="1-1431157-3" u="1"/>
        <s v="1-1435258-3" u="1"/>
        <s v="1-1436810-2" u="1"/>
        <s v="1-1439267-3" u="1"/>
        <s v="1-1452200-5" u="1"/>
        <s v="1-1452800-2" u="1"/>
        <s v="1-1455181-2" u="1"/>
        <s v="1-1455349-3" u="1"/>
        <s v="12-1450086-2" u="1"/>
        <s v="1-1445781-3" u="1"/>
        <s v="1-1449882-3" u="1"/>
        <s v="1-1454101-2" u="1"/>
        <s v="1-1424902-2" u="1"/>
        <s v="1-1440800-2" u="1"/>
        <s v="1-1448910-2" u="1"/>
        <s v="1-1437990-2" u="1"/>
        <s v="1-1446202-2" u="1"/>
        <s v="1-1453780-3" u="1"/>
        <s v="1-1453980-2" u="1"/>
        <s v="10-1430968-2" u="1"/>
        <s v="10-1446236-2" u="1"/>
        <s v="11-1456499-2" u="1"/>
        <s v="12-1441795-2" u="1"/>
        <s v="1-1431549-2" u="1"/>
        <s v="1-1432901-2" u="1"/>
        <s v="1-1435282-2" u="1"/>
        <s v="1-1436802-3" u="1"/>
        <s v="10-1441179-2" u="1"/>
        <s v="1-1434110-2" u="1"/>
        <s v="1-1434202-2" u="1"/>
        <s v="1-1445957-4" u="1"/>
        <s v="1-1440900-2" u="1"/>
        <s v="1-1443081-3" u="1"/>
        <s v="1-1443373-2" u="1"/>
        <s v="1-1447274-3" u="1"/>
        <s v="10-1455720-3" u="1"/>
        <s v="1-1433557-6" u="1"/>
        <s v="1-1437658-6" u="1"/>
        <s v="1-1437890-3" u="1"/>
        <s v="10-1451967-2" u="1"/>
        <s v="11-1455567-2" u="1"/>
        <s v="1-1431649-2" u="1"/>
        <s v="1-1435258-4" u="1"/>
        <s v="1-1452200-6" u="1"/>
        <s v="1-1455657-2" u="1"/>
        <s v="1-1456901-3" u="1"/>
        <s v="1-1434302-2" u="1"/>
        <s v="1-1438003-4" u="1"/>
        <s v="1-1443749-2" u="1"/>
        <s v="1-1443949-1" u="1"/>
        <s v="1-1444901-3" u="1"/>
        <s v="10-1436921-2" u="1"/>
        <s v="10-1439865-2" u="1"/>
        <s v="12-1429957-2" u="1"/>
        <s v="1-1433965-4" u="1"/>
        <s v="1-1446202-3" u="1"/>
        <s v="1-1453780-4" u="1"/>
        <s v="13-1447579-2" u="1"/>
        <s v="1-1431857-1" u="1"/>
        <s v="1-1435390-2" u="1"/>
        <s v="1-1435590-1" u="1"/>
        <s v="1-1435758-2" u="1"/>
        <s v="1-1436802-4" u="1"/>
        <s v="1-1439567-3" u="1"/>
        <s v="1-1455449-4" u="1"/>
        <s v="1-1455757-2" u="1"/>
        <s v="1-1450300-2" u="1"/>
        <s v="1-1443481-2" u="1"/>
        <s v="1-1443757-2" u="1"/>
        <s v="1-1447766-2" u="1"/>
        <s v="1-1433339-10" u="1"/>
        <s v="1-1437658-7" u="1"/>
        <s v="1-1445074-1" u="1"/>
        <s v="1-1446502-2" u="1"/>
        <s v="10-1447304-2" u="1"/>
        <s v="12-1442571-3" u="1"/>
        <s v="1-1431849-2" u="1"/>
        <s v="1-1435258-5" u="1"/>
        <s v="1-1435290-3" u="1"/>
        <s v="1-1451480-2" u="1"/>
        <s v="1-1451848-2" u="1"/>
        <s v="1-1452200-7" u="1"/>
        <s v="10-1442139-3" u="1"/>
        <s v="12-1433167-2" u="1"/>
        <s v="1-1430401-2" u="1"/>
        <s v="1-1438203-4" u="1"/>
        <s v="1-1441464-7" u="1"/>
        <s v="1-1438264-14" u="1"/>
        <s v="1-1447466-4" u="1"/>
        <s v="1-1453346-10" u="1"/>
        <s v="1-1433965-5" u="1"/>
        <s v="1-1441149-2" u="1"/>
        <s v="1-1446602-2" u="1"/>
        <s v="1-1435482-3" u="1"/>
        <s v="1-1435590-2" u="1"/>
        <s v="1-1436802-5" u="1"/>
        <s v="1-1439967-2" u="1"/>
        <s v="1-1451856-2" u="1"/>
        <s v="1-1455281-4" u="1"/>
        <s v="1-1455757-3" u="1"/>
        <s v="1-1434602-2" u="1"/>
        <s v="1-1454201-4" u="1"/>
        <s v="1-1457074-2" u="1"/>
        <s v="1-1447874-2" u="1"/>
        <s v="1-1447966-2" u="1"/>
        <s v="1-1433557-8" u="1"/>
        <s v="1-1441249-2" u="1"/>
        <s v="1-1431865-2" u="1"/>
        <s v="1-1435258-6" u="1"/>
        <s v="1-1435674-3" u="1"/>
        <s v="1-1439775-3" u="1"/>
        <s v="1-1451680-2" u="1"/>
        <s v="1-1452200-8" u="1"/>
        <s v="1-1455781-2" u="1"/>
        <s v="1-1455857-3" u="1"/>
        <s v="11-1431383-2" u="1"/>
        <s v="12-1452222-2" u="1"/>
        <s v="1-1434610-2" u="1"/>
        <s v="1-1437067-3" u="1"/>
        <s v="1-1438203-5" u="1"/>
        <s v="1-1441464-8" u="1"/>
        <s v="1-1454701-2" u="1"/>
        <s v="1-1436003-2" u="1"/>
        <s v="1-1425175-2" u="1"/>
        <s v="1-1425267-2" u="1"/>
        <s v="1-1429476-1" u="1"/>
        <s v="1-1433965-6" u="1"/>
        <s v="1-1445174-2" u="1"/>
        <s v="1-1449275-2" u="1"/>
        <s v="1-1451780-2" u="1"/>
        <s v="1-1451948-3" u="1"/>
        <s v="11-1431371-2" u="1"/>
        <s v="12-1455138-3" u="1"/>
        <s v="1-1430701-2" u="1"/>
        <s v="1-1433082-2" u="1"/>
        <s v="1-1433174-2" u="1"/>
        <s v="1-1437075-3" u="1"/>
        <s v="1-1437367-2" u="1"/>
        <s v="1-1450700-2" u="1"/>
        <s v="1-1443481-4" u="1"/>
        <s v="1-1444801-6" u="1"/>
        <s v="1-1452201-1" u="1"/>
        <s v="1-1433557-9" u="1"/>
        <s v="1-1442801-2" u="1"/>
        <s v="1-1445274-2" u="1"/>
        <s v="1-1446902-2" u="1"/>
        <s v="1-1449175-3" u="1"/>
        <s v="1-1444302-1" u="1"/>
        <s v="1-1451880-2" u="1"/>
        <s v="1-1452200-9" u="1"/>
        <s v="1-1433274-2" u="1"/>
        <s v="1-1438203-6" u="1"/>
        <s v="1-1453273-2" u="1"/>
        <s v="1-1453349-3" u="1"/>
        <s v="1-1432102-2" u="1"/>
        <s v="1-1436203-2" u="1"/>
        <s v="1-1443981-2" u="1"/>
        <s v="1-1456202-2" u="1"/>
        <s v="1-1421182-2" u="1"/>
        <s v="1-1433965-7" u="1"/>
        <s v="1-1441073-3" u="1"/>
        <s v="1-1441273-2" u="1"/>
        <s v="1-1442901-2" u="1"/>
        <s v="1-1445282-2" u="1"/>
        <s v="1-1449475-2" u="1"/>
        <s v="1-1449567-2" u="1"/>
        <s v="10-1435640-3" u="1"/>
        <s v="1-1431949-4" u="1"/>
        <s v="1-1440301-1" u="1"/>
        <s v="1-1444202-2" u="1"/>
        <s v="1-1451964-3" u="1"/>
        <s v="1-1455757-5" u="1"/>
        <s v="13-1441622-2" u="1"/>
        <s v="1-1433282-2" u="1"/>
        <s v="1-1437367-3" u="1"/>
        <s v="12-1438144-21" u="1"/>
        <s v="1-1444801-7" u="1"/>
        <s v="1-1456302-2" u="1"/>
        <s v="1-1445274-3" u="1"/>
        <s v="1-1449175-4" u="1"/>
        <s v="1-1431881-3" u="1"/>
        <s v="1-1440201-2" u="1"/>
        <s v="1-1447067-1" u="1"/>
        <s v="1-1448311-2" u="1"/>
        <s v="1-1455857-5" u="1"/>
        <s v="12-1422979-2" u="1"/>
        <s v="1-1437375-3" u="1"/>
        <s v="1-1453473-2" u="1"/>
        <s v="1-1453673-1" u="1"/>
        <s v="12-1430154-2" u="1"/>
        <s v="12-1432086-2" u="1"/>
        <s v="1-1435159-1" u="1"/>
        <s v="1-1456402-2" u="1"/>
        <s v="1-1441473-2" u="1"/>
        <s v="1-1445482-2" u="1"/>
        <s v="1-1449275-4" u="1"/>
        <s v="1-1449767-2" u="1"/>
        <s v="10-1451770-2" u="1"/>
        <s v="1-1433374-3" u="1"/>
        <s v="1-1433482-2" u="1"/>
        <s v="1-1434710-4" u="1"/>
        <s v="1-1437367-4" u="1"/>
        <s v="1-1450700-4" u="1"/>
        <s v="1-1435059-2" u="1"/>
        <s v="1-1432139-24" u="1"/>
        <s v="1-1432379-12" u="1"/>
        <s v="12-1434071-12" u="1"/>
        <s v="1-1441373-3" u="1"/>
        <s v="1-1441849-2" u="1"/>
        <s v="1-1449175-5" u="1"/>
        <s v="1-1449959-2" u="1"/>
        <s v="12-1449851-2" u="1"/>
        <s v="10-1447303-2" u="1"/>
        <s v="1-1433382-3" u="1"/>
        <s v="1-1437375-4" u="1"/>
        <s v="1-1453349-5" u="1"/>
        <s v="1-1439368-1" u="1"/>
        <s v="1-1429968-2" u="1"/>
        <s v="1-1433965-9" u="1"/>
        <s v="1-1445482-3" u="1"/>
        <s v="1-1445882-1" u="1"/>
        <s v="1-1449967-2" u="1"/>
        <s v="12-1428920-2" u="1"/>
        <s v="1-1440501-2" u="1"/>
        <s v="1-1440701-1" u="1"/>
        <s v="1-1447167-2" u="1"/>
        <s v="1-1448411-3" u="1"/>
        <s v="1-1448611-2" u="1"/>
        <s v="1-1451580-6" u="1"/>
        <s v="10-1455686-3" u="1"/>
        <s v="13-1448366-3" u="1"/>
        <s v="1-1433374-4" u="1"/>
        <s v="1-1433682-2" u="1"/>
        <s v="1-1437367-5" u="1"/>
        <s v="1-1450700-5" u="1"/>
        <s v="1-1453681-2" u="1"/>
        <s v="1-1453773-2" u="1"/>
        <s v="1-1453849-3" u="1"/>
        <s v="11-1431378-3" u="1"/>
        <s v="12-1455269-2" u="1"/>
        <s v="1-1432379-22" u="1"/>
        <s v="1-1429792-2" u="1"/>
        <s v="1-1429976-2" u="1"/>
        <s v="1-1441773-2" u="1"/>
        <s v="1-1445274-5" u="1"/>
        <s v="1-1445874-2" u="1"/>
        <s v="1-1449591-3" u="1"/>
        <s v="1-1443166-2" u="1"/>
        <s v="1-1447467-1" u="1"/>
        <s v="1-1433382-4" u="1"/>
        <s v="1-1433782-2" u="1"/>
        <s v="1-1437375-5" u="1"/>
        <s v="1-1453873-2" u="1"/>
        <s v="1-1453949-3" u="1"/>
        <s v="12-1453217-3" u="1"/>
        <s v="1-1435267-2" u="1"/>
        <s v="1-1435467-1" u="1"/>
        <s v="1-1439092-2" u="1"/>
        <s v="1-1452501-3" u="1"/>
        <s v="1-1429876-3" u="1"/>
        <s v="1-1429968-3" u="1"/>
        <s v="1-1445482-4" u="1"/>
        <s v="1-1451362-10" u="1"/>
        <s v="1-1428812-2" u="1"/>
        <s v="1-1443174-2" u="1"/>
        <s v="1-1447075-3" u="1"/>
        <s v="1-1447259-3" u="1"/>
        <s v="1-1447291-1" u="1"/>
        <s v="1-1447459-2" u="1"/>
        <s v="11-1456410-3" u="1"/>
        <s v="12-1443222-6" u="1"/>
        <s v="1-1433682-3" u="1"/>
        <s v="1-1450700-6" u="1"/>
        <s v="1-1443647-10" u="1"/>
        <s v="11-1433378-3" u="1"/>
        <s v="1-1435259-3" u="1"/>
        <s v="1-1435367-2" u="1"/>
        <s v="1-1436903-2" u="1"/>
        <s v="1-1439192-2" u="1"/>
        <s v="1-1455274-2" u="1"/>
        <s v="1-1452738-14" u="1"/>
        <s v="1-1429976-3" u="1"/>
        <s v="1-1440801-2" u="1"/>
        <s v="1-1447375-2" u="1"/>
        <s v="10-1435743-3" u="1"/>
        <s v="12-1445942-2" u="1"/>
        <s v="1-1433382-5" u="1"/>
        <s v="1-1433982-2" u="1"/>
        <s v="1-1446111-2" u="1"/>
        <s v="1-1453981-2" u="1"/>
        <s v="13-1439018-2" u="1"/>
        <s v="1-1435175-3" u="1"/>
        <s v="1-1439492-1" u="1"/>
        <s v="1-1455174-3" u="1"/>
        <s v="1-1455190-2" u="1"/>
        <s v="1-1436464-24" u="1"/>
        <s v="1-1429892-3" u="1"/>
        <s v="1-1445482-5" u="1"/>
        <s v="1-1449891-3" u="1"/>
        <s v="1-1450301-1" u="1"/>
        <s v="1-1443666-1" u="1"/>
        <s v="1-1444802-3" u="1"/>
        <s v="1-1447567-2" u="1"/>
        <s v="1-1447767-1" u="1"/>
        <s v="1-1451580-8" u="1"/>
        <s v="10-1436943-2" u="1"/>
        <s v="1-1433682-4" u="1"/>
        <s v="1-1445059-1" u="1"/>
        <s v="10-1451977-2" u="1"/>
        <s v="12-1457029-4" u="1"/>
        <s v="1-1431466-2" u="1"/>
        <s v="1-1435259-4" u="1"/>
        <s v="1-1435859-1" u="1"/>
        <s v="1-1455674-1" u="1"/>
        <s v="1-1429976-4" u="1"/>
        <s v="1-1430202-2" u="1"/>
        <s v="1-1434211-2" u="1"/>
        <s v="1-1438220-2" u="1"/>
        <s v="1-1450201-2" u="1"/>
        <s v="1-1454210-2" u="1"/>
        <s v="1-1455763-10" u="1"/>
        <s v="1-1443382-2" u="1"/>
        <s v="1-1443674-1" u="1"/>
        <s v="1-1444902-3" u="1"/>
        <s v="1-1447591-1" u="1"/>
        <s v="1-1433382-6" u="1"/>
        <s v="1-1442102-3" u="1"/>
        <s v="1-1446111-3" u="1"/>
        <s v="1-1446311-2" u="1"/>
        <s v="10-1430938-3" u="1"/>
        <s v="10-1432686-3" u="1"/>
        <s v="12-1441381-4" u="1"/>
        <s v="1-1435267-4" u="1"/>
        <s v="1-1435559-3" u="1"/>
        <s v="1-1435575-2" u="1"/>
        <s v="1-1439568-3" u="1"/>
        <s v="1-1455666-2" u="1"/>
        <s v="1-1455758-2" u="1"/>
        <s v="1-1452690-13" u="1"/>
        <s v="1-1454110-3" u="1"/>
        <s v="1-1454310-2" u="1"/>
        <s v="1-1443466-3" u="1"/>
        <s v="1-1444802-4" u="1"/>
        <s v="1-1451580-9" u="1"/>
        <s v="12-1431970-5" u="1"/>
        <s v="1-1433682-5" u="1"/>
        <s v="1-1442402-2" u="1"/>
        <s v="10-1446010-3" u="1"/>
        <s v="1-1435259-5" u="1"/>
        <s v="1-1435567-3" u="1"/>
        <s v="1-1439792-1" u="1"/>
        <s v="1-1451849-2" u="1"/>
        <s v="10-1440233-2" u="1"/>
        <s v="12-1430141-2" u="1"/>
        <s v="1-1429976-5" u="1"/>
        <s v="1-1444902-4" u="1"/>
        <s v="1-1447867-2" u="1"/>
        <s v="1-1447959-2" u="1"/>
        <s v="1-1442302-3" u="1"/>
        <s v="1-1435267-5" u="1"/>
        <s v="1-1435391-3" u="1"/>
        <s v="1-1435667-3" u="1"/>
        <s v="1-1439968-2" u="1"/>
        <s v="1-1451549-4" u="1"/>
        <s v="1-1455390-3" u="1"/>
        <s v="1-1455574-3" u="1"/>
        <s v="1-1455590-2" u="1"/>
        <s v="1-1429162-11" u="1"/>
        <s v="1-1435376-17" u="1"/>
        <s v="1-1452690-23" u="1"/>
        <s v="1-1430302-3" u="1"/>
        <s v="1-1433067-2" u="1"/>
        <s v="1-1433267-1" u="1"/>
        <s v="1-1443466-4" u="1"/>
        <s v="1-1444802-5" u="1"/>
        <s v="1-1447875-2" u="1"/>
        <s v="1-1433682-6" u="1"/>
        <s v="1-1442402-3" u="1"/>
        <s v="1-1449084-2" u="1"/>
        <s v="1-1435567-4" u="1"/>
        <s v="1-1435675-3" u="1"/>
        <s v="1-1439868-3" u="1"/>
        <s v="1-1451773-2" u="1"/>
        <s v="1-1437084-2" u="1"/>
        <s v="1-1438620-2" u="1"/>
        <s v="1-1423983-1" u="1"/>
        <s v="1-1436004-2" u="1"/>
        <s v="1-1444902-5" u="1"/>
        <s v="1-1447975-2" u="1"/>
        <s v="1-1445159-3" u="1"/>
        <s v="1-1445267-2" u="1"/>
        <s v="1-1445359-2" u="1"/>
        <s v="1-1445467-1" u="1"/>
        <s v="1-1435267-6" u="1"/>
        <s v="1-1435391-4" u="1"/>
        <s v="1-1439568-5" u="1"/>
        <s v="1-1448012-2" u="1"/>
        <s v="1-1451781-2" u="1"/>
        <s v="1-1429290-10" u="1"/>
        <s v="1-1429658-10" u="1"/>
        <s v="1-1451362-18" u="1"/>
        <s v="11-1431381-2" u="1"/>
        <s v="1-1421290-8" u="1"/>
        <s v="1-1437368-2" u="1"/>
        <s v="1-1438612-3" u="1"/>
        <s v="1-1443466-5" u="1"/>
        <s v="1-1444802-6" u="1"/>
        <s v="1-1447891-2" u="1"/>
        <s v="1-1456103-2" u="1"/>
        <s v="1-1441174-2" u="1"/>
        <s v="1-1445259-3" u="1"/>
        <s v="1-1446811-2" u="1"/>
        <s v="1-1449192-2" u="1"/>
        <s v="1-1435567-5" u="1"/>
        <s v="1-1439868-4" u="1"/>
        <s v="1-1448020-2" u="1"/>
        <s v="1-1448204-2" u="1"/>
        <s v="1-1451373-5" u="1"/>
        <s v="1-1451881-2" u="1"/>
        <s v="1-1451973-2" u="1"/>
        <s v="1-1455890-2" u="1"/>
        <s v="11-1431737-2" u="1"/>
        <s v="12-1435429-2" u="1"/>
        <s v="1-1433259-3" u="1"/>
        <s v="1-1434611-3" u="1"/>
        <s v="1-1437068-4" u="1"/>
        <s v="1-1432011-2" u="1"/>
        <s v="1-1456203-2" u="1"/>
        <s v="1-1442902-2" u="1"/>
        <s v="1-1445559-2" u="1"/>
        <s v="1-1446511-4" u="1"/>
        <s v="12-1445941-2" u="1"/>
        <s v="1-1431982-2" u="1"/>
        <s v="1-1435267-7" u="1"/>
        <s v="1-1448212-2" u="1"/>
        <s v="1-1451981-2" u="1"/>
        <s v="1-1429522-13" u="1"/>
        <s v="10-1446429-2" u="1"/>
        <s v="1-1454910-2" u="1"/>
        <s v="1-1432111-2" u="1"/>
        <s v="1-1436012-3" u="1"/>
        <s v="1-1443466-6" u="1"/>
        <s v="1-1444802-7" u="1"/>
        <s v="1-1441466-2" u="1"/>
        <s v="1-1431866-4" u="1"/>
        <s v="1-1435259-8" u="1"/>
        <s v="1-1435567-6" u="1"/>
        <s v="1-1439868-5" u="1"/>
        <s v="1-1448312-2" u="1"/>
        <s v="1-1451373-6" u="1"/>
        <s v="1-1455763-18" u="1"/>
        <s v="1-1433567-2" u="1"/>
        <s v="1-1433859-1" u="1"/>
        <s v="1-1450601-4" u="1"/>
        <s v="1-1453090-3" u="1"/>
        <s v="1-1453290-2" u="1"/>
        <s v="1-1436204-3" u="1"/>
        <s v="1-1445391-2" u="1"/>
        <s v="1-1439768-6" u="1"/>
        <s v="1-1448320-2" u="1"/>
        <s v="1-1455574-6" u="1"/>
        <s v="1-1429522-23" u="1"/>
        <s v="10-1446405-2" u="1"/>
        <s v="11-1436485-2" u="1"/>
        <s v="1-1453390-2" u="1"/>
        <s v="1-1443466-7" u="1"/>
        <s v="1-1444802-8" u="1"/>
        <s v="1-1456303-3" u="1"/>
        <s v="1-1429869-2" u="1"/>
        <s v="1-1441374-3" u="1"/>
        <s v="1-1445859-2" u="1"/>
        <s v="1-1455144-11" u="1"/>
        <s v="1-1435259-9" u="1"/>
        <s v="1-1435567-7" u="1"/>
        <s v="1-1439868-6" u="1"/>
        <s v="1-1440110-3" u="1"/>
        <s v="1-1443259-1" u="1"/>
        <s v="1-1451373-7" u="1"/>
        <s v="1-1448409-16" u="1"/>
        <s v="10-1430925-3" u="1"/>
        <s v="1-1437868-2" u="1"/>
        <s v="1-1437884-1" u="1"/>
        <s v="1-1453474-3" u="1"/>
        <s v="1-1453766-2" u="1"/>
        <s v="1-1431059-2" u="1"/>
        <s v="1-1436020-4" u="1"/>
        <s v="1-1447991-4" u="1"/>
        <s v="1-1452210-3" u="1"/>
        <s v="1-1456603-2" u="1"/>
        <s v="1-1429785-2" u="1"/>
        <s v="1-1429969-2" u="1"/>
        <s v="1-1441474-3" u="1"/>
        <s v="1-1441490-2" u="1"/>
        <s v="1-1449892-1" u="1"/>
        <s v="1-1455224-12" u="1"/>
        <s v="1-1447076-2" u="1"/>
        <s v="1-1448304-4" u="1"/>
        <s v="1-1455574-7" u="1"/>
        <s v="1-1433591-2" u="1"/>
        <s v="1-1433867-2" u="1"/>
        <s v="1-1446104-1" u="1"/>
        <s v="1-1453866-2" u="1"/>
        <s v="1-1453958-2" u="1"/>
        <s v="1-1454910-4" u="1"/>
        <s v="1-1432711-1" u="1"/>
        <s v="1-1444802-9" u="1"/>
        <s v="1-1456411-3" u="1"/>
        <s v="1-1429793-2" u="1"/>
        <s v="1-1429885-2" u="1"/>
        <s v="1-1441374-4" u="1"/>
        <s v="1-1441774-2" u="1"/>
        <s v="1-1445091-5" u="1"/>
        <s v="1-1445659-4" u="1"/>
        <s v="1-1449884-2" u="1"/>
        <s v="12-1436989-6" u="1"/>
        <s v="1-1435567-8" u="1"/>
        <s v="1-1447284-1" u="1"/>
        <s v="1-1448820-1" u="1"/>
        <s v="1-1451373-8" u="1"/>
        <s v="1-1437868-3" u="1"/>
        <s v="12-1455267-2" u="1"/>
        <s v="1-1431259-2" u="1"/>
        <s v="1-1435084-2" u="1"/>
        <s v="1-1436020-5" u="1"/>
        <s v="1-1452210-4" u="1"/>
        <s v="1-1452610-2" u="1"/>
        <s v="1-1456311-4" u="1"/>
        <s v="1-1429985-2" u="1"/>
        <s v="1-1434004-2" u="1"/>
        <s v="1-1438105-2" u="1"/>
        <s v="1-1445591-3" u="1"/>
        <s v="1-1445791-2" u="1"/>
        <s v="1-1449892-2" u="1"/>
        <s v="1-1443083-2" u="1"/>
        <s v="1-1444511-3" u="1"/>
        <s v="1-1447292-1" u="1"/>
        <s v="1-1455574-8" u="1"/>
        <s v="1-1433867-3" u="1"/>
        <s v="1-1437784-3" u="1"/>
        <s v="1-1443648-10" u="1"/>
        <s v="11-1431380-2" u="1"/>
        <s v="1-1431159-3" u="1"/>
        <s v="1-1431559-1" u="1"/>
        <s v="1-1439193-2" u="1"/>
        <s v="1-1452710-2" u="1"/>
        <s v="1-1456811-2" u="1"/>
        <s v="1-1456903-2" u="1"/>
        <s v="1-1429993-2" u="1"/>
        <s v="1-1441374-5" u="1"/>
        <s v="1-1445891-2" u="1"/>
        <s v="1-1454011-2" u="1"/>
        <s v="1-1454103-2" u="1"/>
        <s v="1-1435709-12" u="1"/>
        <s v="1-1435567-9" u="1"/>
        <s v="1-1443091-2" u="1"/>
        <s v="1-1448481-14" u="1"/>
        <s v="1-1437868-4" u="1"/>
        <s v="1-1446112-2" u="1"/>
        <s v="10-1430988-2" u="1"/>
        <s v="1-1431367-2" u="1"/>
        <s v="1-1435284-2" u="1"/>
        <s v="1-1436820-2" u="1"/>
        <s v="1-1436912-2" u="1"/>
        <s v="1-1439277-3" u="1"/>
        <s v="1-1451458-2" u="1"/>
        <s v="1-1452810-2" u="1"/>
        <s v="1-1456911-2" u="1"/>
        <s v="1-1449892-3" u="1"/>
        <s v="1-1443467-2" u="1"/>
        <s v="1-1447384-2" u="1"/>
        <s v="1-1448612-4" u="1"/>
        <s v="1-1455574-9" u="1"/>
        <s v="10-1454404-6" u="1"/>
        <s v="1-1433867-4" u="1"/>
        <s v="1-1453990-2" u="1"/>
        <s v="1-1446189-12" u="1"/>
        <s v="11-1433380-2" u="1"/>
        <s v="1-1431467-2" u="1"/>
        <s v="1-1435568-2" u="1"/>
        <s v="1-1435584-1" u="1"/>
        <s v="1-1435768-1" u="1"/>
        <s v="1-1436812-3" u="1"/>
        <s v="1-1451358-3" u="1"/>
        <s v="12-1430083-2" u="1"/>
        <s v="1-1429993-3" u="1"/>
        <s v="1-1441374-6" u="1"/>
        <s v="1-1454211-2" u="1"/>
        <s v="1-1443383-2" u="1"/>
        <s v="1-1447484-2" u="1"/>
        <s v="1-1447576-2" u="1"/>
        <s v="1-1448481-24" u="1"/>
        <s v="10-1436941-2" u="1"/>
        <s v="1-1433891-3" u="1"/>
        <s v="1-1442211-2" u="1"/>
        <s v="1-1446312-2" u="1"/>
        <s v="1-1453890-3" u="1"/>
        <s v="1-1432611-4" u="1"/>
        <s v="1-1435668-2" u="1"/>
        <s v="1-1436020-7" u="1"/>
        <s v="1-1455759-2" u="1"/>
        <s v="1-1449892-4" u="1"/>
        <s v="1-1443467-3" u="1"/>
        <s v="1-1443483-2" u="1"/>
        <s v="1-1447584-2" u="1"/>
        <s v="1-1447784-1" u="1"/>
        <s v="1-1433867-5" u="1"/>
        <s v="1-1445076-1" u="1"/>
        <s v="11-1433632-2" u="1"/>
        <s v="11-1455563-2" u="1"/>
        <s v="1-1431591-1" u="1"/>
        <s v="1-1435292-3" u="1"/>
        <s v="1-1435568-3" u="1"/>
        <s v="1-1451358-4" u="1"/>
        <s v="1-1451666-2" u="1"/>
        <s v="12-1451254-2" u="1"/>
        <s v="1-1434412-2" u="1"/>
        <s v="1-1438513-2" u="1"/>
        <s v="1-1443491-2" u="1"/>
        <s v="1-1447592-2" u="1"/>
        <s v="1-1433891-4" u="1"/>
        <s v="1-1442303-3" u="1"/>
        <s v="1-1446512-2" u="1"/>
        <s v="11-1436748-2" u="1"/>
        <s v="11-1455551-2" u="1"/>
        <s v="1-1435668-3" u="1"/>
        <s v="1-1435684-2" u="1"/>
        <s v="1-1435884-1" u="1"/>
        <s v="1-1439893-1" u="1"/>
        <s v="1-1451658-3" u="1"/>
        <s v="1-1451858-2" u="1"/>
        <s v="1-1455191-4" u="1"/>
        <s v="1-1430411-2" u="1"/>
        <s v="1-1434604-2" u="1"/>
        <s v="1-1438505-3" u="1"/>
        <s v="1-1449892-5" u="1"/>
        <s v="1-1453159-2" u="1"/>
        <s v="1-1454603-2" u="1"/>
        <s v="1-1457076-2" u="1"/>
        <s v="1-1443467-4" u="1"/>
        <s v="1-1447692-2" u="1"/>
        <s v="1-1433867-6" u="1"/>
        <s v="1-1449085-2" u="1"/>
        <s v="1-1431867-2" u="1"/>
        <s v="1-1435384-4" u="1"/>
        <s v="1-1435568-4" u="1"/>
        <s v="1-1439977-2" u="1"/>
        <s v="1-1451358-5" u="1"/>
        <s v="1-1455491-3" u="1"/>
        <s v="10-1442151-2" u="1"/>
        <s v="12-1433147-3" u="1"/>
        <s v="1-1434612-2" u="1"/>
        <s v="1-1434720-1" u="1"/>
        <s v="1-1437085-2" u="1"/>
        <s v="1-1437177-2" u="1"/>
        <s v="1-1437285-1" u="1"/>
        <s v="1-1454903-1" u="1"/>
        <s v="1-1443691-2" u="1"/>
        <s v="1-1447976-2" u="1"/>
        <s v="1-1433891-5" u="1"/>
        <s v="1-1449277-2" u="1"/>
        <s v="1-1435268-6" u="1"/>
        <s v="1-1435668-4" u="1"/>
        <s v="1-1439877-3" u="1"/>
        <s v="1-1451690-2" u="1"/>
        <s v="1-1455191-5" u="1"/>
        <s v="1-1455283-5" u="1"/>
        <s v="1-1455591-3" u="1"/>
        <s v="12-1454054-3" u="1"/>
        <s v="12-1455266-2" u="1"/>
        <s v="12-1438144-14" u="1"/>
        <s v="1-1440810-5" u="1"/>
        <s v="1-1447984-2" u="1"/>
        <s v="1-1456104-2" u="1"/>
        <s v="1-1426705-3" u="1"/>
        <s v="1-1433867-7" u="1"/>
        <s v="1-1441267-2" u="1"/>
        <s v="1-1445092-2" u="1"/>
        <s v="1-1452200-10" u="1"/>
        <s v="1-1435568-5" u="1"/>
        <s v="1-1444012-2" u="1"/>
        <s v="1-1451358-6" u="1"/>
        <s v="1-1455491-4" u="1"/>
        <s v="1-1455891-2" u="1"/>
        <s v="1-1455983-2" u="1"/>
        <s v="11-1431563-2" u="1"/>
        <s v="1-1441790-6" u="1"/>
        <s v="1-1454503-4" u="1"/>
        <s v="1-1454903-2" u="1"/>
        <s v="1-1432012-2" u="1"/>
        <s v="1-1432104-2" u="1"/>
        <s v="1-1456312-1" u="1"/>
        <s v="1-1443696-16" u="1"/>
        <s v="1-1435668-5" u="1"/>
        <s v="1-1444204-2" u="1"/>
        <s v="1-1448305-2" u="1"/>
        <s v="1-1451890-2" u="1"/>
        <s v="1-1451966-3" u="1"/>
        <s v="1-1455191-6" u="1"/>
        <s v="1-1455867-4" u="1"/>
        <s v="11-1452562-2" u="1"/>
        <s v="1-1430811-2" u="1"/>
        <s v="1-1433084-3" u="1"/>
        <s v="1-1434420-4" u="1"/>
        <s v="1-1453483-1" u="1"/>
        <s v="12-1438144-22" u="1"/>
        <s v="1-1436013-3" u="1"/>
        <s v="1-1436305-2" u="1"/>
        <s v="1-1443467-6" u="1"/>
        <s v="1-1452203-2" u="1"/>
        <s v="1-1437654-11" u="1"/>
        <s v="1-1425293-2" u="1"/>
        <s v="1-1426705-4" u="1"/>
        <s v="1-1433867-8" u="1"/>
        <s v="1-1445476-2" u="1"/>
        <s v="1-1449577-2" u="1"/>
        <s v="1-1449669-2" u="1"/>
        <s v="1-1431991-2" u="1"/>
        <s v="1-1435568-6" u="1"/>
        <s v="1-1440003-3" u="1"/>
        <s v="1-1448221-2" u="1"/>
        <s v="1-1451358-7" u="1"/>
        <s v="1-1451790-3" u="1"/>
        <s v="1-1440008-16" u="1"/>
        <s v="12-1435215-3" u="1"/>
        <s v="1-1430911-2" u="1"/>
        <s v="1-1433384-2" u="1"/>
        <s v="1-1433476-2" u="1"/>
        <s v="1-1454903-3" u="1"/>
        <s v="1-1420911-6" u="1"/>
        <s v="1-1432012-3" u="1"/>
        <s v="1-1452211-2" u="1"/>
        <s v="1-1452303-2" u="1"/>
        <s v="1-1456204-3" u="1"/>
        <s v="1-1443696-26" u="1"/>
        <s v="1-1429186-4" u="1"/>
        <s v="1-1433891-7" u="1"/>
        <s v="1-1445376-3" u="1"/>
        <s v="1-1445392-2" u="1"/>
        <s v="1-1449477-3" u="1"/>
        <s v="10-1436940-2" u="1"/>
        <s v="1-1431567-6" u="1"/>
        <s v="1-1440303-2" u="1"/>
        <s v="1-1448321-2" u="1"/>
        <s v="1-1451966-4" u="1"/>
        <s v="1-1455191-7" u="1"/>
        <s v="12-1456506-2" u="1"/>
        <s v="1-1433284-3" u="1"/>
        <s v="1-1453759-2" u="1"/>
        <s v="1-1435077-1" u="1"/>
        <s v="1-1452111-3" u="1"/>
        <s v="1-1452403-2" u="1"/>
        <s v="1-1437654-21" u="1"/>
        <s v="12-1434071-13" u="1"/>
        <s v="1-1426705-5" u="1"/>
        <s v="1-1433867-9" u="1"/>
        <s v="1-1441683-1" u="1"/>
        <s v="1-1449777-2" u="1"/>
        <s v="1-1435568-7" u="1"/>
        <s v="1-1444412-2" u="1"/>
        <s v="1-1444504-2" u="1"/>
        <s v="1-1448405-3" u="1"/>
        <s v="1-1451358-8" u="1"/>
        <s v="1-1455891-4" u="1"/>
        <s v="1-1433292-3" u="1"/>
        <s v="1-1446005-1" u="1"/>
        <s v="1-1453091-4" u="1"/>
        <s v="1-1453491-2" u="1"/>
        <s v="1-1454903-4" u="1"/>
        <s v="13-1455037-2" u="1"/>
        <s v="1-1432012-4" u="1"/>
        <s v="1-1432412-2" u="1"/>
        <s v="1-1436205-4" u="1"/>
        <s v="1-1452503-2" u="1"/>
        <s v="1-1429186-5" u="1"/>
        <s v="1-1429786-2" u="1"/>
        <s v="1-1433891-8" u="1"/>
        <s v="1-1441491-2" u="1"/>
        <s v="1-1441767-2" u="1"/>
        <s v="10-1439536-5" u="1"/>
        <s v="1-1440503-2" u="1"/>
        <s v="1-1448705-2" u="1"/>
        <s v="1-1433592-2" u="1"/>
        <s v="1-1438905-5" u="1"/>
        <s v="1-1453483-3" u="1"/>
        <s v="1-1453575-3" u="1"/>
        <s v="1-1443467-8" u="1"/>
        <s v="1-1452111-4" u="1"/>
        <s v="1-1456304-4" u="1"/>
        <s v="12-1434071-21" u="1"/>
        <s v="1-1429978-2" u="1"/>
        <s v="1-1438006-2" u="1"/>
        <s v="1-1455161-11" u="1"/>
        <s v="1-1447285-1" u="1"/>
        <s v="1-1447469-1" u="1"/>
        <s v="1-1448821-1" u="1"/>
        <s v="1-1451358-9" u="1"/>
        <s v="1-1430711-5" u="1"/>
        <s v="1-1446021-1" u="1"/>
        <s v="1-1453491-3" u="1"/>
        <s v="1-1432012-5" u="1"/>
        <s v="1-1432612-2" u="1"/>
        <s v="1-1435469-1" u="1"/>
        <s v="1-1436805-2" u="1"/>
        <s v="1-1439078-3" u="1"/>
        <s v="1-1439094-2" u="1"/>
        <s v="1-1447992-5" u="1"/>
        <s v="1-1452611-2" u="1"/>
        <s v="1-1452703-2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49785-3" u="1"/>
        <s v="1-1448506-17" u="1"/>
        <s v="1-1433792-2" u="1"/>
        <s v="1-1453683-3" u="1"/>
        <s v="12-1455265-2" u="1"/>
        <s v="1-1431176-2" u="1"/>
        <s v="1-1435477-1" u="1"/>
        <s v="1-1439178-3" u="1"/>
        <s v="1-1452111-5" u="1"/>
        <s v="1-1455368-2" u="1"/>
        <s v="1-1456904-2" u="1"/>
        <s v="1-1441883-2" u="1"/>
        <s v="1-1445892-2" u="1"/>
        <s v="1-1445984-2" u="1"/>
        <s v="1-1449685-4" u="1"/>
        <s v="1-1450111-1" u="1"/>
        <s v="1-1454104-2" u="1"/>
        <s v="1-1444612-3" u="1"/>
        <s v="1-1433892-2" u="1"/>
        <s v="1-1433984-2" u="1"/>
        <s v="1-1446205-2" u="1"/>
        <s v="1-1453491-4" u="1"/>
        <s v="1-1453891-2" u="1"/>
        <s v="1-1453983-2" u="1"/>
        <s v="1-1432012-6" u="1"/>
        <s v="1-1435085-3" u="1"/>
        <s v="1-1451459-2" u="1"/>
        <s v="1-1452903-2" u="1"/>
        <s v="1-1455468-2" u="1"/>
        <s v="1-1455484-1" u="1"/>
        <s v="1-1456912-2" u="1"/>
        <s v="1-1438322-1" u="1"/>
        <s v="1-1450103-2" u="1"/>
        <s v="1-1428722-3" u="1"/>
        <s v="1-1440903-2" u="1"/>
        <s v="1-1443376-2" u="1"/>
        <s v="1-1447385-2" u="1"/>
        <s v="1-1448721-3" u="1"/>
        <s v="1-1440728-15" u="1"/>
        <s v="10-1455518-6" u="1"/>
        <s v="1-1446121-2" u="1"/>
        <s v="1-1453683-4" u="1"/>
        <s v="1-1453975-3" u="1"/>
        <s v="1-1453991-2" u="1"/>
        <s v="1-1437654-19" u="1"/>
        <s v="10-1448094-2" u="1"/>
        <s v="13-1442653-2" u="1"/>
        <s v="1-1435569-2" u="1"/>
        <s v="1-1439394-2" u="1"/>
        <s v="1-1438130-2" u="1"/>
        <s v="1-1438222-2" u="1"/>
        <s v="1-1441791-3" u="1"/>
        <s v="1-1441991-2" u="1"/>
        <s v="1-1450403-1" u="1"/>
        <s v="1-1454120-2" u="1"/>
        <s v="1-1435562-11" u="1"/>
        <s v="1-1444704-4" u="1"/>
        <s v="1-1447577-2" u="1"/>
        <s v="1-1442304-2" u="1"/>
        <s v="1-1446205-3" u="1"/>
        <s v="1-1453875-4" u="1"/>
        <s v="1-1435485-2" u="1"/>
        <s v="1-1455084-4" u="1"/>
        <s v="1-1455468-3" u="1"/>
        <s v="1-1430304-2" u="1"/>
        <s v="1-1438230-2" u="1"/>
        <s v="1-1450411-1" u="1"/>
        <s v="1-1445845-19" u="1"/>
        <s v="1-1440611-4" u="1"/>
        <s v="1-1440811-3" u="1"/>
        <s v="1-1443376-3" u="1"/>
        <s v="1-1447769-2" u="1"/>
        <s v="12-1429467-5" u="1"/>
        <s v="1-1442404-2" u="1"/>
        <s v="1-1446305-3" u="1"/>
        <s v="1-1453683-5" u="1"/>
        <s v="1-1453991-3" u="1"/>
        <s v="1-1427947-11" u="1"/>
        <s v="10-1448070-2" u="1"/>
        <s v="12-1437334-2" u="1"/>
        <s v="1-1432712-4" u="1"/>
        <s v="1-1432912-3" u="1"/>
        <s v="1-1435369-4" u="1"/>
        <s v="1-1435677-2" u="1"/>
        <s v="1-1452111-7" u="1"/>
        <s v="1-1452911-3" u="1"/>
        <s v="1-1455568-3" u="1"/>
        <s v="12-1431970-28" u="1"/>
        <s v="1-1438330-2" u="1"/>
        <s v="1-1441883-4" u="1"/>
        <s v="1-1454504-2" u="1"/>
        <s v="1-1443676-2" u="1"/>
        <s v="1-1447777-2" u="1"/>
        <s v="1-1433892-4" u="1"/>
        <s v="1-1446205-4" u="1"/>
        <s v="1-1431492-2" u="1"/>
        <s v="1-1451859-2" u="1"/>
        <s v="1-1455284-4" u="1"/>
        <s v="1-1433069-2" u="1"/>
        <s v="1-1434421-2" u="1"/>
        <s v="1-1434605-2" u="1"/>
        <s v="1-1438706-2" u="1"/>
        <s v="1-1454220-3" u="1"/>
        <s v="1-1443376-4" u="1"/>
        <s v="1-1447877-2" u="1"/>
        <s v="1-1447969-2" u="1"/>
        <s v="1-1445169-2" u="1"/>
        <s v="1-1453683-6" u="1"/>
        <s v="1-1435385-4" u="1"/>
        <s v="1-1435677-3" u="1"/>
        <s v="1-1451683-2" u="1"/>
        <s v="1-1455276-5" u="1"/>
        <s v="1-1434705-2" u="1"/>
        <s v="1-1438530-2" u="1"/>
        <s v="1-1438806-2" u="1"/>
        <s v="1-1441883-5" u="1"/>
        <s v="1-1443676-3" u="1"/>
        <s v="1-1447977-2" u="1"/>
        <s v="1-1440820-17" u="1"/>
        <s v="1-1433892-5" u="1"/>
        <s v="1-1441168-2" u="1"/>
        <s v="1-1442812-1" u="1"/>
        <s v="1-1442904-1" u="1"/>
        <s v="1-1446205-5" u="1"/>
        <s v="1-1431784-2" u="1"/>
        <s v="1-1435885-2" u="1"/>
        <s v="1-1439878-3" u="1"/>
        <s v="1-1448014-2" u="1"/>
        <s v="1-1451691-2" u="1"/>
        <s v="1-1451875-2" u="1"/>
        <s v="1-1455976-2" u="1"/>
        <s v="11-1431385-3" u="1"/>
        <s v="1-1433085-2" u="1"/>
        <s v="1-1433269-2" u="1"/>
        <s v="1-1434805-2" u="1"/>
        <s v="1-1437078-3" u="1"/>
        <s v="1-1454604-3" u="1"/>
        <s v="1-1443376-5" u="1"/>
        <s v="1-1447585-4" u="1"/>
        <s v="1-1447985-2" u="1"/>
        <s v="1-1445093-2" u="1"/>
        <s v="1-1445369-2" u="1"/>
        <s v="1-1446705-3" u="1"/>
        <s v="1-1453683-7" u="1"/>
        <s v="13-1448837-2" u="1"/>
        <s v="1-1431884-2" u="1"/>
        <s v="1-1431976-2" u="1"/>
        <s v="1-1435677-4" u="1"/>
        <s v="1-1448022-2" u="1"/>
        <s v="1-1448130-1" u="1"/>
        <s v="12-1455264-2" u="1"/>
        <s v="1-1430404-4" u="1"/>
        <s v="1-1430804-2" u="1"/>
        <s v="1-1433277-2" u="1"/>
        <s v="1-1434721-2" u="1"/>
        <s v="1-1437394-1" u="1"/>
        <s v="1-1441883-6" u="1"/>
        <s v="1-1453184-2" u="1"/>
        <s v="1-1443676-4" u="1"/>
        <s v="1-1433892-6" u="1"/>
        <s v="1-1441168-3" u="1"/>
        <s v="1-1449278-3" u="1"/>
        <s v="1-1449294-2" u="1"/>
        <s v="1-1451891-2" u="1"/>
        <s v="1-1429656-11" u="1"/>
        <s v="10-1444333-2" u="1"/>
        <s v="12-1437369-2" u="1"/>
        <s v="1-1430412-4" u="1"/>
        <s v="1-1430812-2" u="1"/>
        <s v="1-1430904-2" u="1"/>
        <s v="1-1433469-2" u="1"/>
        <s v="1-1450011-6" u="1"/>
        <s v="1-1453176-3" u="1"/>
        <s v="1-1453468-2" u="1"/>
        <s v="1-1457077-4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49578-2" u="1"/>
        <s v="1-1453683-8" u="1"/>
        <s v="1-1431992-2" u="1"/>
        <s v="1-1440004-3" u="1"/>
        <s v="1-1444305-2" u="1"/>
        <s v="1-1444505-1" u="1"/>
        <s v="1-1448314-2" u="1"/>
        <s v="1-1451975-3" u="1"/>
        <s v="1-1451991-2" u="1"/>
        <s v="12-1456252-2" u="1"/>
        <s v="1-1430912-2" u="1"/>
        <s v="1-1441883-7" u="1"/>
        <s v="1-1450311-5" u="1"/>
        <s v="1-1453476-2" u="1"/>
        <s v="1-1420912-6" u="1"/>
        <s v="1-1432121-2" u="1"/>
        <s v="1-1443676-5" u="1"/>
        <s v="1-1452120-2" u="1"/>
        <s v="1-1452304-2" u="1"/>
        <s v="1-1456021-3" u="1"/>
        <s v="1-1441384-2" u="1"/>
        <s v="1-1441476-2" u="1"/>
        <s v="1-1441768-1" u="1"/>
        <s v="1-1445377-3" u="1"/>
        <s v="1-1445577-2" u="1"/>
        <s v="1-1449278-4" u="1"/>
        <s v="1-1449494-2" u="1"/>
        <s v="10-1434910-3" u="1"/>
        <s v="1-1424222-2" u="1"/>
        <s v="1-1431892-3" u="1"/>
        <s v="1-1440120-2" u="1"/>
        <s v="1-1440304-2" u="1"/>
        <s v="1-1448414-2" u="1"/>
        <s v="1-1429656-21" u="1"/>
        <s v="1-1433577-2" u="1"/>
        <s v="1-1454620-4" u="1"/>
        <s v="1-1454820-3" u="1"/>
        <s v="1-1436230-2" u="1"/>
        <s v="1-1436322-2" u="1"/>
        <s v="1-1443376-7" u="1"/>
        <s v="1-1437655-21" u="1"/>
        <s v="1-1429595-2" u="1"/>
        <s v="1-1429979-1" u="1"/>
        <s v="1-1441468-3" u="1"/>
        <s v="1-1441484-2" u="1"/>
        <s v="1-1453683-9" u="1"/>
        <s v="1-1431792-4" u="1"/>
        <s v="1-1447086-1" u="1"/>
        <s v="1-1451975-4" u="1"/>
        <s v="13-1443824-2" u="1"/>
        <s v="1-1433477-3" u="1"/>
        <s v="1-1450311-6" u="1"/>
        <s v="1-1453584-2" u="1"/>
        <s v="10-1441172-2" u="1"/>
        <s v="13-1455247-1" u="1"/>
        <s v="1-1432321-2" u="1"/>
        <s v="1-1436222-3" u="1"/>
        <s v="1-1436622-1" u="1"/>
        <s v="1-1443676-6" u="1"/>
        <s v="1-1452320-2" u="1"/>
        <s v="1-1452504-2" u="1"/>
        <s v="1-1452704-1" u="1"/>
        <s v="1-1437791-10" u="1"/>
        <s v="1-1429679-3" u="1"/>
        <s v="1-1433892-8" u="1"/>
        <s v="1-1442812-4" u="1"/>
        <s v="1-1445593-2" u="1"/>
        <s v="1-1444205-4" u="1"/>
        <s v="10-1430933-3" u="1"/>
        <s v="10-1452972-2" u="1"/>
        <s v="1-1433869-2" u="1"/>
        <s v="1-1437494-3" u="1"/>
        <s v="1-1438830-4" u="1"/>
        <s v="1-1453684-2" u="1"/>
        <s v="1-1431069-2" u="1"/>
        <s v="1-1432421-2" u="1"/>
        <s v="1-1435094-1" u="1"/>
        <s v="1-1429795-2" u="1"/>
        <s v="1-1429995-1" u="1"/>
        <s v="1-1441268-5" u="1"/>
        <s v="1-1445769-3" u="1"/>
        <s v="1-1449978-2" u="1"/>
        <s v="1-1443077-2" u="1"/>
        <s v="1-1444121-4" u="1"/>
        <s v="1-1447286-1" u="1"/>
        <s v="1-1448530-2" u="1"/>
        <s v="1-1448822-1" u="1"/>
        <s v="1-1451975-5" u="1"/>
        <s v="11-1438585-2" u="1"/>
        <s v="1-1436330-3" u="1"/>
        <s v="1-1451168-2" u="1"/>
        <s v="1-1455177-2" u="1"/>
        <s v="1-1456621-2" u="1"/>
        <s v="1-1429895-2" u="1"/>
        <s v="1-1433892-9" u="1"/>
        <s v="1-1433984-9" u="1"/>
        <s v="1-1438107-2" u="1"/>
        <s v="1-1440704-2" u="1"/>
        <s v="1-1444621-2" u="1"/>
        <s v="1-1447094-2" u="1"/>
        <s v="1-1447294-1" u="1"/>
        <s v="1-1447386-1" u="1"/>
        <s v="1-1433869-3" u="1"/>
        <s v="1-1433977-2" u="1"/>
        <s v="1-1437078-7" u="1"/>
        <s v="1-1453976-2" u="1"/>
        <s v="11-1431768-2" u="1"/>
        <s v="12-1432608-2" u="1"/>
        <s v="1-1431177-2" u="1"/>
        <s v="1-1432405-4" u="1"/>
        <s v="1-1456613-3" u="1"/>
        <s v="1-1429995-2" u="1"/>
        <s v="1-1449994-2" u="1"/>
        <s v="1-1450204-1" u="1"/>
        <s v="1-1454013-2" u="1"/>
        <s v="1-1440604-3" u="1"/>
        <s v="1-1440804-2" u="1"/>
        <s v="1-1444905-2" u="1"/>
        <s v="1-1448914-2" u="1"/>
        <s v="13-1448836-2" u="1"/>
        <s v="1-1453876-3" u="1"/>
        <s v="1-1453984-2" u="1"/>
        <s v="11-1431572-2" u="1"/>
        <s v="11-1431756-2" u="1"/>
        <s v="12-1455263-2" u="1"/>
        <s v="1-1432721-2" u="1"/>
        <s v="1-1435178-3" u="1"/>
        <s v="1-1455193-2" u="1"/>
        <s v="1-1438123-2" u="1"/>
        <s v="1-1438215-2" u="1"/>
        <s v="1-1441968-3" u="1"/>
        <s v="1-1455574-10" u="1"/>
        <s v="1-1448722-3" u="1"/>
        <s v="1-1448830-2" u="1"/>
        <s v="1-1437747-19" u="1"/>
        <s v="1-1436814-3" u="1"/>
        <s v="1-1439395-2" u="1"/>
        <s v="1-1452620-3" u="1"/>
        <s v="1-1455277-3" u="1"/>
        <s v="1-1455477-2" u="1"/>
        <s v="12-1431299-2" u="1"/>
        <s v="13-1432047-2" u="1"/>
        <s v="1-1450404-1" u="1"/>
        <s v="1-1455470-11" u="1"/>
        <s v="1-1443277-3" u="1"/>
        <s v="1-1443293-2" u="1"/>
        <s v="1-1448914-3" u="1"/>
        <s v="1-1451975-7" u="1"/>
        <s v="1-1442321-1" u="1"/>
        <s v="12-1456251-2" u="1"/>
        <s v="1-1452920-2" u="1"/>
        <s v="10-1441087-3" u="1"/>
        <s v="1-1430305-2" u="1"/>
        <s v="1-1434130-2" u="1"/>
        <s v="1-1454221-2" u="1"/>
        <s v="1-1454313-2" u="1"/>
        <s v="1-1455574-20" u="1"/>
        <s v="1-1440904-3" u="1"/>
        <s v="1-1443393-2" u="1"/>
        <s v="1-1447586-2" u="1"/>
        <s v="1-1442313-2" u="1"/>
        <s v="10-1430972-2" u="1"/>
        <s v="11-1452623-3" u="1"/>
        <s v="12-1437052-3" u="1"/>
        <s v="13-1442731-2" u="1"/>
        <s v="1-1435678-2" u="1"/>
        <s v="1-1430405-2" u="1"/>
        <s v="1-1434230-2" u="1"/>
        <s v="1-1438223-3" u="1"/>
        <s v="1-1440820-3" u="1"/>
        <s v="1-1443493-2" u="1"/>
        <s v="1-1443677-2" u="1"/>
        <s v="12-1447840-3" u="1"/>
        <s v="1-1431769-2" u="1"/>
        <s v="1-1439895-1" u="1"/>
        <s v="1-1455777-2" u="1"/>
        <s v="10-1441171-2" u="1"/>
        <s v="1-1434514-2" u="1"/>
        <s v="1-1438615-2" u="1"/>
        <s v="1-1450304-3" u="1"/>
        <s v="1-1440904-4" u="1"/>
        <s v="1-1447094-5" u="1"/>
        <s v="1-1441269-1" u="1"/>
        <s v="1-1446414-3" u="1"/>
        <s v="1-1446614-2" u="1"/>
        <s v="1-1449087-2" u="1"/>
        <s v="1-1449179-2" u="1"/>
        <s v="10-1452971-2" u="1"/>
        <s v="11-1438596-2" u="1"/>
        <s v="1-1431777-2" u="1"/>
        <s v="1-1435494-3" u="1"/>
        <s v="1-1436922-4" u="1"/>
        <s v="1-1439795-2" u="1"/>
        <s v="1-1451868-2" u="1"/>
        <s v="10-1441435-2" u="1"/>
        <s v="12-1430131-3" u="1"/>
        <s v="1-1434122-4" u="1"/>
        <s v="1-1434230-3" u="1"/>
        <s v="1-1434414-3" u="1"/>
        <s v="1-1454613-2" u="1"/>
        <s v="1-1438264-15" u="1"/>
        <s v="1-1440820-4" u="1"/>
        <s v="1-1447794-2" u="1"/>
        <s v="1-1447886-2" u="1"/>
        <s v="1-1453346-11" u="1"/>
        <s v="1-1446222-4" u="1"/>
        <s v="1-1449095-2" u="1"/>
        <s v="1-1435978-2" u="1"/>
        <s v="1-1448015-2" u="1"/>
        <s v="1-1448107-2" u="1"/>
        <s v="1-1455977-2" u="1"/>
        <s v="1-1437387-1" u="1"/>
        <s v="1-1454621-2" u="1"/>
        <s v="1-1432114-1" u="1"/>
        <s v="1-1440904-5" u="1"/>
        <s v="1-1447986-2" u="1"/>
        <s v="1-1425187-2" u="1"/>
        <s v="1-1429196-2" u="1"/>
        <s v="1-1442621-2" u="1"/>
        <s v="1-1448131-1" u="1"/>
        <s v="1-1430621-2" u="1"/>
        <s v="1-1430805-2" u="1"/>
        <s v="1-1434230-4" u="1"/>
        <s v="1-1453185-2" u="1"/>
        <s v="1-1454521-3" u="1"/>
        <s v="1-1454721-2" u="1"/>
        <s v="1-1432014-2" u="1"/>
        <s v="1-1436023-2" u="1"/>
        <s v="1-1440820-5" u="1"/>
        <s v="1-1443693-3" u="1"/>
        <s v="1-1443969-3" u="1"/>
        <s v="1-1447886-3" u="1"/>
        <s v="1-1452013-2" u="1"/>
        <s v="1-1456206-2" u="1"/>
        <s v="1-1429296-2" u="1"/>
        <s v="13-1448835-2" u="1"/>
        <s v="1-1435994-2" u="1"/>
        <s v="1-1440013-2" u="1"/>
        <s v="1-1444022-2" u="1"/>
        <s v="1-1448215-2" u="1"/>
        <s v="10-1446167-3" u="1"/>
        <s v="1-1434530-3" u="1"/>
        <s v="1-1437095-3" u="1"/>
        <s v="1-1454821-2" u="1"/>
        <s v="1-1436307-2" u="1"/>
        <s v="1-1456306-2" u="1"/>
        <s v="1-1429196-3" u="1"/>
        <s v="1-1442421-4" u="1"/>
        <s v="1-1442913-2" u="1"/>
        <s v="1-1445094-3" u="1"/>
        <s v="1-1449395-2" u="1"/>
        <s v="1-1449579-2" u="1"/>
        <s v="1-1444122-2" u="1"/>
        <s v="1-1444214-2" u="1"/>
        <s v="1-1444306-2" u="1"/>
        <s v="1-1444506-1" u="1"/>
        <s v="11-1448115-2" u="1"/>
        <s v="1-1430821-2" u="1"/>
        <s v="1-1433294-2" u="1"/>
        <s v="1-1437287-3" u="1"/>
        <s v="1-1450604-4" u="1"/>
        <s v="1-1432014-3" u="1"/>
        <s v="1-1432122-2" u="1"/>
        <s v="1-1440820-6" u="1"/>
        <s v="1-1447886-4" u="1"/>
        <s v="1-1452213-2" u="1"/>
        <s v="1-1456222-2" u="1"/>
        <s v="1-1441277-3" u="1"/>
        <s v="1-1441293-2" u="1"/>
        <s v="1-1446422-5" u="1"/>
        <s v="1-1455993-3" u="1"/>
        <s v="10-1446435-2" u="1"/>
        <s v="10-1447263-2" u="1"/>
        <s v="1-1430905-3" u="1"/>
        <s v="1-1433486-2" u="1"/>
        <s v="1-1436215-3" u="1"/>
        <s v="1-1452221-2" u="1"/>
        <s v="1-1456414-2" u="1"/>
        <s v="1-1432139-15" u="1"/>
        <s v="1-1433867-10" u="1"/>
        <s v="1-1429196-4" u="1"/>
        <s v="1-1424507-2" u="1"/>
        <s v="1-1428040-3" u="1"/>
        <s v="1-1440113-3" u="1"/>
        <s v="1-1447087-1" u="1"/>
        <s v="1-1448315-3" u="1"/>
        <s v="1-1448807-1" u="1"/>
        <s v="10-1430971-2" u="1"/>
        <s v="10-1446423-2" u="1"/>
        <s v="1-1437887-1" u="1"/>
        <s v="1-1446007-1" u="1"/>
        <s v="1-1453293-3" u="1"/>
        <s v="1-1432014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8431-2" u="1"/>
        <s v="12-1437331-2" u="1"/>
        <s v="1-1430721-4" u="1"/>
        <s v="1-1433686-2" u="1"/>
        <s v="1-1437787-2" u="1"/>
        <s v="1-1450904-4" u="1"/>
        <s v="1-1453869-2" u="1"/>
        <s v="10-1441554-1" u="1"/>
        <s v="12-1453193-2" u="1"/>
        <s v="1-1432314-3" u="1"/>
        <s v="1-1455078-2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49795-2" u="1"/>
        <s v="1-1451358-10" u="1"/>
        <s v="1-1428040-4" u="1"/>
        <s v="1-1447287-1" u="1"/>
        <s v="1-1434230-7" u="1"/>
        <s v="1-1446115-1" u="1"/>
        <s v="12-1431434-2" u="1"/>
        <s v="12-1454177-3" u="1"/>
        <s v="1-1432014-5" u="1"/>
        <s v="1-1432122-4" u="1"/>
        <s v="1-1432522-2" u="1"/>
        <s v="1-1439188-2" u="1"/>
        <s v="1-1440820-8" u="1"/>
        <s v="1-1452321-3" u="1"/>
        <s v="1-1452613-2" u="1"/>
        <s v="1-1429988-2" u="1"/>
        <s v="1-1442721-5" u="1"/>
        <s v="1-1445886-2" u="1"/>
        <s v="1-1435376-10" u="1"/>
        <s v="1-1428740-1" u="1"/>
        <s v="1-1428816-2" u="1"/>
        <s v="1-1444622-2" u="1"/>
        <s v="1-1447295-1" u="1"/>
        <s v="1-1447479-1" u="1"/>
        <s v="1-1433886-2" u="1"/>
        <s v="1-1437787-3" u="1"/>
        <s v="1-1442206-1" u="1"/>
        <s v="1-1446307-1" u="1"/>
        <s v="1-1450904-5" u="1"/>
        <s v="1-1443467-10" u="1"/>
        <s v="1-1435095-2" u="1"/>
        <s v="1-1436123-5" u="1"/>
        <s v="1-1436523-3" u="1"/>
        <s v="1-1436815-2" u="1"/>
        <s v="1-1452621-2" u="1"/>
        <s v="1-1455186-2" u="1"/>
        <s v="1-1432139-35" u="1"/>
        <s v="1-1432379-23" u="1"/>
        <s v="1-1429196-6" u="1"/>
        <s v="1-1445894-2" u="1"/>
        <s v="1-1449579-5" u="1"/>
        <s v="1-1450205-1" u="1"/>
        <s v="1-1440113-5" u="1"/>
        <s v="1-1447379-2" u="1"/>
        <s v="1-1448915-2" u="1"/>
        <s v="1-1442306-1" u="1"/>
        <s v="1-1446207-2" u="1"/>
        <s v="1-1453893-2" u="1"/>
        <s v="1-1453985-2" u="1"/>
        <s v="1-1432014-6" u="1"/>
        <s v="1-1432122-5" u="1"/>
        <s v="1-1432522-3" u="1"/>
        <s v="1-1435179-3" u="1"/>
        <s v="1-1436623-3" u="1"/>
        <s v="1-1440820-9" u="1"/>
        <s v="1-1452721-2" u="1"/>
        <s v="1-1452813-2" u="1"/>
        <s v="1-1455286-2" u="1"/>
        <s v="1-1456914-2" u="1"/>
        <s v="1-1436464-15" u="1"/>
        <s v="1-1429896-3" u="1"/>
        <s v="1-1429988-3" u="1"/>
        <s v="1-1438032-2" u="1"/>
        <s v="1-1454206-2" u="1"/>
        <s v="1-1440721-2" u="1"/>
        <s v="1-1443194-2" u="1"/>
        <s v="1-1447387-2" u="1"/>
        <s v="10-1438899-3" u="1"/>
        <s v="1-1433394-5" u="1"/>
        <s v="1-1453685-4" u="1"/>
        <s v="1-1431286-2" u="1"/>
        <s v="1-1435387-2" u="1"/>
        <s v="1-1436923-2" u="1"/>
        <s v="1-1452913-2" u="1"/>
        <s v="1-1455294-2" u="1"/>
        <s v="1-1455494-1" u="1"/>
        <s v="13-1430217-2" u="1"/>
        <s v="1-1449995-3" u="1"/>
        <s v="1-1435544-12" u="1"/>
        <s v="1-1424923-2" u="1"/>
        <s v="1-1440113-6" u="1"/>
        <s v="1-1448315-6" u="1"/>
        <s v="1-1446315-2" u="1"/>
        <s v="1-1446407-2" u="1"/>
        <s v="12-1456629-2" u="1"/>
        <s v="1-1432122-6" u="1"/>
        <s v="1-1432522-4" u="1"/>
        <s v="1-1435487-2" u="1"/>
        <s v="1-1451569-2" u="1"/>
        <s v="1-1436464-25" u="1"/>
        <s v="1-1429988-4" u="1"/>
        <s v="1-1430014-3" u="1"/>
        <s v="1-1434407-2" u="1"/>
        <s v="1-1438232-2" u="1"/>
        <s v="1-1435552-12" u="1"/>
        <s v="1-1451362-21" u="1"/>
        <s v="1-1440813-3" u="1"/>
        <s v="1-1443394-2" u="1"/>
        <s v="1-1442406-2" u="1"/>
        <s v="1-1446507-2" u="1"/>
        <s v="1-1453685-5" u="1"/>
        <s v="11-1455869-2" u="1"/>
        <s v="12-1437538-2" u="1"/>
        <s v="1-1435495-2" u="1"/>
        <s v="1-1455278-4" u="1"/>
        <s v="1-1429996-4" u="1"/>
        <s v="1-1430406-2" u="1"/>
        <s v="1-1434231-2" u="1"/>
        <s v="1-1447595-2" u="1"/>
        <s v="1-1448315-7" u="1"/>
        <s v="1-1446515-2" u="1"/>
        <s v="10-1430970-2" u="1"/>
        <s v="1-1432522-5" u="1"/>
        <s v="1-1455286-4" u="1"/>
        <s v="1-1452690-14" u="1"/>
        <s v="1-1429988-5" u="1"/>
        <s v="1-1430506-2" u="1"/>
        <s v="1-1434607-2" u="1"/>
        <s v="1-1450213-3" u="1"/>
        <s v="1-1454206-4" u="1"/>
        <s v="1-1454606-2" u="1"/>
        <s v="1-1447879-2" u="1"/>
        <s v="1-1447987-1" u="1"/>
        <s v="12-1431970-6" u="1"/>
        <s v="1-1442606-2" u="1"/>
        <s v="1-1446415-3" u="1"/>
        <s v="1-1453685-6" u="1"/>
        <s v="1-1455386-4" u="1"/>
        <s v="1-1433079-2" u="1"/>
        <s v="1-1434431-2" u="1"/>
        <s v="1-1434707-2" u="1"/>
        <s v="1-1438808-2" u="1"/>
        <s v="1-1447887-2" u="1"/>
        <s v="1-1447979-2" u="1"/>
        <s v="1-1441094-1" u="1"/>
        <s v="1-1445179-2" u="1"/>
        <s v="1-1446807-2" u="1"/>
        <s v="10-1447302-3" u="1"/>
        <s v="1-1431786-2" u="1"/>
        <s v="1-1431986-1" u="1"/>
        <s v="1-1432122-8" u="1"/>
        <s v="1-1435687-3" u="1"/>
        <s v="1-1435887-2" u="1"/>
        <s v="1-1435979-2" u="1"/>
        <s v="1-1455286-5" u="1"/>
        <s v="1-1455886-2" u="1"/>
        <s v="1-1455994-1" u="1"/>
        <s v="1-1429162-12" u="1"/>
        <s v="1-1435376-18" u="1"/>
        <s v="1-1452690-24" u="1"/>
        <s v="10-1442153-3" u="1"/>
        <s v="12-1430005-5" u="1"/>
        <s v="13-1435033-2" u="1"/>
        <s v="1-1429988-6" u="1"/>
        <s v="1-1430614-2" u="1"/>
        <s v="1-1434531-2" u="1"/>
        <s v="1-1437188-2" u="1"/>
        <s v="1-1454206-5" u="1"/>
        <s v="1-1454806-2" u="1"/>
        <s v="1-1452006-2" u="1"/>
        <s v="1-1425188-2" u="1"/>
        <s v="1-1445279-2" u="1"/>
        <s v="1-1445479-1" u="1"/>
        <s v="1-1446631-2" u="1"/>
        <s v="1-1446907-2" u="1"/>
        <s v="1-1453685-7" u="1"/>
        <s v="1-1451793-2" u="1"/>
        <s v="12-1434073-3" u="1"/>
        <s v="1-1430806-2" u="1"/>
        <s v="1-1433095-2" u="1"/>
        <s v="1-1433479-1" u="1"/>
        <s v="1-1437288-2" u="1"/>
        <s v="1-1432015-2" u="1"/>
        <s v="1-1432107-2" u="1"/>
        <s v="1-1447887-3" u="1"/>
        <s v="1-1448315-9" u="1"/>
        <s v="1-1445179-3" u="1"/>
        <s v="1-1449388-2" u="1"/>
        <s v="10-1456669-5" u="1"/>
        <s v="1-1444115-2" u="1"/>
        <s v="1-1444407-1" u="1"/>
        <s v="1-1451785-3" u="1"/>
        <s v="1-1429290-11" u="1"/>
        <s v="1-1429658-11" u="1"/>
        <s v="1-1451362-19" u="1"/>
        <s v="11-1431565-3" u="1"/>
        <s v="11-1431581-2" u="1"/>
        <s v="1-1429988-7" u="1"/>
        <s v="1-1430722-2" u="1"/>
        <s v="1-1430814-2" u="1"/>
        <s v="1-1430906-2" u="1"/>
        <s v="1-1438832-2" u="1"/>
        <s v="1-1454206-6" u="1"/>
        <s v="1-1436308-2" u="1"/>
        <s v="1-1452006-3" u="1"/>
        <s v="1-1452114-2" u="1"/>
        <s v="1-1452206-2" u="1"/>
        <s v="1-1452406-1" u="1"/>
        <s v="1-1441286-2" u="1"/>
        <s v="1-1453685-8" u="1"/>
        <s v="1-1431994-2" u="1"/>
        <s v="1-1436415-9" u="1"/>
        <s v="1-1440206-2" u="1"/>
        <s v="1-1440314-1" u="1"/>
        <s v="1-1448132-2" u="1"/>
        <s v="1-1448408-2" u="1"/>
        <s v="1-1451885-3" u="1"/>
        <s v="1-1451993-2" u="1"/>
        <s v="10-1430989-3" u="1"/>
        <s v="1-1430622-3" u="1"/>
        <s v="1-1430822-2" u="1"/>
        <s v="1-1430914-2" u="1"/>
        <s v="1-1433387-2" u="1"/>
        <s v="1-1450313-5" u="1"/>
        <s v="1-1450605-4" u="1"/>
        <s v="1-1453294-2" u="1"/>
        <s v="1-1453386-2" u="1"/>
        <s v="1-1453478-2" u="1"/>
        <s v="1-1454614-4" u="1"/>
        <s v="12-1435918-10" u="1"/>
        <s v="1-1432107-3" u="1"/>
        <s v="1-1436008-4" u="1"/>
        <s v="1-1452214-2" u="1"/>
        <s v="1-1456023-3" u="1"/>
        <s v="1-1456131-2" u="1"/>
        <s v="1-1456407-2" u="1"/>
        <s v="1-1445179-4" u="1"/>
        <s v="1-1445379-3" u="1"/>
        <s v="1-1446931-2" u="1"/>
        <s v="1-1440030-2" u="1"/>
        <s v="1-1440306-2" u="1"/>
        <s v="1-1444207-3" u="1"/>
        <s v="1-1448232-2" u="1"/>
        <s v="1-1448308-3" u="1"/>
        <s v="1-1451893-3" u="1"/>
        <s v="1-1455286-7" u="1"/>
        <s v="1-1429522-14" u="1"/>
        <s v="12-1456628-2" u="1"/>
        <s v="1-1430922-2" u="1"/>
        <s v="1-1433579-2" u="1"/>
        <s v="1-1434931-2" u="1"/>
        <s v="1-1450413-5" u="1"/>
        <s v="1-1453486-2" u="1"/>
        <s v="1-1453578-2" u="1"/>
        <s v="1-1454206-7" u="1"/>
        <s v="1-1432115-3" u="1"/>
        <s v="1-1432407-2" u="1"/>
        <s v="1-1436308-3" u="1"/>
        <s v="1-1452006-4" u="1"/>
        <s v="1-1456323-2" u="1"/>
        <s v="1-1456507-2" u="1"/>
        <s v="1-1441486-2" u="1"/>
        <s v="1-1441594-1" u="1"/>
        <s v="1-1453685-9" u="1"/>
        <s v="1-1440114-3" u="1"/>
        <s v="1-1444507-2" u="1"/>
        <s v="1-1448424-2" u="1"/>
        <s v="11-1455684-2" u="1"/>
        <s v="1-1433295-3" u="1"/>
        <s v="1-1433587-2" u="1"/>
        <s v="1-1450313-6" u="1"/>
        <s v="1-1423987-4" u="1"/>
        <s v="1-1432031-3" u="1"/>
        <s v="1-1432107-4" u="1"/>
        <s v="1-1432507-2" u="1"/>
        <s v="1-1456331-2" u="1"/>
        <s v="1-1429789-2" u="1"/>
        <s v="1-1429989-1" u="1"/>
        <s v="1-1442322-6" u="1"/>
        <s v="1-1445179-5" u="1"/>
        <s v="10-1437650-4" u="1"/>
        <s v="1-1448340-2" u="1"/>
        <s v="1-1451893-4" u="1"/>
        <s v="1-1429522-24" u="1"/>
        <s v="1-1437788-2" u="1"/>
        <s v="1-1454206-8" u="1"/>
        <s v="1-1432607-2" u="1"/>
        <s v="1-1436308-4" u="1"/>
        <s v="1-1436524-2" u="1"/>
        <s v="1-1452206-4" u="1"/>
        <s v="1-1452330-2" u="1"/>
        <s v="1-1456431-2" u="1"/>
        <s v="1-1441886-1" u="1"/>
        <s v="1-1445587-3" u="1"/>
        <s v="1-1455144-12" u="1"/>
        <s v="1-1444707-2" u="1"/>
        <s v="1-1448409-17" u="1"/>
        <s v="1-1433695-2" u="1"/>
        <s v="1-1437888-2" u="1"/>
        <s v="13-1435228-2" u="1"/>
        <s v="1-1432107-5" u="1"/>
        <s v="1-1432431-2" u="1"/>
        <s v="1-1436008-6" u="1"/>
        <s v="1-1452430-2" u="1"/>
        <s v="1-1452706-2" u="1"/>
        <s v="1-1455379-1" u="1"/>
        <s v="1-1433892-10" u="1"/>
        <s v="1-1441786-2" u="1"/>
        <s v="1-1441986-1" u="1"/>
        <s v="1-1445887-2" u="1"/>
        <s v="1-1455224-13" u="1"/>
        <s v="1-1420907-1" u="1"/>
        <s v="1-1424916-1" u="1"/>
        <s v="1-1428741-1" u="1"/>
        <s v="1-1443087-2" u="1"/>
        <s v="1-1447296-1" u="1"/>
        <s v="1-1448708-3" u="1"/>
        <s v="1-1448908-2" u="1"/>
        <s v="1-1451893-5" u="1"/>
        <s v="1-1433395-4" u="1"/>
        <s v="1-1433979-2" u="1"/>
        <s v="1-1446124-1" u="1"/>
        <s v="1-1453686-3" u="1"/>
        <s v="1-1453886-2" u="1"/>
        <s v="1-1453978-2" u="1"/>
        <s v="12-1432536-2" u="1"/>
        <s v="1-1436308-5" u="1"/>
        <s v="1-1436632-2" u="1"/>
        <s v="1-1436724-2" u="1"/>
        <s v="1-1456631-2" u="1"/>
        <s v="1-1424908-2" u="1"/>
        <s v="1-1448640-2" u="1"/>
        <s v="1-1448732-2" u="1"/>
        <s v="1-1446024-2" u="1"/>
        <s v="1-1453894-2" u="1"/>
        <s v="1-1453986-2" u="1"/>
        <s v="1-1432631-2" u="1"/>
        <s v="1-1436008-7" u="1"/>
        <s v="1-1436532-3" u="1"/>
        <s v="1-1452706-3" u="1"/>
        <s v="1-1452814-2" u="1"/>
        <s v="1-1452830-1" u="1"/>
        <s v="1-1455287-2" u="1"/>
        <s v="1-1456731-2" u="1"/>
        <s v="1-1434040-1" u="1"/>
        <s v="1-1438217-2" u="1"/>
        <s v="1-1441878-3" u="1"/>
        <s v="1-1435995-6" u="1"/>
        <s v="1-1443179-3" u="1"/>
        <s v="1-1443287-2" u="1"/>
        <s v="1-1444731-2" u="1"/>
        <s v="1-1448740-2" u="1"/>
        <s v="1-1433887-3" u="1"/>
        <s v="1-1453686-4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52730-2" u="1"/>
        <s v="1-1452914-2" u="1"/>
        <s v="1-1455187-3" u="1"/>
        <s v="1-1438117-3" u="1"/>
        <s v="1-1450406-1" u="1"/>
        <s v="1-1435709-13" u="1"/>
        <s v="1-1428733-3" u="1"/>
        <s v="1-1444231-5" u="1"/>
        <s v="1-1437888-4" u="1"/>
        <s v="1-1442107-3" u="1"/>
        <s v="1-1442123-2" u="1"/>
        <s v="1-1442323-1" u="1"/>
        <s v="1-1446024-3" u="1"/>
        <s v="10-1447268-3" u="1"/>
        <s v="1-1436008-8" u="1"/>
        <s v="1-1439497-2" u="1"/>
        <s v="1-1451478-2" u="1"/>
        <s v="1-1455579-2" u="1"/>
        <s v="12-1431399-2" u="1"/>
        <s v="1-1434040-2" u="1"/>
        <s v="1-1438325-2" u="1"/>
        <s v="1-1448724-4" u="1"/>
        <s v="1-1451893-7" u="1"/>
        <s v="1-1442407-2" u="1"/>
        <s v="1-1446524-1" u="1"/>
        <s v="1-1453686-5" u="1"/>
        <s v="1-1446189-13" u="1"/>
        <s v="1-1431487-2" u="1"/>
        <s v="1-1432715-4" u="1"/>
        <s v="1-1435588-2" u="1"/>
        <s v="1-1455187-4" u="1"/>
        <s v="1-1455279-4" u="1"/>
        <s v="1-1434124-3" u="1"/>
        <s v="1-1438317-3" u="1"/>
        <s v="1-1438517-2" u="1"/>
        <s v="1-1454323-2" u="1"/>
        <s v="1-1424940-2" u="1"/>
        <s v="1-1448732-4" u="1"/>
        <s v="1-1437888-5" u="1"/>
        <s v="1-1442307-3" u="1"/>
        <s v="1-1436008-9" u="1"/>
        <s v="1-1439897-1" u="1"/>
        <s v="1-1455779-2" u="1"/>
        <s v="1-1426840-7" u="1"/>
        <s v="1-1430231-2" u="1"/>
        <s v="1-1434608-2" u="1"/>
        <s v="1-1451893-8" u="1"/>
        <s v="10-1437741-4" u="1"/>
        <s v="1-1446524-2" u="1"/>
        <s v="1-1453686-6" u="1"/>
        <s v="10-1446420-2" u="1"/>
        <s v="1-1431779-2" u="1"/>
        <s v="1-1435788-2" u="1"/>
        <s v="1-1451778-2" u="1"/>
        <s v="12-1448027-1" u="1"/>
        <s v="1-1430331-2" u="1"/>
        <s v="1-1440914-4" u="1"/>
        <s v="1-1437888-6" u="1"/>
        <s v="1-1446024-5" u="1"/>
        <s v="1-1446532-2" u="1"/>
        <s v="1-1449097-2" u="1"/>
        <s v="11-1436472-3" u="1"/>
        <s v="13-1448695-2" u="1"/>
        <s v="1-1431679-3" u="1"/>
        <s v="1-1451878-2" u="1"/>
        <s v="1-1451986-1" u="1"/>
        <s v="1-1426840-8" u="1"/>
        <s v="1-1430615-2" u="1"/>
        <s v="1-1434532-2" u="1"/>
        <s v="1-1438725-2" u="1"/>
        <s v="1-1450414-3" u="1"/>
        <s v="1-1454807-2" u="1"/>
        <s v="1-1451893-9" u="1"/>
        <s v="1-1442531-2" u="1"/>
        <s v="1-1445096-2" u="1"/>
        <s v="1-1449289-2" u="1"/>
        <s v="1-1453686-7" u="1"/>
        <s v="1-1435988-2" u="1"/>
        <s v="1-1448025-2" u="1"/>
        <s v="1-1451686-3" u="1"/>
        <s v="1-1451886-2" u="1"/>
        <s v="11-1431587-3" u="1"/>
        <s v="1-1430807-2" u="1"/>
        <s v="1-1450606-3" u="1"/>
        <s v="1-1443987-2" u="1"/>
        <s v="1-1437888-7" u="1"/>
        <s v="1-1448125-2" u="1"/>
        <s v="1-1451786-3" u="1"/>
        <s v="1-1430631-2" u="1"/>
        <s v="1-1430907-2" u="1"/>
        <s v="1-1434640-2" u="1"/>
        <s v="1-1432208-2" u="1"/>
        <s v="1-1452023-2" u="1"/>
        <s v="1-1442823-2" u="1"/>
        <s v="1-1453686-8" u="1"/>
        <s v="1-1440023-2" u="1"/>
        <s v="1-1448317-2" u="1"/>
        <s v="1-1448409-2" u="1"/>
        <s v="10-1430999-3" u="1"/>
        <s v="12-1432603-2" u="1"/>
        <s v="13-1438135-2" u="1"/>
        <s v="1-1430407-5" u="1"/>
        <s v="1-1430915-2" u="1"/>
        <s v="1-1434632-3" u="1"/>
        <s v="1-1434740-2" u="1"/>
        <s v="1-1450130-5" u="1"/>
        <s v="1-1452123-2" u="1"/>
        <s v="1-1456132-2" u="1"/>
        <s v="1-1456316-2" u="1"/>
        <s v="1-1443696-17" u="1"/>
        <s v="1-1443788-17" u="1"/>
        <s v="1-1437888-8" u="1"/>
        <s v="1-1442831-2" u="1"/>
        <s v="1-1442923-2" u="1"/>
        <s v="1-1445396-2" u="1"/>
        <s v="1-1449497-2" u="1"/>
        <s v="1-1440307-2" u="1"/>
        <s v="1-1444116-3" u="1"/>
        <s v="1-1448509-2" u="1"/>
        <s v="10-1446455-2" u="1"/>
        <s v="1-1437497-2" u="1"/>
        <s v="1-1453395-2" u="1"/>
        <s v="1-1454807-4" u="1"/>
        <s v="1-1454823-3" u="1"/>
        <s v="1-1432132-2" u="1"/>
        <s v="1-1436417-2" u="1"/>
        <s v="12-1434071-15" u="1"/>
        <s v="1-1429598-2" u="1"/>
        <s v="1-1441287-3" u="1"/>
        <s v="1-1441487-2" u="1"/>
        <s v="1-1449889-1" u="1"/>
        <s v="1-1453686-9" u="1"/>
        <s v="1-1444124-3" u="1"/>
        <s v="1-1444232-2" u="1"/>
        <s v="1-1447089-1" u="1"/>
        <s v="1-1448317-3" u="1"/>
        <s v="1-1448409-3" u="1"/>
        <s v="1-1448625-1" u="1"/>
        <s v="1-1440008-17" u="1"/>
        <s v="10-1445415-3" u="1"/>
        <s v="1-1433096-4" u="1"/>
        <s v="1-1450130-6" u="1"/>
        <s v="1-1423988-4" u="1"/>
        <s v="1-1432324-2" u="1"/>
        <s v="1-1432508-2" u="1"/>
        <s v="1-1436317-3" u="1"/>
        <s v="1-1436425-2" u="1"/>
        <s v="1-1452323-2" u="1"/>
        <s v="1-1456516-2" u="1"/>
        <s v="1-1437888-9" u="1"/>
        <s v="1-1441387-3" u="1"/>
        <s v="1-1449897-1" u="1"/>
        <s v="1-1444116-4" u="1"/>
        <s v="1-1444424-2" u="1"/>
        <s v="1-1448217-4" u="1"/>
        <s v="1-1446017-1" u="1"/>
        <s v="1-1453595-2" u="1"/>
        <s v="1-1432132-3" u="1"/>
        <s v="1-1436417-3" u="1"/>
        <s v="1-1436817-1" u="1"/>
        <s v="1-1451179-1" u="1"/>
        <s v="1-1455096-1" u="1"/>
        <s v="1-1456616-2" u="1"/>
        <s v="1-1437654-22" u="1"/>
        <s v="12-1434071-23" u="1"/>
        <s v="1-1429798-2" u="1"/>
        <s v="1-1434017-1" u="1"/>
        <s v="1-1441779-2" u="1"/>
        <s v="1-1447289-1" u="1"/>
        <s v="1-1448317-4" u="1"/>
        <s v="1-1448409-4" u="1"/>
        <s v="1-1448425-3" u="1"/>
        <s v="1-1448441-2" u="1"/>
        <s v="1-1448717-2" u="1"/>
        <s v="1-1448825-1" u="1"/>
        <s v="12-1441870-3" u="1"/>
        <s v="1-1433696-2" u="1"/>
        <s v="1-1450130-7" u="1"/>
        <s v="1-1453479-4" u="1"/>
        <s v="12-1453477-2" u="1"/>
        <s v="13-1433214-2" u="1"/>
        <s v="1-1436625-2" u="1"/>
        <s v="1-1452231-3" u="1"/>
        <s v="1-1456716-2" u="1"/>
        <s v="1-1446206-10" u="1"/>
        <s v="1-1445796-2" u="1"/>
        <s v="1-1446024-9" u="1"/>
        <s v="1-1440707-2" u="1"/>
        <s v="1-1444116-5" u="1"/>
        <s v="1-1447297-1" u="1"/>
        <s v="1-1448217-5" u="1"/>
        <s v="10-1448707-2" u="1"/>
        <s v="1-1430815-5" u="1"/>
        <s v="1-1437897-2" u="1"/>
        <s v="1-1446109-2" u="1"/>
        <s v="1-1453979-2" u="1"/>
        <s v="12-1452729-2" u="1"/>
        <s v="1-1432024-5" u="1"/>
        <s v="1-1432132-4" u="1"/>
        <s v="1-1432532-2" u="1"/>
        <s v="1-1436417-4" u="1"/>
        <s v="1-1452807-2" u="1"/>
        <s v="1-1456432-3" u="1"/>
        <s v="1-1392722-2" u="1"/>
        <s v="1-1440407-4" u="1"/>
        <s v="1-1444632-2" u="1"/>
        <s v="1-1444724-2" u="1"/>
        <s v="1-1448317-5" u="1"/>
        <s v="1-1448409-5" u="1"/>
        <s v="1-1448441-3" u="1"/>
        <s v="1-1448917-2" u="1"/>
        <s v="1-1446117-2" u="1"/>
        <s v="1-1450130-8" u="1"/>
        <s v="1-1440820-10" u="1"/>
        <s v="1-1452707-3" u="1"/>
        <s v="1-1456732-2" u="1"/>
        <s v="1-1456916-2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8217-6" u="1"/>
        <s v="1-1442116-2" u="1"/>
        <s v="1-1446017-3" u="1"/>
        <s v="11-1431682-2" u="1"/>
        <s v="1-1432132-5" u="1"/>
        <s v="1-1435389-2" u="1"/>
        <s v="1-1436417-5" u="1"/>
        <s v="1-1452731-2" u="1"/>
        <s v="1-1452807-3" u="1"/>
        <s v="1-1430024-2" u="1"/>
        <s v="1-1430132-1" u="1"/>
        <s v="1-1438318-2" u="1"/>
        <s v="1-1441887-3" u="1"/>
        <s v="1-1447397-2" u="1"/>
        <s v="1-1448317-6" u="1"/>
        <s v="1-1448441-4" u="1"/>
        <s v="1-1448917-3" u="1"/>
        <s v="1-1442124-2" u="1"/>
        <s v="1-1442324-1" u="1"/>
        <s v="1-1446209-3" u="1"/>
        <s v="1-1446225-2" u="1"/>
        <s v="1-1446409-2" u="1"/>
        <s v="1-1450130-9" u="1"/>
        <s v="11-1453785-2" u="1"/>
        <s v="1-1432924-2" u="1"/>
        <s v="1-1436917-3" u="1"/>
        <s v="1-1451479-2" u="1"/>
        <s v="1-1452831-2" u="1"/>
        <s v="1-1455488-2" u="1"/>
        <s v="1-1456732-3" u="1"/>
        <s v="13-1432249-2" u="1"/>
        <s v="1-1434225-2" u="1"/>
        <s v="1-1434317-2" u="1"/>
        <s v="1-1450215-2" u="1"/>
        <s v="1-1454316-2" u="1"/>
        <s v="1-1447589-2" u="1"/>
        <s v="1-1440728-16" u="1"/>
        <s v="1-1433396-6" u="1"/>
        <s v="1-1442424-1" u="1"/>
        <s v="1-1446017-4" u="1"/>
        <s v="1-1446141-2" u="1"/>
        <s v="1-1446525-1" u="1"/>
        <s v="10-1444706-2" u="1"/>
        <s v="1-1435589-2" u="1"/>
        <s v="1-1452807-4" u="1"/>
        <s v="1-1452931-2" u="1"/>
        <s v="1-1455296-3" u="1"/>
        <s v="1-1455496-2" u="1"/>
        <s v="1-1430224-2" u="1"/>
        <s v="1-1434417-2" u="1"/>
        <s v="1-1441887-4" u="1"/>
        <s v="1-1435562-12" u="1"/>
        <s v="1-1448317-7" u="1"/>
        <s v="1-1446609-2" u="1"/>
        <s v="1-1435597-2" u="1"/>
        <s v="1-1455596-2" u="1"/>
        <s v="1-1430216-3" u="1"/>
        <s v="1-1434317-3" u="1"/>
        <s v="1-1438250-2" u="1"/>
        <s v="1-1454516-2" u="1"/>
        <s v="1-1454716-1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-1451595-2" u="1"/>
        <s v="10-1456013-1" u="1"/>
        <s v="1-1430332-2" u="1"/>
        <s v="1-1433189-1" u="1"/>
        <s v="1-1434417-3" u="1"/>
        <s v="1-1434525-2" u="1"/>
        <s v="1-1441887-5" u="1"/>
        <s v="1-1454340-2" u="1"/>
        <s v="1-1448317-8" u="1"/>
        <s v="1-1446717-2" u="1"/>
        <s v="1-1449098-2" u="1"/>
        <s v="1-1435597-3" u="1"/>
        <s v="1-1435889-2" u="1"/>
        <s v="1-1435997-1" u="1"/>
        <s v="1-1444009-2" u="1"/>
        <s v="1-1448018-2" u="1"/>
        <s v="1-1451695-2" u="1"/>
        <s v="1-1451879-2" u="1"/>
        <s v="1-1455888-2" u="1"/>
        <s v="10-1442173-3" u="1"/>
        <s v="1-1430216-4" u="1"/>
        <s v="1-1430432-2" u="1"/>
        <s v="1-1430616-2" u="1"/>
        <s v="1-1433089-2" u="1"/>
        <s v="1-1433289-1" u="1"/>
        <s v="1-1438450-2" u="1"/>
        <s v="1-1450323-3" u="1"/>
        <s v="1-1432009-2" u="1"/>
        <s v="1-1436018-2" u="1"/>
        <s v="1-1456017-2" u="1"/>
        <s v="1-1441088-2" u="1"/>
        <s v="1-1442624-2" u="1"/>
        <s v="1-1445097-2" u="1"/>
        <s v="10-1448322-3" u="1"/>
        <s v="11-1436470-3" u="1"/>
        <s v="1-1432132-8" u="1"/>
        <s v="1-1451795-2" u="1"/>
        <s v="1-1451995-1" u="1"/>
        <s v="1-1455696-3" u="1"/>
        <s v="1-1430332-3" u="1"/>
        <s v="1-1433097-2" u="1"/>
        <s v="1-1434417-4" u="1"/>
        <s v="1-1454724-2" u="1"/>
        <s v="1-1454816-2" u="1"/>
        <s v="1-1448315-10" u="1"/>
        <s v="1-1432017-2" u="1"/>
        <s v="1-1436118-2" u="1"/>
        <s v="1-1443696-3" u="1"/>
        <s v="1-1447997-2" u="1"/>
        <s v="1-1448317-9" u="1"/>
        <s v="1-1448409-9" u="1"/>
        <s v="1-1446641-2" u="1"/>
        <s v="1-1446809-3" u="1"/>
        <s v="1-1446825-2" u="1"/>
        <s v="1-1453895-6" u="1"/>
        <s v="1-1435597-4" u="1"/>
        <s v="1-1440016-2" u="1"/>
        <s v="1-1440124-1" u="1"/>
        <s v="1-1444117-2" u="1"/>
        <s v="13-1457052-2" u="1"/>
        <s v="1-1434641-2" u="1"/>
        <s v="1-1438742-2" u="1"/>
        <s v="1-1432117-2" u="1"/>
        <s v="1-1432209-2" u="1"/>
        <s v="1-1436018-3" u="1"/>
        <s v="1-1456033-2" u="1"/>
        <s v="1-1442732-2" u="1"/>
        <s v="1-1436415-10" u="1"/>
        <s v="1-1435697-4" u="1"/>
        <s v="1-1435989-3" u="1"/>
        <s v="1-1448318-2" u="1"/>
        <s v="1-1451579-5" u="1"/>
        <s v="10-1443425-3" u="1"/>
        <s v="11-1431681-2" u="1"/>
        <s v="1-1430732-2" u="1"/>
        <s v="1-1430824-2" u="1"/>
        <s v="1-1430916-2" u="1"/>
        <s v="1-1434741-2" u="1"/>
        <s v="1-1438918-3" u="1"/>
        <s v="13-1453179-2" u="1"/>
        <s v="1-1432217-2" u="1"/>
        <s v="1-1443696-4" u="1"/>
        <s v="1-1452124-2" u="1"/>
        <s v="1-1456133-2" u="1"/>
        <s v="1-1445397-2" u="1"/>
        <s v="1-1446641-3" u="1"/>
        <s v="1-1446841-2" u="1"/>
        <s v="1-1449498-2" u="1"/>
        <s v="1-1435597-5" u="1"/>
        <s v="1-1444117-3" u="1"/>
        <s v="1-1430216-6" u="1"/>
        <s v="1-1430724-3" u="1"/>
        <s v="1-1433489-2" u="1"/>
        <s v="1-1434841-2" u="1"/>
        <s v="1-1437498-2" u="1"/>
        <s v="13-1454179-2" u="1"/>
        <s v="1-1432409-2" u="1"/>
        <s v="1-1436018-4" u="1"/>
        <s v="1-1436050-2" u="1"/>
        <s v="1-1436142-2" u="1"/>
        <s v="1-1436234-2" u="1"/>
        <s v="1-1436418-2" u="1"/>
        <s v="1-1452224-2" u="1"/>
        <s v="1-1456141-2" u="1"/>
        <s v="1-1437655-12" u="1"/>
        <s v="1-1453685-10" u="1"/>
        <s v="1-1429599-2" u="1"/>
        <s v="1-1441488-2" u="1"/>
        <s v="1-1442916-3" u="1"/>
        <s v="1-1448150-2" u="1"/>
        <s v="10-1447281-2" u="1"/>
        <s v="12-1456236-4" u="1"/>
        <s v="13-1441624-4" u="1"/>
        <s v="1-1433389-3" u="1"/>
        <s v="1-1438750-3" u="1"/>
        <s v="1-1454940-2" u="1"/>
        <s v="1-1428750-7" u="1"/>
        <s v="1-1432141-2" u="1"/>
        <s v="1-1432417-2" u="1"/>
        <s v="1-1436134-3" u="1"/>
        <s v="1-1436150-2" u="1"/>
        <s v="1-1443696-5" u="1"/>
        <s v="1-1452140-2" u="1"/>
        <s v="1-1452324-2" u="1"/>
        <s v="1-1441788-1" u="1"/>
        <s v="1-1445597-2" u="1"/>
        <s v="1-1445689-2" u="1"/>
        <s v="1-1435159-11" u="1"/>
        <s v="12-1429986-3" u="1"/>
        <s v="1-1435597-6" u="1"/>
        <s v="1-1444117-4" u="1"/>
        <s v="1-1448050-3" u="1"/>
        <s v="1-1448434-2" u="1"/>
        <s v="1-1429656-22" u="1"/>
        <s v="1-1429988-10" u="1"/>
        <s v="1-1433689-2" u="1"/>
        <s v="1-1434841-3" u="1"/>
        <s v="1-1453396-3" u="1"/>
        <s v="1-1453596-2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-1448442-2" u="1"/>
        <s v="1-1448534-2" u="1"/>
        <s v="1-1430824-4" u="1"/>
        <s v="1-1428732-10" u="1"/>
        <s v="13-1455247-2" u="1"/>
        <s v="1-1432141-3" u="1"/>
        <s v="1-1432341-2" u="1"/>
        <s v="1-1432525-2" u="1"/>
        <s v="1-1432617-2" u="1"/>
        <s v="1-1436134-4" u="1"/>
        <s v="1-1436534-2" u="1"/>
        <s v="1-1452708-2" u="1"/>
        <s v="1-1437791-11" u="1"/>
        <s v="1-1454009-2" u="1"/>
        <s v="1-1428743-1" u="1"/>
        <s v="1-1444117-5" u="1"/>
        <s v="1-1444809-2" u="1"/>
        <s v="1-1448434-3" u="1"/>
        <s v="1-1448818-2" u="1"/>
        <s v="12-1456600-2" u="1"/>
        <s v="1-1433889-2" u="1"/>
        <s v="1-1453888-2" u="1"/>
        <s v="1-1432441-2" u="1"/>
        <s v="1-1436342-3" u="1"/>
        <s v="1-1436542-2" u="1"/>
        <s v="1-1436818-2" u="1"/>
        <s v="1-1452516-3" u="1"/>
        <s v="1-1452716-2" u="1"/>
        <s v="1-1452808-2" u="1"/>
        <s v="1-1455097-2" u="1"/>
        <s v="1-1456309-5" u="1"/>
        <s v="1-1456541-2" u="1"/>
        <s v="1-1441488-4" u="1"/>
        <s v="1-1441796-2" u="1"/>
        <s v="1-1445989-2" u="1"/>
        <s v="1-1449998-2" u="1"/>
        <s v="1-1444741-1" u="1"/>
        <s v="1-1433789-3" u="1"/>
        <s v="1-1437998-2" u="1"/>
        <s v="1-1442017-2" u="1"/>
        <s v="1-1453896-2" u="1"/>
        <s v="1-1431097-2" u="1"/>
        <s v="1-1432141-4" u="1"/>
        <s v="1-1432541-2" u="1"/>
        <s v="1-1436134-5" u="1"/>
        <s v="1-1443696-7" u="1"/>
        <s v="1-1456641-2" u="1"/>
        <s v="1-1456809-3" u="1"/>
        <s v="1-1429899-3" u="1"/>
        <s v="1-1441788-3" u="1"/>
        <s v="1-1445997-2" u="1"/>
        <s v="1-1440816-2" u="1"/>
        <s v="1-1440924-1" u="1"/>
        <s v="1-1448434-4" u="1"/>
        <s v="1-1448834-2" u="1"/>
        <s v="10-1442240-3" u="1"/>
        <s v="1-1436218-6" u="1"/>
        <s v="1-1436742-2" u="1"/>
        <s v="1-1436818-3" u="1"/>
        <s v="1-1452440-3" u="1"/>
        <s v="1-1452716-3" u="1"/>
        <s v="1-1452824-2" u="1"/>
        <s v="1-1452916-2" u="1"/>
        <s v="1-1456341-4" u="1"/>
        <s v="1-1456741-2" u="1"/>
        <s v="1-1456833-2" u="1"/>
        <s v="1-1430209-2" u="1"/>
        <s v="1-1441488-5" u="1"/>
        <s v="1-1442932-5" u="1"/>
        <s v="1-1450024-2" u="1"/>
        <s v="1-1450116-2" u="1"/>
        <s v="1-1450208-2" u="1"/>
        <s v="1-1450316-1" u="1"/>
        <s v="1-1454309-2" u="1"/>
        <s v="1-1435567-11" u="1"/>
        <s v="1-1440640-2" u="1"/>
        <s v="1-1437998-3" u="1"/>
        <s v="1-1453988-3" u="1"/>
        <s v="1-1432141-5" u="1"/>
        <s v="1-1436134-6" u="1"/>
        <s v="1-1436750-2" u="1"/>
        <s v="1-1443696-8" u="1"/>
        <s v="1-1452740-2" u="1"/>
        <s v="1-1452816-3" u="1"/>
        <s v="1-1455289-3" u="1"/>
        <s v="1-1455489-2" u="1"/>
        <s v="1-1456917-3" u="1"/>
        <s v="1-1438235-2" u="1"/>
        <s v="1-1441788-4" u="1"/>
        <s v="1-1455574-11" u="1"/>
        <s v="1-1443489-2" u="1"/>
        <s v="1-1448434-5" u="1"/>
        <s v="1-1433397-6" u="1"/>
        <s v="1-1433997-3" u="1"/>
        <s v="1-1442133-2" u="1"/>
        <s v="10-1445452-2" u="1"/>
        <s v="10-1446464-2" u="1"/>
        <s v="1-1436818-4" u="1"/>
        <s v="1-1452716-4" u="1"/>
        <s v="1-1455297-3" u="1"/>
        <s v="1-1430041-2" u="1"/>
        <s v="1-1434234-2" u="1"/>
        <s v="1-1438243-2" u="1"/>
        <s v="1-1438335-2" u="1"/>
        <s v="1-1441796-4" u="1"/>
        <s v="1-1455470-12" u="1"/>
        <s v="1-1440640-3" u="1"/>
        <s v="1-1437998-4" u="1"/>
        <s v="1-1446134-3" u="1"/>
        <s v="1-1446334-2" u="1"/>
        <s v="1-1449099-1" u="1"/>
        <s v="11-1454967-2" u="1"/>
        <s v="1-1431297-3" u="1"/>
        <s v="1-1435598-2" u="1"/>
        <s v="1-1436134-7" u="1"/>
        <s v="1-1443696-9" u="1"/>
        <s v="1-1456733-4" u="1"/>
        <s v="1-1456933-3" u="1"/>
        <s v="1-1430325-2" u="1"/>
        <s v="1-1434334-2" u="1"/>
        <s v="1-1438527-2" u="1"/>
        <s v="1-1450340-1" u="1"/>
        <s v="1-1448434-6" u="1"/>
        <s v="1-1446342-2" u="1"/>
        <s v="1-1446434-2" u="1"/>
        <s v="1-1446634-1" u="1"/>
        <s v="1-1431597-2" u="1"/>
        <s v="1-1431689-2" u="1"/>
        <s v="1-1452716-5" u="1"/>
        <s v="1-1452840-3" u="1"/>
        <s v="1-1430041-3" u="1"/>
        <s v="1-1430609-2" u="1"/>
        <s v="1-1434634-1" u="1"/>
        <s v="1-1438335-3" u="1"/>
        <s v="1-1441796-5" u="1"/>
        <s v="1-1454017-5" u="1"/>
        <s v="1-1454341-2" u="1"/>
        <s v="1-1454617-2" u="1"/>
        <s v="1-1454817-1" u="1"/>
        <s v="1-1440640-4" u="1"/>
        <s v="1-1442141-3" u="1"/>
        <s v="1-1442617-2" u="1"/>
        <s v="1-1446334-3" u="1"/>
        <s v="1-1446534-2" u="1"/>
        <s v="12-1443995-3" u="1"/>
        <s v="1-1452816-5" u="1"/>
        <s v="1-1455889-2" u="1"/>
        <s v="12-1451938-1" u="1"/>
        <s v="1-1434718-2" u="1"/>
        <s v="1-1454609-3" u="1"/>
        <s v="1-1454917-1" u="1"/>
        <s v="1-1440940-3" u="1"/>
        <s v="1-1442241-3" u="1"/>
        <s v="1-1431889-2" u="1"/>
        <s v="1-1435698-3" u="1"/>
        <s v="1-1451796-2" u="1"/>
        <s v="1-1430209-5" u="1"/>
        <s v="1-1430717-2" u="1"/>
        <s v="1-1434742-1" u="1"/>
        <s v="1-1438335-4" u="1"/>
        <s v="1-1441796-6" u="1"/>
        <s v="1-1438264-16" u="1"/>
        <s v="1-1440640-5" u="1"/>
        <s v="1-1443697-3" u="1"/>
        <s v="1-1442541-2" u="1"/>
        <s v="1-1442909-2" u="1"/>
        <s v="1-1446334-4" u="1"/>
        <s v="1-1446642-2" u="1"/>
        <s v="1-1440017-2" u="1"/>
        <s v="1-1448127-2" u="1"/>
        <s v="1-1451788-3" u="1"/>
        <s v="1-1452816-6" u="1"/>
        <s v="1-1455997-2" u="1"/>
        <s v="1-1430725-2" u="1"/>
        <s v="1-1430817-2" u="1"/>
        <s v="1-1430909-2" u="1"/>
        <s v="1-1450540-2" u="1"/>
        <s v="1-1454733-2" u="1"/>
        <s v="12-1438144-25" u="1"/>
        <s v="1-1436035-2" u="1"/>
        <s v="1-1436235-1" u="1"/>
        <s v="1-1452209-2" u="1"/>
        <s v="1-1456034-2" u="1"/>
        <s v="1-1442717-3" u="1"/>
        <s v="1-1442917-2" u="1"/>
        <s v="1-1449399-2" u="1"/>
        <s v="1-1440209-2" u="1"/>
        <s v="1-1451888-3" u="1"/>
        <s v="1-1451996-2" u="1"/>
        <s v="1-1430209-6" u="1"/>
        <s v="1-1430641-2" u="1"/>
        <s v="1-1430825-2" u="1"/>
        <s v="1-1430917-2" u="1"/>
        <s v="1-1434650-2" u="1"/>
        <s v="1-1434834-2" u="1"/>
        <s v="1-1438335-5" u="1"/>
        <s v="1-1450608-4" u="1"/>
        <s v="1-1454741-2" u="1"/>
        <s v="1-1440640-6" u="1"/>
        <s v="1-1443697-4" u="1"/>
        <s v="1-1446334-5" u="1"/>
        <s v="1-1446842-2" u="1"/>
        <s v="1-1432141-9" u="1"/>
        <s v="1-1440109-3" u="1"/>
        <s v="1-1440309-2" u="1"/>
        <s v="1-1452816-7" u="1"/>
        <s v="1-1434842-2" u="1"/>
        <s v="1-1453689-1" u="1"/>
        <s v="13-1453177-2" u="1"/>
        <s v="12-1434071-16" u="1"/>
        <s v="1-1441489-2" u="1"/>
        <s v="1-1442717-4" u="1"/>
        <s v="1-1442917-3" u="1"/>
        <s v="1-1446742-3" u="1"/>
        <s v="1-1440009-4" u="1"/>
        <s v="1-1448135-3" u="1"/>
        <s v="1-1448319-3" u="1"/>
        <s v="1-1448519-2" u="1"/>
        <s v="1-1450608-5" u="1"/>
        <s v="1-1454941-2" u="1"/>
        <s v="1-1443697-5" u="1"/>
        <s v="1-1452141-2" u="1"/>
        <s v="1-1456334-2" u="1"/>
        <s v="1-1442941-2" u="1"/>
        <s v="1-1446334-6" u="1"/>
        <s v="1-1452816-8" u="1"/>
        <s v="1-1434642-4" u="1"/>
        <s v="12-1431486-2" u="1"/>
        <s v="1-1432334-2" u="1"/>
        <s v="1-1456526-2" u="1"/>
        <s v="1-1432139-16" u="1"/>
        <s v="1-1433867-11" u="1"/>
        <s v="1-1442717-5" u="1"/>
        <s v="1-1440809-1" u="1"/>
        <s v="1-1444234-3" u="1"/>
        <s v="1-1448351-2" u="1"/>
        <s v="12-1441982-3" u="1"/>
        <s v="1-1430209-8" u="1"/>
        <s v="1-1434850-3" u="1"/>
        <s v="1-1450608-6" u="1"/>
        <s v="1-1453389-4" u="1"/>
        <s v="10-1441566-2" u="1"/>
        <s v="10-1443098-4" u="1"/>
        <s v="1-1432542-1" u="1"/>
        <s v="1-1436627-2" u="1"/>
        <s v="1-1443697-6" u="1"/>
        <s v="1-1446024-10" u="1"/>
        <s v="1-1434027-1" u="1"/>
        <s v="1-1442941-3" u="1"/>
        <s v="1-1446334-7" u="1"/>
        <s v="1-1449699-3" u="1"/>
        <s v="1-1444626-2" u="1"/>
        <s v="1-1447099-2" u="1"/>
        <s v="1-1447299-1" u="1"/>
        <s v="1-1448051-4" u="1"/>
        <s v="1-1434950-3" u="1"/>
        <s v="1-1442026-1" u="1"/>
        <s v="1-1454841-4" u="1"/>
        <s v="12-1431646-2" u="1"/>
        <s v="12-1450033-5" u="1"/>
        <s v="1-1432442-2" u="1"/>
        <s v="1-1456634-2" u="1"/>
        <s v="1-1434035-1" u="1"/>
        <s v="1-1442717-6" u="1"/>
        <s v="1-1451358-11" u="1"/>
        <s v="1-1430209-9" u="1"/>
        <s v="1-1446027-2" u="1"/>
        <s v="1-1450608-7" u="1"/>
        <s v="13-1435034-3" u="1"/>
        <s v="1-1456734-2" u="1"/>
        <s v="1-1434027-2" u="1"/>
        <s v="1-1438328-1" u="1"/>
        <s v="1-1442541-6" u="1"/>
        <s v="1-1442941-4" u="1"/>
        <s v="1-1446334-8" u="1"/>
        <s v="1-1435376-11" u="1"/>
        <s v="1-1440817-2" u="1"/>
        <s v="1-1448251-4" u="1"/>
        <s v="1-1442134-1" u="1"/>
        <s v="1-1446219-2" u="1"/>
        <s v="1-1453889-3" u="1"/>
        <s v="1-1454841-5" u="1"/>
        <s v="12-1455685-1" u="1"/>
        <s v="1-1436927-2" u="1"/>
        <s v="1-1452733-2" u="1"/>
        <s v="1-1455098-3" u="1"/>
        <s v="1-1456742-2" u="1"/>
        <s v="1-1434035-2" u="1"/>
        <s v="1-1434127-2" u="1"/>
        <s v="1-1441997-2" u="1"/>
        <s v="1-1442717-7" u="1"/>
        <s v="1-1449999-3" u="1"/>
        <s v="1-1450041-1" u="1"/>
        <s v="1-1450409-1" u="1"/>
        <s v="1-1454126-2" u="1"/>
        <s v="1-1424727-3" u="1"/>
        <s v="1-1428752-2" u="1"/>
        <s v="1-1446319-2" u="1"/>
        <s v="1-1436827-3" u="1"/>
        <s v="1-1443697-8" u="1"/>
        <s v="1-1452741-2" u="1"/>
        <s v="1-1436464-16" u="1"/>
        <s v="1-1434227-2" u="1"/>
        <s v="1-1438128-3" u="1"/>
        <s v="1-1442541-7" u="1"/>
        <s v="1-1442941-5" u="1"/>
        <s v="1-1446334-9" u="1"/>
        <s v="1-1450325-1" u="1"/>
        <s v="1-1454118-3" u="1"/>
        <s v="1-1451362-12" u="1"/>
        <s v="1-1428760-2" u="1"/>
        <s v="1-1440833-2" u="1"/>
        <s v="1-1447499-2" u="1"/>
        <s v="10-1433423-7" u="1"/>
        <s v="1-1446235-2" u="1"/>
        <s v="1-1454841-6" u="1"/>
        <s v="11-1431370-4" u="1"/>
        <s v="1-1432842-2" u="1"/>
        <s v="1-1452841-2" u="1"/>
        <s v="1-1455098-4" u="1"/>
        <s v="1-1430042-2" u="1"/>
        <s v="1-1434235-2" u="1"/>
        <s v="1-1434419-2" u="1"/>
        <s v="1-1438152-2" u="1"/>
        <s v="1-1438260-1" u="1"/>
        <s v="1-1450041-2" u="1"/>
        <s v="1-1450133-2" u="1"/>
        <s v="1-1454050-2" u="1"/>
        <s v="1-1454250-1" u="1"/>
        <s v="1-1435544-13" u="1"/>
        <s v="1-1447599-2" u="1"/>
        <s v="1-1422143-2" u="1"/>
        <s v="1-1426352-1" u="1"/>
        <s v="1-1450608-9" u="1"/>
        <s v="1-1453989-4" u="1"/>
        <s v="1-1443697-9" u="1"/>
        <s v="1-1436464-26" u="1"/>
        <s v="1-1454518-2" u="1"/>
        <s v="1-1435552-13" u="1"/>
        <s v="1-1440941-2" u="1"/>
        <s v="1-1456019-1" u="1"/>
        <s v="1-1446219-4" u="1"/>
        <s v="1-1446327-3" u="1"/>
        <s v="1-1446527-2" u="1"/>
        <s v="1-1454841-7" u="1"/>
        <s v="10-1445806-2" u="1"/>
        <s v="1-1435699-2" u="1"/>
        <s v="1-1451689-2" u="1"/>
        <s v="1-1455698-2" u="1"/>
        <s v="10-1441485-2" u="1"/>
        <s v="1-1430042-3" u="1"/>
        <s v="1-1430626-1" u="1"/>
        <s v="1-1434435-2" u="1"/>
        <s v="1-1434635-1" u="1"/>
        <s v="1-1454018-5" u="1"/>
        <s v="1-1454618-2" u="1"/>
        <s v="1-1454818-1" u="1"/>
        <s v="1-1455763-12" u="1"/>
        <s v="1-1442342-2" u="1"/>
        <s v="12-1437542-2" u="1"/>
        <s v="12-1439290-2" u="1"/>
        <s v="1-1448128-1" u="1"/>
        <s v="1-1452690-15" u="1"/>
        <s v="1-1430342-2" u="1"/>
        <s v="1-1434151-3" u="1"/>
        <s v="1-1454534-2" u="1"/>
        <s v="1-1448217-10" u="1"/>
        <s v="1-1428728-6" u="1"/>
        <s v="1-1440941-3" u="1"/>
        <s v="12-1431970-7" u="1"/>
        <s v="1-1445099-2" u="1"/>
        <s v="1-1446219-5" u="1"/>
        <s v="1-1446635-2" u="1"/>
        <s v="1-1454841-8" u="1"/>
        <s v="1-1451889-2" u="1"/>
        <s v="10-1442165-4" u="1"/>
        <s v="1-1430042-4" u="1"/>
        <s v="1-1430534-2" u="1"/>
        <s v="1-1438552-2" u="1"/>
        <s v="1-1454926-1" u="1"/>
        <s v="1-1432019-2" u="1"/>
        <s v="1-1446151-4" u="1"/>
        <s v="1-1435999-2" u="1"/>
        <s v="1-1429162-13" u="1"/>
        <s v="12-1434485-2" u="1"/>
        <s v="1-1434151-4" u="1"/>
        <s v="1-1434919-2" u="1"/>
        <s v="1-1453198-2" u="1"/>
        <s v="11-1441096-2" u="1"/>
        <s v="1-1432119-2" u="1"/>
        <s v="1-1442826-2" u="1"/>
        <s v="1-1445299-2" u="1"/>
        <s v="1-1446219-6" u="1"/>
        <s v="1-1446635-3" u="1"/>
        <s v="1-1446651-2" u="1"/>
        <s v="1-1454841-9" u="1"/>
        <s v="1-1432132-10" u="1"/>
        <s v="1-1444019-3" u="1"/>
        <s v="10-1444273-3" u="1"/>
        <s v="1-1430642-2" u="1"/>
        <s v="1-1430734-2" u="1"/>
        <s v="1-1433299-2" u="1"/>
        <s v="1-1434835-2" u="1"/>
        <s v="1-1448409-20" u="1"/>
        <s v="12-1435918-12" u="1"/>
        <s v="1-1442834-2" u="1"/>
        <s v="1-1442926-2" u="1"/>
        <s v="1-1435799-4" u="1"/>
        <s v="1-1444119-3" u="1"/>
        <s v="1-1429290-12" u="1"/>
        <s v="1-1430726-3" u="1"/>
        <s v="1-1438760-2" u="1"/>
        <s v="1-1454826-3" u="1"/>
        <s v="1-1432227-2" u="1"/>
        <s v="1-1436328-2" u="1"/>
        <s v="1-1452426-1" u="1"/>
        <s v="1-1441598-1" u="1"/>
        <s v="1-1442842-2" u="1"/>
        <s v="1-1445699-1" u="1"/>
        <s v="1-1448152-2" u="1"/>
        <s v="1-1448428-2" u="1"/>
        <s v="1-1430642-3" u="1"/>
        <s v="1-1433699-1" u="1"/>
        <s v="1-1434851-2" u="1"/>
        <s v="13-1431152-2" u="1"/>
        <s v="13-1452147-3" u="1"/>
        <s v="12-1435918-20" u="1"/>
        <s v="1-1432035-3" u="1"/>
        <s v="1-1436060-2" u="1"/>
        <s v="1-1456227-3" u="1"/>
        <s v="1-1442942-2" u="1"/>
        <s v="1-1440234-2" u="1"/>
        <s v="1-1429522-15" u="1"/>
        <s v="1-1454718-5" u="1"/>
        <s v="1-1432319-3" u="1"/>
        <s v="1-1432335-2" u="1"/>
        <s v="1-1432427-2" u="1"/>
        <s v="1-1456619-2" u="1"/>
        <s v="1-1446219-8" u="1"/>
        <s v="1-1446635-5" u="1"/>
        <s v="10-1436942-4" u="1"/>
        <s v="1-1444251-2" u="1"/>
        <s v="1-1448444-2" u="1"/>
        <s v="1-1430042-7" u="1"/>
        <s v="1-1430642-4" u="1"/>
        <s v="1-1430842-3" u="1"/>
        <s v="1-1432619-2" u="1"/>
        <s v="1-1436152-3" u="1"/>
        <s v="1-1436260-2" u="1"/>
        <s v="1-1452250-2" u="1"/>
        <s v="1-1456443-2" u="1"/>
        <s v="1-1434028-1" u="1"/>
        <s v="1-1441498-3" u="1"/>
        <s v="1-1428745-1" u="1"/>
        <s v="1-1444119-5" u="1"/>
        <s v="1-1444351-2" u="1"/>
        <s v="1-1444627-2" u="1"/>
        <s v="1-1448452-2" u="1"/>
        <s v="1-1448652-1" u="1"/>
        <s v="1-1434951-3" u="1"/>
        <s v="1-1453798-2" u="1"/>
        <s v="1-1432719-2" u="1"/>
        <s v="1-1436544-2" u="1"/>
        <s v="1-1436728-2" u="1"/>
        <s v="1-1452718-2" u="1"/>
        <s v="1-1455099-2" u="1"/>
        <s v="1-1456619-3" u="1"/>
        <s v="1-1456727-2" u="1"/>
        <s v="1-1424452-2" u="1"/>
        <s v="1-1440626-2" u="1"/>
        <s v="1-1448444-3" u="1"/>
        <s v="1-1448409-18" u="1"/>
        <s v="1-1442127-1" u="1"/>
        <s v="1-1446044-1" u="1"/>
        <s v="10-1437005-2" u="1"/>
        <s v="1-1431099-2" u="1"/>
        <s v="1-1432451-2" u="1"/>
        <s v="1-1432727-2" u="1"/>
        <s v="1-1436552-2" u="1"/>
        <s v="1-1436644-2" u="1"/>
        <s v="1-1456351-3" u="1"/>
        <s v="1-1456919-2" u="1"/>
        <s v="1-1433892-11" u="1"/>
        <s v="1-1434028-2" u="1"/>
        <s v="1-1440926-1" u="1"/>
        <s v="1-1443199-2" u="1"/>
        <s v="1-1444119-6" u="1"/>
        <s v="1-1444827-2" u="1"/>
        <s v="1-1433399-5" u="1"/>
        <s v="1-1442027-2" u="1"/>
        <s v="1-1446036-2" u="1"/>
        <s v="1-1446144-1" u="1"/>
        <s v="12-1431708-3" u="1"/>
        <s v="1-1432151-4" u="1"/>
        <s v="1-1432551-2" u="1"/>
        <s v="1-1436744-2" u="1"/>
        <s v="1-1452826-2" u="1"/>
        <s v="1-1455099-3" u="1"/>
        <s v="1-1456143-5" u="1"/>
        <s v="1-1456343-4" u="1"/>
        <s v="1-1450118-2" u="1"/>
        <s v="1-1450318-1" u="1"/>
        <s v="1-1448444-4" u="1"/>
        <s v="1-1448828-3" u="1"/>
        <s v="1-1448844-2" u="1"/>
        <s v="1-1448952-1" u="1"/>
        <s v="1-1430642-6" u="1"/>
        <s v="1-1442219-2" u="1"/>
        <s v="1-1432527-4" u="1"/>
        <s v="1-1432635-3" u="1"/>
        <s v="1-1436460-3" u="1"/>
        <s v="1-1436752-2" u="1"/>
        <s v="1-1436828-3" u="1"/>
        <s v="1-1452726-3" u="1"/>
        <s v="1-1456751-2" u="1"/>
        <s v="1-1438237-2" u="1"/>
        <s v="1-1445999-3" u="1"/>
        <s v="1-1450050-1" u="1"/>
        <s v="1-1428729-4" u="1"/>
        <s v="1-1440650-2" u="1"/>
        <s v="1-1444119-7" u="1"/>
        <s v="1-1444751-2" u="1"/>
        <s v="1-1448852-2" u="1"/>
        <s v="1-1442319-2" u="1"/>
        <s v="1-1446036-3" u="1"/>
        <s v="1-1443648-12" u="1"/>
        <s v="1-1432935-2" u="1"/>
        <s v="1-1436760-2" u="1"/>
        <s v="1-1455099-4" u="1"/>
        <s v="1-1455299-3" u="1"/>
        <s v="1-1456851-2" u="1"/>
        <s v="1-1430227-2" u="1"/>
        <s v="1-1438445-1" u="1"/>
        <s v="1-1454051-2" u="1"/>
        <s v="1-1454127-3" u="1"/>
        <s v="1-1440950-1" u="1"/>
        <s v="1-1443499-2" u="1"/>
        <s v="1-1448444-5" u="1"/>
        <s v="1-1448828-4" u="1"/>
        <s v="1-1448952-2" u="1"/>
        <s v="1-1448481-16" u="1"/>
        <s v="1-1443696-10" u="1"/>
        <s v="12-1454907-2" u="1"/>
        <s v="12-1455735-2" u="1"/>
        <s v="1-1452850-2" u="1"/>
        <s v="1-1430051-2" u="1"/>
        <s v="1-1430219-3" u="1"/>
        <s v="1-1434152-2" u="1"/>
        <s v="1-1445799-5" u="1"/>
        <s v="1-1444119-8" u="1"/>
        <s v="1-1446036-4" u="1"/>
        <s v="1-1455699-2" u="1"/>
        <s v="1-1434252-2" u="1"/>
        <s v="1-1434528-2" u="1"/>
        <s v="1-1438353-2" u="1"/>
        <s v="1-1454619-2" u="1"/>
        <s v="1-1454819-1" u="1"/>
        <s v="1-1440008-10" u="1"/>
        <s v="1-1428753-4" u="1"/>
        <s v="1-1443499-3" u="1"/>
        <s v="1-1436460-5" u="1"/>
        <s v="1-1448129-1" u="1"/>
        <s v="1-1430051-3" u="1"/>
        <s v="1-1454519-3" u="1"/>
        <s v="12-1438144-18" u="1"/>
        <s v="1-1424952-3" u="1"/>
        <s v="1-1442243-3" u="1"/>
        <s v="1-1442719-2" u="1"/>
        <s v="1-1446452-2" u="1"/>
        <s v="10-1447016-6" u="1"/>
        <s v="1-1430627-2" u="1"/>
        <s v="1-1430719-2" u="1"/>
        <s v="1-1438153-4" u="1"/>
        <s v="1-1438553-2" u="1"/>
        <s v="1-1454327-4" u="1"/>
        <s v="1-1454927-1" u="1"/>
        <s v="1-1440008-20" u="1"/>
        <s v="1-1443499-4" u="1"/>
        <s v="12-1448940-4" u="1"/>
        <s v="1-1430642-9" u="1"/>
        <s v="1-1442819-2" u="1"/>
        <s v="1-1446152-4" u="1"/>
        <s v="1-1446536-3" u="1"/>
        <s v="1-1446552-2" u="1"/>
        <s v="1-1446644-2" u="1"/>
        <s v="1-1443696-30" u="1"/>
        <s v="1-1440127-1" u="1"/>
        <s v="1-1448037-2" u="1"/>
        <s v="1-1430819-2" u="1"/>
        <s v="1-1434644-2" u="1"/>
        <s v="1-1434828-2" u="1"/>
        <s v="1-1453199-2" u="1"/>
        <s v="1-1454151-4" u="1"/>
        <s v="1-1436037-2" u="1"/>
        <s v="1-1452119-2" u="1"/>
        <s v="1-1456036-2" u="1"/>
        <s v="1-1442827-2" u="1"/>
        <s v="1-1446036-6" u="1"/>
        <s v="1-1446836-2" u="1"/>
        <s v="1-1440119-2" u="1"/>
        <s v="1-1451998-2" u="1"/>
        <s v="1-1430919-2" u="1"/>
        <s v="1-1434744-2" u="1"/>
        <s v="1-1434852-1" u="1"/>
        <s v="1-1438153-5" u="1"/>
        <s v="1-1438553-3" u="1"/>
        <s v="1-1438753-2" u="1"/>
        <s v="12-1441306-1" u="1"/>
        <s v="1-1452219-2" u="1"/>
        <s v="1-1442619-4" u="1"/>
        <s v="1-1446752-2" u="1"/>
        <s v="1-1446936-2" u="1"/>
        <s v="1-1444336-1" u="1"/>
        <s v="12-1434071-4" u="1"/>
        <s v="12-1454054-5" u="1"/>
        <s v="12-1454070-4" u="1"/>
        <s v="1-1430451-3" u="1"/>
        <s v="1-1454551-3" u="1"/>
        <s v="1-1454843-2" u="1"/>
        <s v="1-1452119-3" u="1"/>
        <s v="1-1452319-2" u="1"/>
        <s v="12-1434071-17" u="1"/>
        <s v="1-1442751-2" u="1"/>
        <s v="1-1446344-5" u="1"/>
        <s v="1-1444236-2" u="1"/>
        <s v="1-1444252-1" u="1"/>
        <s v="1-1448229-3" u="1"/>
        <s v="1-1448537-1" u="1"/>
        <s v="1-1448629-1" u="1"/>
        <s v="1-1430551-3" u="1"/>
        <s v="1-1430827-3" u="1"/>
        <s v="1-1438153-6" u="1"/>
        <s v="1-1454943-2" u="1"/>
        <s v="1-1443499-6" u="1"/>
        <s v="1-1452143-2" u="1"/>
        <s v="1-1456336-2" u="1"/>
        <s v="1-1442619-5" u="1"/>
        <s v="1-1442943-2" u="1"/>
        <s v="1-1432141-20" u="1"/>
        <s v="1-1444244-2" u="1"/>
        <s v="1-1448437-2" u="1"/>
        <s v="1-1453599-2" u="1"/>
        <s v="1-1452119-4" u="1"/>
        <s v="1-1452243-2" u="1"/>
        <s v="1-1452319-3" u="1"/>
        <s v="1-1437654-13" u="1"/>
        <s v="12-1434071-25" u="1"/>
        <s v="1-1428738-1" u="1"/>
        <s v="1-1448445-2" u="1"/>
        <s v="1-1440008-18" u="1"/>
        <s v="1-1432252-2" u="1"/>
        <s v="1-1452143-3" u="1"/>
        <s v="1-1452251-2" u="1"/>
        <s v="1-1456444-2" u="1"/>
        <s v="1-1443696-28" u="1"/>
        <s v="1-1434029-1" u="1"/>
        <s v="1-1442619-6" u="1"/>
        <s v="1-1446844-4" u="1"/>
        <s v="1-1440251-2" u="1"/>
        <s v="1-1448361-2" u="1"/>
        <s v="10-1447735-2" u="1"/>
        <s v="12-1452185-4" u="1"/>
        <s v="1-1452119-5" u="1"/>
        <s v="1-1452319-4" u="1"/>
        <s v="1-1452351-2" u="1"/>
        <s v="1-1437654-23" u="1"/>
        <s v="1-1434037-1" u="1"/>
        <s v="1-1440627-2" u="1"/>
        <s v="1-1448461-2" u="1"/>
        <s v="1-1448829-2" u="1"/>
        <s v="10-1446803-2" u="1"/>
        <s v="1-1438153-8" u="1"/>
        <s v="1-1446045-1" u="1"/>
        <s v="1-1453899-2" u="1"/>
        <s v="12-1433386-3" u="1"/>
        <s v="1-1432452-2" u="1"/>
        <s v="1-1432544-2" u="1"/>
        <s v="1-1436737-2" u="1"/>
        <s v="1-1452143-4" u="1"/>
        <s v="1-1446206-11" u="1"/>
        <s v="1-1434029-2" u="1"/>
        <s v="1-1438038-2" u="1"/>
        <s v="1-1424737-2" u="1"/>
        <s v="1-1440651-1" u="1"/>
        <s v="1-1440819-2" u="1"/>
        <s v="1-1440927-1" u="1"/>
        <s v="1-1456951-8" u="1"/>
        <s v="12-1437603-3" u="1"/>
        <s v="1-1446037-2" u="1"/>
        <s v="1-1432552-2" u="1"/>
        <s v="1-1436745-2" u="1"/>
        <s v="1-1452319-5" u="1"/>
        <s v="1-1456344-4" u="1"/>
        <s v="1-1456836-2" u="1"/>
        <s v="1-1434037-2" u="1"/>
        <s v="1-1440551-2" u="1"/>
        <s v="1-1440643-2" u="1"/>
        <s v="1-1444652-2" u="1"/>
        <s v="13-1429987-2" u="1"/>
        <s v="1-1438153-9" u="1"/>
        <s v="1-1440820-11" u="1"/>
        <s v="12-1453929-2" u="1"/>
        <s v="1-1436937-2" u="1"/>
        <s v="1-1452143-5" u="1"/>
        <s v="1-1452651-2" u="1"/>
        <s v="1-1456844-2" u="1"/>
        <s v="1-1432141-18" u="1"/>
        <s v="1-1446334-10" u="1"/>
        <s v="10-1430002-2" u="1"/>
        <s v="1-1434061-1" u="1"/>
        <s v="1-1438238-2" u="1"/>
        <s v="1-1442619-8" u="1"/>
        <s v="1-1454136-2" u="1"/>
        <s v="1-1440743-2" u="1"/>
        <s v="1-1444552-3" u="1"/>
        <s v="1-1444644-3" u="1"/>
        <s v="1-1444752-2" u="1"/>
        <s v="1-1448945-2" u="1"/>
        <s v="10-1435991-3" u="1"/>
        <s v="1-1446037-3" u="1"/>
        <s v="1-1446329-2" u="1"/>
        <s v="12-1453917-2" u="1"/>
        <s v="1-1436945-2" u="1"/>
        <s v="1-1452319-6" u="1"/>
        <s v="1-1452643-3" u="1"/>
        <s v="1-1452751-2" u="1"/>
        <s v="1-1456944-2" u="1"/>
        <s v="1-1430044-2" u="1"/>
        <s v="1-1434037-3" u="1"/>
        <s v="1-1450135-2" u="1"/>
        <s v="1-1454144-2" u="1"/>
        <s v="1-1424945-2" u="1"/>
        <s v="1-1440643-3" u="1"/>
        <s v="1-1440843-2" u="1"/>
        <s v="1-1444744-3" u="1"/>
        <s v="1-1450608-10" u="1"/>
        <s v="1-1443697-10" u="1"/>
        <s v="10-1447494-2" u="1"/>
        <s v="1-1452819-4" u="1"/>
        <s v="13-1430241-2" u="1"/>
        <s v="1-1430052-2" u="1"/>
        <s v="1-1430236-2" u="1"/>
        <s v="1-1438070-2" u="1"/>
        <s v="1-1442619-9" u="1"/>
        <s v="1-1450219-3" u="1"/>
        <s v="1-1450343-1" u="1"/>
        <s v="1-1454244-2" u="1"/>
        <s v="1-1454536-1" u="1"/>
        <s v="12-1430794-10" u="1"/>
        <s v="1-1440727-4" u="1"/>
        <s v="1-1444936-3" u="1"/>
        <s v="1-1440728-17" u="1"/>
        <s v="1-1446345-2" u="1"/>
        <s v="12-1454905-2" u="1"/>
        <s v="1-1432752-3" u="1"/>
        <s v="1-1430044-3" u="1"/>
        <s v="1-1434037-4" u="1"/>
        <s v="1-1434129-4" u="1"/>
        <s v="1-1434529-2" u="1"/>
        <s v="1-1450151-2" u="1"/>
        <s v="1-1454544-1" u="1"/>
        <s v="1-1435562-13" u="1"/>
        <s v="1-1440643-4" u="1"/>
        <s v="1-1440843-3" u="1"/>
        <s v="1-1440951-2" u="1"/>
        <s v="1-1442236-3" u="1"/>
        <s v="1-1442544-1" u="1"/>
        <s v="1-1446261-2" u="1"/>
        <s v="1-1443697-20" u="1"/>
        <s v="12-1436642-2" u="1"/>
        <s v="1-1451499-3" u="1"/>
        <s v="1-1451699-2" u="1"/>
        <s v="12-1446133-1" u="1"/>
        <s v="1-1430052-3" u="1"/>
        <s v="1-1434537-2" u="1"/>
        <s v="1-1438362-2" u="1"/>
        <s v="1-1454060-3" u="1"/>
        <s v="1-1454244-3" u="1"/>
        <s v="1-1454260-2" u="1"/>
        <s v="1-1440727-5" u="1"/>
        <s v="1-1448961-3" u="1"/>
        <s v="11-1439911-3" u="1"/>
        <s v="12-1429467-7" u="1"/>
        <s v="1-1442244-3" u="1"/>
        <s v="1-1446345-3" u="1"/>
        <s v="1-1446637-2" u="1"/>
        <s v="1-1452135-8" u="1"/>
        <s v="1-1430044-4" u="1"/>
        <s v="1-1430336-3" u="1"/>
        <s v="1-1434637-2" u="1"/>
        <s v="1-1434729-2" u="1"/>
        <s v="1-1434837-1" u="1"/>
        <s v="1-1454728-2" u="1"/>
        <s v="1-1440643-5" u="1"/>
        <s v="1-1442836-1" u="1"/>
        <s v="1-1444029-2" u="1"/>
        <s v="1-1448038-2" u="1"/>
        <s v="1-1430052-4" u="1"/>
        <s v="1-1434461-2" u="1"/>
        <s v="1-1438362-3" u="1"/>
        <s v="1-1438470-2" u="1"/>
        <s v="1-1438654-2" u="1"/>
        <s v="1-1454244-4" u="1"/>
        <s v="1-1440727-6" u="1"/>
        <s v="1-1442644-2" u="1"/>
        <s v="1-1446345-4" u="1"/>
        <s v="1-1446929-2" u="1"/>
        <s v="1-1448138-2" u="1"/>
        <s v="1-1451999-2" u="1"/>
        <s v="1-1452643-6" u="1"/>
        <s v="1-1430044-5" u="1"/>
        <s v="1-1430552-2" u="1"/>
        <s v="1-1434545-3" u="1"/>
        <s v="1-1434637-3" u="1"/>
        <s v="1-1438170-4" u="1"/>
        <s v="1-1448315-11" u="1"/>
        <s v="12-1435918-13" u="1"/>
        <s v="1-1440643-6" u="1"/>
        <s v="1-1456061-1" u="1"/>
        <s v="1-1456137-2" u="1"/>
        <s v="1-1456153-1" u="1"/>
        <s v="1-1442344-4" u="1"/>
        <s v="1-1442944-1" u="1"/>
        <s v="1-1436937-6" u="1"/>
        <s v="1-1440236-1" u="1"/>
        <s v="1-1444229-2" u="1"/>
        <s v="1-1448162-1" u="1"/>
        <s v="10-1442641-2" u="1"/>
        <s v="11-1431985-2" u="1"/>
        <s v="1-1430052-5" u="1"/>
        <s v="1-1434461-3" u="1"/>
        <s v="1-1438362-4" u="1"/>
        <s v="1-1438762-2" u="1"/>
        <s v="1-1454844-2" u="1"/>
        <s v="1-1454860-1" u="1"/>
        <s v="1-1440727-7" u="1"/>
        <s v="1-1456329-2" u="1"/>
        <s v="1-1422937-2" u="1"/>
        <s v="1-1446345-5" u="1"/>
        <s v="1-1446761-2" u="1"/>
        <s v="1-1440228-2" u="1"/>
        <s v="1-1444037-3" u="1"/>
        <s v="1-1444237-2" u="1"/>
        <s v="1-1434637-4" u="1"/>
        <s v="1-1432529-1" u="1"/>
        <s v="1-1452160-1" u="1"/>
        <s v="1-1452528-1" u="1"/>
        <s v="1-1456429-2" u="1"/>
        <s v="1-1422145-6" u="1"/>
        <s v="1-1444153-2" u="1"/>
        <s v="1-1444429-2" u="1"/>
        <s v="1-1448438-2" u="1"/>
        <s v="12-1434825-2" u="1"/>
        <s v="1-1430052-6" u="1"/>
        <s v="1-1434461-4" u="1"/>
        <s v="1-1438362-5" u="1"/>
        <s v="1-1438870-2" u="1"/>
        <s v="1-1436238-3" u="1"/>
        <s v="1-1436438-2" u="1"/>
        <s v="1-1456253-2" u="1"/>
        <s v="1-1456437-2" u="1"/>
        <s v="1-1437655-13" u="1"/>
        <s v="1-1437747-13" u="1"/>
        <s v="1-1446761-3" u="1"/>
        <s v="1-1420229-3" u="1"/>
        <s v="1-1428739-1" u="1"/>
        <s v="1-1448538-2" u="1"/>
        <s v="12-1455824-2" u="1"/>
        <s v="1-1434637-5" u="1"/>
        <s v="1-1454960-2" u="1"/>
        <s v="1-1432345-2" u="1"/>
        <s v="1-1436370-1" u="1"/>
        <s v="1-1456353-2" u="1"/>
        <s v="1-1422145-7" u="1"/>
        <s v="1-1440328-3" u="1"/>
        <s v="1-1448454-2" u="1"/>
        <s v="1-1429988-11" u="1"/>
        <s v="10-1447929-2" u="1"/>
        <s v="1-1434461-5" u="1"/>
        <s v="1-1436362-2" u="1"/>
        <s v="1-1440727-9" u="1"/>
        <s v="1-1452444-2" u="1"/>
        <s v="1-1452628-2" u="1"/>
        <s v="1-1452828-1" u="1"/>
        <s v="1-1437655-23" u="1"/>
        <s v="1-1434038-1" u="1"/>
        <s v="1-1444453-2" u="1"/>
        <s v="1-1444561-1" u="1"/>
        <s v="1-1444653-1" u="1"/>
        <s v="1-1448462-2" u="1"/>
        <s v="1-1434637-6" u="1"/>
        <s v="10-1441280-3" u="1"/>
        <s v="1-1432345-3" u="1"/>
        <s v="1-1432361-2" u="1"/>
        <s v="1-1432637-2" u="1"/>
        <s v="1-1436154-4" u="1"/>
        <s v="1-1436462-2" u="1"/>
        <s v="1-1440643-9" u="1"/>
        <s v="1-1452144-4" u="1"/>
        <s v="1-1452728-2" u="1"/>
        <s v="1-1437791-12" u="1"/>
        <s v="1-1422145-8" u="1"/>
        <s v="1-1440928-1" u="1"/>
        <s v="1-1434461-6" u="1"/>
        <s v="1-1442029-2" u="1"/>
        <s v="1-1432461-2" u="1"/>
        <s v="1-1436654-2" u="1"/>
        <s v="1-1452628-3" u="1"/>
        <s v="1-1452644-2" u="1"/>
        <s v="1-1456561-2" u="1"/>
        <s v="1-1434038-2" u="1"/>
        <s v="1-1438155-1" u="1"/>
        <s v="1-1440644-2" u="1"/>
        <s v="1-1448862-1" u="1"/>
        <s v="1-1448954-1" u="1"/>
        <s v="1-1434637-7" u="1"/>
        <s v="1-1446046-2" u="1"/>
        <s v="1-1432345-4" u="1"/>
        <s v="1-1432561-2" u="1"/>
        <s v="1-1432637-3" u="1"/>
        <s v="1-1432745-2" u="1"/>
        <s v="1-1436754-2" u="1"/>
        <s v="1-1452144-5" u="1"/>
        <s v="1-1456261-4" u="1"/>
        <s v="1-1456937-2" u="1"/>
        <s v="1-1440728-3" u="1"/>
        <s v="1-1440836-2" u="1"/>
        <s v="1-1440944-1" u="1"/>
        <s v="1-1444661-2" u="1"/>
        <s v="1-1444753-2" u="1"/>
        <s v="1-1444937-2" u="1"/>
        <s v="1-1448762-2" u="1"/>
        <s v="1-1434461-7" u="1"/>
        <s v="1-1446146-2" u="1"/>
        <s v="1-1432629-4" u="1"/>
        <s v="1-1432661-2" u="1"/>
        <s v="1-1436762-2" u="1"/>
        <s v="1-1452628-4" u="1"/>
        <s v="1-1456853-2" u="1"/>
        <s v="1-1438063-2" u="1"/>
        <s v="1-1450136-2" u="1"/>
        <s v="1-1454053-2" u="1"/>
        <s v="1-1440660-2" u="1"/>
        <s v="1-1444761-2" u="1"/>
        <s v="1-1446154-2" u="1"/>
        <s v="1-1450151-9" u="1"/>
        <s v="12-1455463-3" u="1"/>
        <s v="1-1432545-4" u="1"/>
        <s v="1-1432637-4" u="1"/>
        <s v="1-1432761-2" u="1"/>
        <s v="1-1432945-2" u="1"/>
        <s v="1-1452144-6" u="1"/>
        <s v="1-1452744-3" u="1"/>
        <s v="1-1430237-2" u="1"/>
        <s v="1-1430329-2" u="1"/>
        <s v="1-1454137-3" u="1"/>
        <s v="1-1455574-12" u="1"/>
        <s v="1-1440728-4" u="1"/>
        <s v="1-1444953-2" u="1"/>
        <s v="1-1448962-2" u="1"/>
        <s v="1-1434461-8" u="1"/>
        <s v="1-1442337-2" u="1"/>
        <s v="1-1446346-2" u="1"/>
        <s v="10-1444624-3" u="1"/>
        <s v="1-1452860-2" u="1"/>
        <s v="1-1430061-2" u="1"/>
        <s v="1-1430337-2" u="1"/>
        <s v="1-1430429-2" u="1"/>
        <s v="1-1434254-2" u="1"/>
        <s v="1-1440660-3" u="1"/>
        <s v="1-1442237-3" u="1"/>
        <s v="1-1442329-3" u="1"/>
        <s v="1-1442437-2" u="1"/>
        <s v="1-1446262-2" u="1"/>
        <s v="1-1446462-1" u="1"/>
        <s v="1-1436008-11" u="1"/>
        <s v="11-1454967-3" u="1"/>
        <s v="1-1432345-6" u="1"/>
        <s v="1-1432637-5" u="1"/>
        <s v="1-1432761-3" u="1"/>
        <s v="1-1430329-3" u="1"/>
        <s v="1-1434262-2" u="1"/>
        <s v="1-1434538-2" u="1"/>
        <s v="1-1438255-3" u="1"/>
        <s v="1-1454153-3" u="1"/>
        <s v="1-1454461-1" u="1"/>
        <s v="12-1438144-19" u="1"/>
        <s v="1-1420945-3" u="1"/>
        <s v="1-1440728-5" u="1"/>
        <s v="1-1442629-2" u="1"/>
        <s v="1-1456929-5" u="1"/>
        <s v="1-1430261-2" u="1"/>
        <s v="1-1434054-4" u="1"/>
        <s v="1-1434638-2" u="1"/>
        <s v="1-1454729-2" u="1"/>
        <s v="1-1440660-4" u="1"/>
        <s v="1-1440860-3" u="1"/>
        <s v="1-1444961-3" u="1"/>
        <s v="1-1442729-2" u="1"/>
        <s v="1-1432345-7" u="1"/>
        <s v="1-1432761-4" u="1"/>
        <s v="1-1440037-1" u="1"/>
        <s v="1-1430837-1" u="1"/>
        <s v="1-1454553-2" u="1"/>
        <s v="1-1454829-2" u="1"/>
        <s v="1-1440960-3" u="1"/>
        <s v="1-1433339-13" u="1"/>
        <s v="1-1442829-2" u="1"/>
        <s v="1-1448047-2" u="1"/>
        <s v="1-1456929-6" u="1"/>
        <s v="13-1455434-2" u="1"/>
        <s v="1-1430261-3" u="1"/>
        <s v="1-1430829-2" u="1"/>
        <s v="1-1434654-2" u="1"/>
        <s v="1-1454561-2" u="1"/>
        <s v="1-1438264-17" u="1"/>
        <s v="1-1440660-5" u="1"/>
        <s v="1-1440860-4" u="1"/>
        <s v="1-1442837-2" u="1"/>
        <s v="1-1442853-1" u="1"/>
        <s v="1-1446754-2" u="1"/>
        <s v="1-1432345-8" u="1"/>
        <s v="1-1436938-6" u="1"/>
        <s v="1-1444046-2" u="1"/>
        <s v="1-1448055-2" u="1"/>
        <s v="12-1431807-3" u="1"/>
        <s v="1-1434754-2" u="1"/>
        <s v="1-1438763-2" u="1"/>
        <s v="1-1440728-7" u="1"/>
        <s v="1-1452229-2" u="1"/>
        <s v="1-1456054-2" u="1"/>
        <s v="1-1442753-2" u="1"/>
        <s v="1-1440029-3" u="1"/>
        <s v="1-1448447-1" u="1"/>
        <s v="11-1431767-4" u="1"/>
        <s v="1-1430261-4" u="1"/>
        <s v="1-1438755-3" u="1"/>
        <s v="1-1424508-11" u="1"/>
        <s v="10-1432007-3" u="1"/>
        <s v="11-1442286-2" u="1"/>
        <s v="1-1440660-6" u="1"/>
        <s v="1-1452053-2" u="1"/>
        <s v="1-1456154-2" u="1"/>
        <s v="1-1440237-2" u="1"/>
        <s v="1-1448347-2" u="1"/>
        <s v="1-1448439-2" u="1"/>
        <s v="1-1434662-3" u="1"/>
        <s v="1-1454737-4" u="1"/>
        <s v="1-1436071-2" u="1"/>
        <s v="1-1436347-2" u="1"/>
        <s v="1-1440728-8" u="1"/>
        <s v="1-1456070-2" u="1"/>
        <s v="12-1434071-26" u="1"/>
        <s v="1-1444546-1" u="1"/>
        <s v="1-1448171-2" u="1"/>
        <s v="1-1430261-5" u="1"/>
        <s v="1-1430829-4" u="1"/>
        <s v="13-1432354-2" u="1"/>
        <s v="1-1432254-2" u="1"/>
        <s v="1-1456170-2" u="1"/>
        <s v="1-1456446-2" u="1"/>
        <s v="1-1439300-1" u="1"/>
        <s v="1-1442961-2" u="1"/>
        <s v="1-1446846-4" u="1"/>
        <s v="1-1428748-1" u="1"/>
        <s v="1-1440253-2" u="1"/>
        <s v="1-1440329-3" u="1"/>
        <s v="1-1444246-3" u="1"/>
        <s v="1-1448071-3" u="1"/>
        <s v="1-1448455-2" u="1"/>
        <s v="10-1429688-2" u="1"/>
        <s v="12-1437755-2" u="1"/>
        <s v="1-1430961-2" u="1"/>
        <s v="1-1434954-3" u="1"/>
        <s v="1-1432446-2" u="1"/>
        <s v="1-1452629-2" u="1"/>
        <s v="1-1433867-12" u="1"/>
        <s v="1-1434039-1" u="1"/>
        <s v="1-1444562-1" u="1"/>
        <s v="1-1430261-6" u="1"/>
        <s v="1-1434854-4" u="1"/>
        <s v="13-1456377-2" u="1"/>
        <s v="1-1432362-2" u="1"/>
        <s v="1-1432454-2" u="1"/>
        <s v="1-1432546-2" u="1"/>
        <s v="1-1446024-11" u="1"/>
        <s v="1-1442929-5" u="1"/>
        <s v="1-1440453-2" u="1"/>
        <s v="1-1440637-2" u="1"/>
        <s v="1-1444554-2" u="1"/>
        <s v="1-1444646-2" u="1"/>
        <s v="1-1448455-3" u="1"/>
        <s v="1-1448655-2" u="1"/>
        <s v="12-1453577-3" u="1"/>
        <s v="1-1432554-2" u="1"/>
        <s v="1-1436655-2" u="1"/>
        <s v="1-1436855-1" u="1"/>
        <s v="1-1452645-2" u="1"/>
        <s v="1-1456470-2" u="1"/>
        <s v="1-1432379-15" u="1"/>
        <s v="1-1434039-2" u="1"/>
        <s v="1-1440553-2" u="1"/>
        <s v="1-1444146-5" u="1"/>
        <s v="1-1444454-3" u="1"/>
        <s v="1-1444654-2" u="1"/>
        <s v="1-1448939-2" u="1"/>
        <s v="1-1448955-1" u="1"/>
        <s v="1-1430261-7" u="1"/>
        <s v="10-1443490-2" u="1"/>
        <s v="1-1432762-1" u="1"/>
        <s v="1-1436371-3" u="1"/>
        <s v="1-1436755-2" u="1"/>
        <s v="1-1456846-2" u="1"/>
        <s v="1-1439500-2" u="1"/>
        <s v="1-1450053-1" u="1"/>
        <s v="1-1450129-2" u="1"/>
        <s v="1-1435376-12" u="1"/>
        <s v="1-1440653-2" u="1"/>
        <s v="1-1448455-4" u="1"/>
        <s v="1-1448655-3" u="1"/>
        <s v="1-1448855-2" u="1"/>
        <s v="1-1446147-2" u="1"/>
        <s v="12-1449222-1" u="1"/>
        <s v="1-1432846-2" u="1"/>
        <s v="1-1436947-2" u="1"/>
        <s v="1-1452645-3" u="1"/>
        <s v="1-1452845-2" u="1"/>
        <s v="1-1456670-2" u="1"/>
        <s v="1-1456854-2" u="1"/>
        <s v="10-1431206-2" u="1"/>
        <s v="1-1430046-2" u="1"/>
        <s v="1-1434039-3" u="1"/>
        <s v="1-1434147-2" u="1"/>
        <s v="1-1438064-2" u="1"/>
        <s v="1-1438080-1" u="1"/>
        <s v="1-1454146-2" u="1"/>
        <s v="1-1454238-2" u="1"/>
        <s v="1-1440661-2" u="1"/>
        <s v="1-1440753-2" u="1"/>
        <s v="1-1444946-2" u="1"/>
        <s v="1-1448971-1" u="1"/>
        <s v="1-1422147-2" u="1"/>
        <s v="1-1430261-8" u="1"/>
        <s v="1-1434854-6" u="1"/>
        <s v="1-1446047-3" u="1"/>
        <s v="1-1446139-3" u="1"/>
        <s v="1-1446155-2" u="1"/>
        <s v="10-1444738-3" u="1"/>
        <s v="1-1432946-2" u="1"/>
        <s v="1-1452853-2" u="1"/>
        <s v="1-1436464-17" u="1"/>
        <s v="1-1442619-10" u="1"/>
        <s v="1-1438072-2" u="1"/>
        <s v="1-1450145-2" u="1"/>
        <s v="1-1454154-2" u="1"/>
        <s v="1-1454246-2" u="1"/>
        <s v="1-1429900-5" u="1"/>
        <s v="1-1440653-3" u="1"/>
        <s v="1-1448455-5" u="1"/>
        <s v="1-1448655-4" u="1"/>
        <s v="1-1436871-2" u="1"/>
        <s v="1-1452661-3" u="1"/>
        <s v="1-1456746-4" u="1"/>
        <s v="1-1434039-4" u="1"/>
        <s v="1-1438264-2" u="1"/>
        <s v="1-1435544-14" u="1"/>
        <s v="1-1440953-2" u="1"/>
        <s v="1-1422147-3" u="1"/>
        <s v="1-1452561-4" u="1"/>
        <s v="1-1436464-27" u="1"/>
        <s v="13-1453180-2" u="1"/>
        <s v="1-1434371-1" u="1"/>
        <s v="1-1434539-2" u="1"/>
        <s v="1-1454170-2" u="1"/>
        <s v="1-1454354-2" u="1"/>
        <s v="1-1435552-14" u="1"/>
        <s v="1-1451362-23" u="1"/>
        <s v="1-1440653-4" u="1"/>
        <s v="1-1448655-5" u="1"/>
        <s v="1-1446547-2" u="1"/>
        <s v="1-1446639-2" u="1"/>
        <s v="10-1429687-2" u="1"/>
        <s v="12-1444101-2" u="1"/>
        <s v="1-1430046-4" u="1"/>
        <s v="1-1430446-2" u="1"/>
        <s v="1-1434639-2" u="1"/>
        <s v="1-1438264-3" u="1"/>
        <s v="1-1438372-2" u="1"/>
        <s v="1-1440029-9" u="1"/>
        <s v="1-1440661-4" u="1"/>
        <s v="1-1444654-5" u="1"/>
        <s v="1-1444962-3" u="1"/>
        <s v="1-1422147-4" u="1"/>
        <s v="1-1452690-16" u="1"/>
        <s v="1-1454170-3" u="1"/>
        <s v="1-1454554-2" u="1"/>
        <s v="1-1448217-11" u="1"/>
        <s v="1-1440653-5" u="1"/>
        <s v="1-1456039-2" u="1"/>
        <s v="12-1431970-8" u="1"/>
        <s v="1-1442646-2" u="1"/>
        <s v="1-1446747-2" u="1"/>
        <s v="12-1438142-5" u="1"/>
        <s v="1-1444039-2" u="1"/>
        <s v="10-1440617-4" u="1"/>
        <s v="1-1430046-5" u="1"/>
        <s v="1-1430446-3" u="1"/>
        <s v="1-1430462-2" u="1"/>
        <s v="1-1430554-2" u="1"/>
        <s v="1-1434471-2" u="1"/>
        <s v="1-1438264-4" u="1"/>
        <s v="1-1438572-2" u="1"/>
        <s v="1-1448317-11" u="1"/>
        <s v="12-1435918-14" u="1"/>
        <s v="1-1424963-4" u="1"/>
        <s v="1-1436048-2" u="1"/>
        <s v="1-1444654-6" u="1"/>
        <s v="1-1422147-5" u="1"/>
        <s v="1-1442746-2" u="1"/>
        <s v="1-1456970-4" u="1"/>
        <s v="1-1434755-2" u="1"/>
        <s v="1-1438764-2" u="1"/>
        <s v="1-1450729-3" u="1"/>
        <s v="1-1437500-2" u="1"/>
        <s v="1-1440653-6" u="1"/>
        <s v="1-1456147-2" u="1"/>
        <s v="1-1442754-2" u="1"/>
        <s v="1-1446747-3" u="1"/>
        <s v="1-1446947-2" u="1"/>
        <s v="12-1431621-3" u="1"/>
        <s v="12-1452724-3" u="1"/>
        <s v="1-1434671-2" u="1"/>
        <s v="1-1434947-2" u="1"/>
        <s v="1-1438264-5" u="1"/>
        <s v="10-1433137-2" u="1"/>
        <s v="12-1435918-22" u="1"/>
        <s v="1-1440661-6" u="1"/>
        <s v="1-1444654-7" u="1"/>
        <s v="1-1456339-2" u="1"/>
        <s v="1-1446955-2" u="1"/>
        <s v="1-1444247-2" u="1"/>
        <s v="1-1449700-2" u="1"/>
        <s v="1-1429658-13" u="1"/>
        <s v="12-1454752-2" u="1"/>
        <s v="1-1430854-2" u="1"/>
        <s v="1-1434955-2" u="1"/>
        <s v="1-1438980-1" u="1"/>
        <s v="1-1454170-5" u="1"/>
        <s v="1-1454570-3" u="1"/>
        <s v="1-1454770-2" u="1"/>
        <s v="1-1454954-2" u="1"/>
        <s v="10-1435149-2" u="1"/>
        <s v="1-1432155-2" u="1"/>
        <s v="1-1452246-2" u="1"/>
        <s v="1-1456163-2" u="1"/>
        <s v="1-1456439-2" u="1"/>
        <s v="1-1446747-4" u="1"/>
        <s v="1-1446855-3" u="1"/>
        <s v="1-1446871-2" u="1"/>
        <s v="1-1429801-2" u="1"/>
        <s v="1-1440246-2" u="1"/>
        <s v="1-1444071-2" u="1"/>
        <s v="1-1444347-2" u="1"/>
        <s v="1-1448448-2" u="1"/>
        <s v="1-1430862-2" u="1"/>
        <s v="1-1430954-2" u="1"/>
        <s v="1-1434855-3" u="1"/>
        <s v="1-1438264-6" u="1"/>
        <s v="1-1432439-2" u="1"/>
        <s v="1-1436264-2" u="1"/>
        <s v="1-1436280-1" u="1"/>
        <s v="1-1452346-2" u="1"/>
        <s v="1-1456171-2" u="1"/>
        <s v="1-1456647-1" u="1"/>
        <s v="1-1442946-3" u="1"/>
        <s v="1-1446955-3" u="1"/>
        <s v="1-1429901-2" u="1"/>
        <s v="1-1444371-1" u="1"/>
        <s v="1-1448072-3" u="1"/>
        <s v="1-1448348-3" u="1"/>
        <s v="1-1448364-2" u="1"/>
        <s v="1-1430962-2" u="1"/>
        <s v="1-1434847-4" u="1"/>
        <s v="1-1438980-2" u="1"/>
        <s v="1-1454170-6" u="1"/>
        <s v="1-1432139-4" u="1"/>
        <s v="1-1432171-2" u="1"/>
        <s v="1-1432355-2" u="1"/>
        <s v="1-1432539-2" u="1"/>
        <s v="1-1436564-1" u="1"/>
        <s v="1-1452370-1" u="1"/>
        <s v="1-1452538-2" u="1"/>
        <s v="1-1456071-3" u="1"/>
        <s v="1-1446747-5" u="1"/>
        <s v="1-1446947-4" u="1"/>
        <s v="1-1429601-4" u="1"/>
        <s v="1-1440354-2" u="1"/>
        <s v="1-1444071-3" u="1"/>
        <s v="1-1444271-2" u="1"/>
        <s v="1-1444547-2" u="1"/>
        <s v="1-1444639-2" u="1"/>
        <s v="10-1429686-2" u="1"/>
        <s v="12-1456832-2" u="1"/>
        <s v="1-1438264-7" u="1"/>
        <s v="1-1447200-2" u="1"/>
        <s v="1-1454870-3" u="1"/>
        <s v="10-1441084-5" u="1"/>
        <s v="11-1444180-2" u="1"/>
        <s v="1-1432547-2" u="1"/>
        <s v="1-1436264-3" u="1"/>
        <s v="1-1436372-2" u="1"/>
        <s v="1-1452270-2" u="1"/>
        <s v="1-1452438-3" u="1"/>
        <s v="1-1456263-3" u="1"/>
        <s v="1-1456463-2" u="1"/>
        <s v="1-1446955-4" u="1"/>
        <s v="1-1446971-3" u="1"/>
        <s v="1-1440454-2" u="1"/>
        <s v="1-1444647-2" u="1"/>
        <s v="1-1438980-3" u="1"/>
        <s v="1-1432139-5" u="1"/>
        <s v="1-1432371-2" u="1"/>
        <s v="1-1432555-2" u="1"/>
        <s v="1-1452554-2" u="1"/>
        <s v="1-1452738-2" u="1"/>
        <s v="1-1450138-1" u="1"/>
        <s v="1-1444071-4" u="1"/>
        <s v="1-1444563-2" u="1"/>
        <s v="1-1448664-2" u="1"/>
        <s v="1-1448409-19" u="1"/>
        <s v="13-1446980-2" u="1"/>
        <s v="1-1434855-5" u="1"/>
        <s v="12-1432672-2" u="1"/>
        <s v="12-1433668-3" u="1"/>
        <s v="1-1432839-2" u="1"/>
        <s v="1-1436664-2" u="1"/>
        <s v="1-1452746-2" u="1"/>
        <s v="1-1456571-2" u="1"/>
        <s v="1-1456663-2" u="1"/>
        <s v="1-1456847-2" u="1"/>
        <s v="1-1433892-12" u="1"/>
        <s v="1-1446113-12" u="1"/>
        <s v="1-1430039-2" u="1"/>
        <s v="1-1440654-2" u="1"/>
        <s v="1-1444663-2" u="1"/>
        <s v="1-1448472-3" u="1"/>
        <s v="1-1448948-2" u="1"/>
        <s v="1-1438980-4" u="1"/>
        <s v="1-1447500-2" u="1"/>
        <s v="1-1432447-4" u="1"/>
        <s v="1-1432847-2" u="1"/>
        <s v="1-1436948-2" u="1"/>
        <s v="1-1452738-3" u="1"/>
        <s v="1-1430047-2" u="1"/>
        <s v="1-1435100-4" u="1"/>
        <s v="1-1438157-2" u="1"/>
        <s v="1-1454439-1" u="1"/>
        <s v="1-1444071-5" u="1"/>
        <s v="1-1444671-2" u="1"/>
        <s v="1-1448772-2" u="1"/>
        <s v="1-1438264-9" u="1"/>
        <s v="1-1446156-2" u="1"/>
        <s v="1-1447600-2" u="1"/>
        <s v="1-1436264-5" u="1"/>
        <s v="1-1436464-4" u="1"/>
        <s v="1-1452854-2" u="1"/>
        <s v="12-1442415-1" u="1"/>
        <s v="1-1430039-3" u="1"/>
        <s v="1-1435600-2" u="1"/>
        <s v="1-1440654-3" u="1"/>
        <s v="1-1448764-3" u="1"/>
        <s v="1-1448948-3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52738-4" u="1"/>
        <s v="10-1455147-2" u="1"/>
        <s v="1-1430047-3" u="1"/>
        <s v="1-1430063-2" u="1"/>
        <s v="1-1430339-2" u="1"/>
        <s v="1-1435700-2" u="1"/>
        <s v="1-1454071-2" u="1"/>
        <s v="1-1454239-3" u="1"/>
        <s v="1-1454363-1" u="1"/>
        <s v="1-1448481-17" u="1"/>
        <s v="1-1442547-1" u="1"/>
        <s v="1-1443788-11" u="1"/>
        <s v="11-1429537-2" u="1"/>
        <s v="1-1436264-6" u="1"/>
        <s v="1-1436464-5" u="1"/>
        <s v="1-1452870-2" u="1"/>
        <s v="1-1456971-2" u="1"/>
        <s v="1-1438273-2" u="1"/>
        <s v="1-1440654-4" u="1"/>
        <s v="1-1440870-2" u="1"/>
        <s v="1-1440946-3" u="1"/>
        <s v="1-1444971-2" u="1"/>
        <s v="1-1448948-4" u="1"/>
        <s v="1-1444888-15" u="1"/>
        <s v="1-1442447-2" u="1"/>
        <s v="1-1446364-2" u="1"/>
        <s v="1-1432139-8" u="1"/>
        <s v="1-1432447-6" u="1"/>
        <s v="1-1432971-2" u="1"/>
        <s v="1-1452738-5" u="1"/>
        <s v="1-1452970-2" u="1"/>
        <s v="1-1456547-6" u="1"/>
        <s v="1-1456871-3" u="1"/>
        <s v="1-1430047-4" u="1"/>
        <s v="1-1430171-2" u="1"/>
        <s v="1-1430447-2" u="1"/>
        <s v="1-1438465-2" u="1"/>
        <s v="1-1438557-2" u="1"/>
        <s v="1-1454163-3" u="1"/>
        <s v="1-1433100-2" u="1"/>
        <s v="1-1440770-3" u="1"/>
        <s v="1-1440970-2" u="1"/>
        <s v="1-1444963-3" u="1"/>
        <s v="1-1448481-27" u="1"/>
        <s v="1-1442163-3" u="1"/>
        <s v="1-1446372-2" u="1"/>
        <s v="1-1446664-1" u="1"/>
        <s v="10-1429685-2" u="1"/>
        <s v="10-1448672-2" u="1"/>
        <s v="1-1436264-7" u="1"/>
        <s v="1-1436464-6" u="1"/>
        <s v="1-1430547-2" u="1"/>
        <s v="1-1434372-2" u="1"/>
        <s v="1-1434464-2" u="1"/>
        <s v="1-1438257-4" u="1"/>
        <s v="1-1450346-3" u="1"/>
        <s v="1-1440654-5" u="1"/>
        <s v="1-1448472-6" u="1"/>
        <s v="1-1448948-5" u="1"/>
        <s v="1-1422372-2" u="1"/>
        <s v="1-1423800-3" u="1"/>
        <s v="1-1442263-3" u="1"/>
        <s v="1-1442647-2" u="1"/>
        <s v="1-1429110-3" u="1"/>
        <s v="1-1432139-9" u="1"/>
        <s v="1-1432447-7" u="1"/>
        <s v="1-1448049-2" u="1"/>
        <s v="1-1452738-6" u="1"/>
        <s v="1-1434472-2" u="1"/>
        <s v="1-1438573-2" u="1"/>
        <s v="1-1454671-1" u="1"/>
        <s v="1-1454747-2" u="1"/>
        <s v="1-1442747-2" u="1"/>
        <s v="1-1436264-8" u="1"/>
        <s v="1-1436464-7" u="1"/>
        <s v="1-1430039-6" u="1"/>
        <s v="1-1430563-2" u="1"/>
        <s v="1-1430839-2" u="1"/>
        <s v="1-1434848-2" u="1"/>
        <s v="1-1435800-4" u="1"/>
        <s v="1-1438073-5" u="1"/>
        <s v="1-1450438-4" u="1"/>
        <s v="1-1454371-3" u="1"/>
        <s v="12-1444078-2" u="1"/>
        <s v="12-1444186-1" u="1"/>
        <s v="1-1436057-2" u="1"/>
        <s v="1-1440654-6" u="1"/>
        <s v="1-1448948-6" u="1"/>
        <s v="12-1434071-19" u="1"/>
        <s v="1-1427701-5" u="1"/>
        <s v="1-1442847-2" u="1"/>
        <s v="1-1442939-2" u="1"/>
        <s v="1-1446764-2" u="1"/>
        <s v="1-1446964-1" u="1"/>
        <s v="1-1448065-2" u="1"/>
        <s v="1-1452738-7" u="1"/>
        <s v="12-1455786-2" u="1"/>
        <s v="13-1438283-2" u="1"/>
        <s v="1-1430847-2" u="1"/>
        <s v="1-1438773-2" u="1"/>
        <s v="1-1424964-5" u="1"/>
        <s v="1-1436081-1" u="1"/>
        <s v="1-1436157-2" u="1"/>
        <s v="1-1452239-2" u="1"/>
        <s v="1-1456156-2" u="1"/>
        <s v="1-1442747-3" u="1"/>
        <s v="1-1446956-2" u="1"/>
        <s v="1-1446972-1" u="1"/>
        <s v="1-1429610-2" u="1"/>
        <s v="1-1436464-8" u="1"/>
        <s v="1-1448057-3" u="1"/>
        <s v="1-1448349-2" u="1"/>
        <s v="12-1434071-5" u="1"/>
        <s v="1-1430039-7" u="1"/>
        <s v="1-1450438-5" u="1"/>
        <s v="1-1454771-2" u="1"/>
        <s v="1-1454863-2" u="1"/>
        <s v="1-1433600-2" u="1"/>
        <s v="1-1452139-3" u="1"/>
        <s v="1-1456164-2" u="1"/>
        <s v="1-1456256-2" u="1"/>
        <s v="1-1446872-2" u="1"/>
        <s v="1-1446964-2" u="1"/>
        <s v="1-1452628-10" u="1"/>
        <s v="1-1440247-2" u="1"/>
        <s v="1-1448449-2" u="1"/>
        <s v="1-1452738-8" u="1"/>
        <s v="1-1434948-3" u="1"/>
        <s v="1-1454963-2" u="1"/>
        <s v="1-1432072-2" u="1"/>
        <s v="1-1436357-2" u="1"/>
        <s v="1-1456080-2" u="1"/>
        <s v="1-1456264-2" u="1"/>
        <s v="1-1456280-1" u="1"/>
        <s v="1-1456356-2" u="1"/>
        <s v="1-1442747-4" u="1"/>
        <s v="1-1442947-3" u="1"/>
        <s v="1-1446972-2" u="1"/>
        <s v="1-1436464-9" u="1"/>
        <s v="1-1448457-2" u="1"/>
        <s v="1-1430039-8" u="1"/>
        <s v="1-1438073-7" u="1"/>
        <s v="1-1440728-10" u="1"/>
        <s v="1-1433800-2" u="1"/>
        <s v="1-1436457-2" u="1"/>
        <s v="1-1452263-2" u="1"/>
        <s v="1-1452355-2" u="1"/>
        <s v="1-1456180-2" u="1"/>
        <s v="1-1437654-14" u="1"/>
        <s v="1-1442971-2" u="1"/>
        <s v="1-1429910-2" u="1"/>
        <s v="1-1452738-9" u="1"/>
        <s v="1-1440008-19" u="1"/>
        <s v="10-1447947-2" u="1"/>
        <s v="12-1440790-5" u="1"/>
        <s v="12-1452197-5" u="1"/>
        <s v="13-1432718-2" u="1"/>
        <s v="1-1432072-3" u="1"/>
        <s v="1-1433700-3" u="1"/>
        <s v="1-1452271-2" u="1"/>
        <s v="1-1452563-1" u="1"/>
        <s v="1-1443696-29" u="1"/>
        <s v="1-1440547-2" u="1"/>
        <s v="1-1440639-2" u="1"/>
        <s v="1-1444372-2" u="1"/>
        <s v="1-1448457-3" u="1"/>
        <s v="10-1447935-2" u="1"/>
        <s v="10-1448671-2" u="1"/>
        <s v="1-1454971-3" u="1"/>
        <s v="1-1440728-20" u="1"/>
        <s v="12-1430670-2" u="1"/>
        <s v="12-1448238-2" u="1"/>
        <s v="1-1432372-2" u="1"/>
        <s v="1-1432556-2" u="1"/>
        <s v="1-1433400-5" u="1"/>
        <s v="1-1436565-2" u="1"/>
        <s v="1-1452139-5" u="1"/>
        <s v="1-1452371-2" u="1"/>
        <s v="1-1456180-3" u="1"/>
        <s v="1-1439402-2" u="1"/>
        <s v="1-1446672-5" u="1"/>
        <s v="1-1440647-2" u="1"/>
        <s v="1-1440663-1" u="1"/>
        <s v="1-1444564-2" u="1"/>
        <s v="1-1448481-2" u="1"/>
        <s v="1-1448665-2" u="1"/>
        <s v="1-1448849-2" u="1"/>
        <s v="1-1430209-11" u="1"/>
        <s v="10-1447323-5" u="1"/>
        <s v="12-1456602-4" u="1"/>
        <s v="1-1446049-2" u="1"/>
        <s v="1-1447401-2" u="1"/>
        <s v="1-1432272-3" u="1"/>
        <s v="1-1432364-3" u="1"/>
        <s v="1-1436757-2" u="1"/>
        <s v="1-1456480-2" u="1"/>
        <s v="1-1439502-2" u="1"/>
        <s v="1-1420564-2" u="1"/>
        <s v="1-1440947-1" u="1"/>
        <s v="1-1448457-4" u="1"/>
        <s v="1-1430963-4" u="1"/>
        <s v="1-1438073-9" u="1"/>
        <s v="1-1446149-2" u="1"/>
        <s v="10-1444786-2" u="1"/>
        <s v="1-1452371-3" u="1"/>
        <s v="1-1452739-3" u="1"/>
        <s v="1-1452939-2" u="1"/>
        <s v="1-1456380-3" u="1"/>
        <s v="1-1456580-2" u="1"/>
        <s v="1-1430064-1" u="1"/>
        <s v="1-1439510-2" u="1"/>
        <s v="1-1446964-5" u="1"/>
        <s v="1-1454148-2" u="1"/>
        <s v="1-1440647-3" u="1"/>
        <s v="1-1444672-2" u="1"/>
        <s v="1-1448481-3" u="1"/>
        <s v="1-1448881-1" u="1"/>
        <s v="1-1446049-3" u="1"/>
        <s v="1-1446157-2" u="1"/>
        <s v="1-1446449-1" u="1"/>
        <s v="1-1450338-9" u="1"/>
        <s v="1-1440820-12" u="1"/>
        <s v="12-1455785-2" u="1"/>
        <s v="1-1436557-4" u="1"/>
        <s v="1-1436957-2" u="1"/>
        <s v="1-1434065-2" u="1"/>
        <s v="1-1434249-2" u="1"/>
        <s v="1-1438090-1" u="1"/>
        <s v="1-1439610-2" u="1"/>
        <s v="1-1454064-2" u="1"/>
        <s v="1-1454156-2" u="1"/>
        <s v="1-1448457-5" u="1"/>
        <s v="1-1448965-2" u="1"/>
        <s v="1-1446165-2" u="1"/>
        <s v="1-1447501-3" u="1"/>
        <s v="10-1446878-2" u="1"/>
        <s v="1-1432464-4" u="1"/>
        <s v="1-1436781-2" u="1"/>
        <s v="1-1436965-2" u="1"/>
        <s v="1-1449110-1" u="1"/>
        <s v="1-1452371-4" u="1"/>
        <s v="1-1452571-3" u="1"/>
        <s v="1-1452863-2" u="1"/>
        <s v="1-1456180-5" u="1"/>
        <s v="1-1456580-3" u="1"/>
        <s v="1-1446964-6" u="1"/>
        <s v="1-1450063-2" u="1"/>
        <s v="1-1454164-2" u="1"/>
        <s v="1-1440647-4" u="1"/>
        <s v="1-1440939-3" u="1"/>
        <s v="1-1448481-4" u="1"/>
        <s v="1-1457001-2" u="1"/>
        <s v="1-1430261-10" u="1"/>
        <s v="1-1450608-11" u="1"/>
        <s v="1-1442164-2" u="1"/>
        <s v="1-1446049-4" u="1"/>
        <s v="1-1446081-2" u="1"/>
        <s v="1-1446157-3" u="1"/>
        <s v="1-1447801-2" u="1"/>
        <s v="10-1444934-2" u="1"/>
        <s v="1-1436881-2" u="1"/>
        <s v="1-1449010-2" u="1"/>
        <s v="1-1452871-2" u="1"/>
        <s v="10-1454133-2" u="1"/>
        <s v="1-1434249-3" u="1"/>
        <s v="1-1454264-2" u="1"/>
        <s v="1-1454448-2" u="1"/>
        <s v="1-1433001-2" u="1"/>
        <s v="1-1440963-2" u="1"/>
        <s v="1-1444772-3" u="1"/>
        <s v="1-1448457-6" u="1"/>
        <s v="1-1442156-3" u="1"/>
        <s v="1-1442556-1" u="1"/>
        <s v="1-1446149-4" u="1"/>
        <s v="1-1446365-2" u="1"/>
        <s v="12-1435918-3" u="1"/>
        <s v="1-1445101-2" u="1"/>
        <s v="1-1452371-5" u="1"/>
        <s v="1-1434181-2" u="1"/>
        <s v="1-1434365-2" u="1"/>
        <s v="1-1434381-1" u="1"/>
        <s v="1-1438558-2" u="1"/>
        <s v="1-1450539-2" u="1"/>
        <s v="1-1454364-2" u="1"/>
        <s v="1-1435562-14" u="1"/>
        <s v="1-1440029-10" u="1"/>
        <s v="1-1428666-5" u="1"/>
        <s v="1-1433101-2" u="1"/>
        <s v="1-1440647-5" u="1"/>
        <s v="1-1448481-5" u="1"/>
        <s v="1-1422365-2" u="1"/>
        <s v="1-1442364-2" u="1"/>
        <s v="1-1446049-5" u="1"/>
        <s v="1-1446081-3" u="1"/>
        <s v="1-1446465-2" u="1"/>
        <s v="1-1445001-3" u="1"/>
        <s v="13-1433453-2" u="1"/>
        <s v="1-1434557-2" u="1"/>
        <s v="1-1434757-1" u="1"/>
        <s v="1-1438382-2" u="1"/>
        <s v="1-1454556-2" u="1"/>
        <s v="1-1428058-9" u="1"/>
        <s v="1-1448457-7" u="1"/>
        <s v="1-1453400-1" u="1"/>
        <s v="12-1429467-8" u="1"/>
        <s v="1-1442264-3" u="1"/>
        <s v="1-1446149-5" u="1"/>
        <s v="1-1449510-1" u="1"/>
        <s v="1-1452371-6" u="1"/>
        <s v="1-1456180-7" u="1"/>
        <s v="1-1438758-2" u="1"/>
        <s v="1-1454456-3" u="1"/>
        <s v="1-1454748-2" u="1"/>
        <s v="1-1417311-2" u="1"/>
        <s v="1-1428666-6" u="1"/>
        <s v="1-1437202-3" u="1"/>
        <s v="1-1440647-6" u="1"/>
        <s v="1-1442856-1" u="1"/>
        <s v="1-1446081-4" u="1"/>
        <s v="1-1448058-2" u="1"/>
        <s v="1-1430564-2" u="1"/>
        <s v="1-1454280-3" u="1"/>
        <s v="1-1454464-3" u="1"/>
        <s v="1-1454680-1" u="1"/>
        <s v="1-1433601-1" u="1"/>
        <s v="1-1448457-8" u="1"/>
        <s v="1-1456057-2" u="1"/>
        <s v="1-1456149-2" u="1"/>
        <s v="1-1422757-2" u="1"/>
        <s v="1-1446149-6" u="1"/>
        <s v="1-1446565-3" u="1"/>
        <s v="1-1444073-1" u="1"/>
        <s v="10-1441933-2" u="1"/>
        <s v="1-1434765-2" u="1"/>
        <s v="1-1434857-2" u="1"/>
        <s v="1-1438758-3" u="1"/>
        <s v="1-1454548-4" u="1"/>
        <s v="1-1454948-2" u="1"/>
        <s v="1-1448315-12" u="1"/>
        <s v="12-1435918-23" u="1"/>
        <s v="1-1428666-7" u="1"/>
        <s v="1-1440647-7" u="1"/>
        <s v="1-1456049-3" u="1"/>
        <s v="1-1442764-2" u="1"/>
        <s v="1-1446081-5" u="1"/>
        <s v="1-1444357-1" u="1"/>
        <s v="1-1430856-2" u="1"/>
        <s v="1-1454864-2" u="1"/>
        <s v="1-1436074-2" u="1"/>
        <s v="1-1437410-3" u="1"/>
        <s v="1-1448457-9" u="1"/>
        <s v="1-1452248-2" u="1"/>
        <s v="1-1453200-4" u="1"/>
        <s v="1-1442956-2" u="1"/>
        <s v="1-1446149-7" u="1"/>
        <s v="1-1446781-2" u="1"/>
        <s v="1-1446965-2" u="1"/>
        <s v="1-1424258-2" u="1"/>
        <s v="1-1440248-2" u="1"/>
        <s v="1-1440356-1" u="1"/>
        <s v="1-1449710-2" u="1"/>
        <s v="1-1430956-2" u="1"/>
        <s v="1-1454964-2" u="1"/>
        <s v="10-1454052-2" u="1"/>
        <s v="1-1428666-8" u="1"/>
        <s v="1-1428790-6" u="1"/>
        <s v="1-1432165-2" u="1"/>
        <s v="1-1437710-2" u="1"/>
        <s v="1-1440647-8" u="1"/>
        <s v="1-1456081-2" u="1"/>
        <s v="1-1456281-1" u="1"/>
        <s v="1-1442964-2" u="1"/>
        <s v="1-1446881-2" u="1"/>
        <s v="1-1440348-2" u="1"/>
        <s v="1-1444081-2" u="1"/>
        <s v="1-1448458-2" u="1"/>
        <s v="1-1430964-2" u="1"/>
        <s v="1-1432081-2" u="1"/>
        <s v="1-1432449-2" u="1"/>
        <s v="1-1433801-2" u="1"/>
        <s v="1-1452356-2" u="1"/>
        <s v="1-1453800-2" u="1"/>
        <s v="1-1456181-2" u="1"/>
        <s v="1-1456273-2" u="1"/>
        <s v="1-1456381-1" u="1"/>
        <s v="1-1437655-14" u="1"/>
        <s v="1-1446149-8" u="1"/>
        <s v="1-1455101-2" u="1"/>
        <s v="1-1440080-2" u="1"/>
        <s v="1-1440448-2" u="1"/>
        <s v="1-1440648-1" u="1"/>
        <s v="1-1444181-2" u="1"/>
        <s v="1-1445901-2" u="1"/>
        <s v="1-1434965-3" u="1"/>
        <s v="1-1447202-2" u="1"/>
        <s v="1-1454856-4" u="1"/>
        <s v="1-1432181-2" u="1"/>
        <s v="1-1432549-2" u="1"/>
        <s v="1-1433701-3" u="1"/>
        <s v="1-1437710-3" u="1"/>
        <s v="1-1452380-1" u="1"/>
        <s v="1-1452564-1" u="1"/>
        <s v="1-1453900-2" u="1"/>
        <s v="1-1435110-2" u="1"/>
        <s v="1-1455401-1" u="1"/>
        <s v="1-1424190-2" u="1"/>
        <s v="1-1429903-3" u="1"/>
        <s v="1-1444281-2" u="1"/>
        <s v="1-1445801-3" u="1"/>
        <s v="1-1448474-2" u="1"/>
        <s v="1-1429988-12" u="1"/>
        <s v="1-1443001-3" u="1"/>
        <s v="1-1454880-3" u="1"/>
        <s v="12-1444000-3" u="1"/>
        <s v="12-1451583-3" u="1"/>
        <s v="13-1433452-2" u="1"/>
        <s v="1-1432557-2" u="1"/>
        <s v="1-1452280-2" u="1"/>
        <s v="1-1452464-2" u="1"/>
        <s v="1-1446149-9" u="1"/>
        <s v="1-1455101-3" u="1"/>
        <s v="1-1444381-2" u="1"/>
        <s v="1-1444473-2" u="1"/>
        <s v="1-1444749-2" u="1"/>
        <s v="1-1438590-5" u="1"/>
        <s v="1-1443301-2" u="1"/>
        <s v="1-1443501-1" u="1"/>
        <s v="12-1451755-3" u="1"/>
        <s v="1-1436082-4" u="1"/>
        <s v="1-1452748-2" u="1"/>
        <s v="1-1439503-2" u="1"/>
        <s v="1-1450056-1" u="1"/>
        <s v="1-1455201-3" u="1"/>
        <s v="1-1440180-3" u="1"/>
        <s v="1-1440656-2" u="1"/>
        <s v="1-1444573-2" u="1"/>
        <s v="1-1448382-3" u="1"/>
        <s v="1-1448674-2" u="1"/>
        <s v="1-1448858-2" u="1"/>
        <s v="10-1441852-2" u="1"/>
        <s v="1-1436674-2" u="1"/>
        <s v="1-1436690-1" u="1"/>
        <s v="1-1452664-2" u="1"/>
        <s v="1-1456657-3" u="1"/>
        <s v="1-1456673-2" u="1"/>
        <s v="1-1456949-2" u="1"/>
        <s v="1-1435502-2" u="1"/>
        <s v="1-1454057-2" u="1"/>
        <s v="1-1455101-4" u="1"/>
        <s v="1-1455301-3" u="1"/>
        <s v="1-1444581-2" u="1"/>
        <s v="1-1444673-2" u="1"/>
        <s v="1-1450153-10" u="1"/>
        <s v="1-1450555-7" u="1"/>
        <s v="1-1432949-2" u="1"/>
        <s v="1-1436758-3" u="1"/>
        <s v="1-1436958-2" u="1"/>
        <s v="1-1452764-2" u="1"/>
        <s v="1-1456481-3" u="1"/>
        <s v="1-1456649-4" u="1"/>
        <s v="1-1456957-2" u="1"/>
        <s v="1-1430149-2" u="1"/>
        <s v="1-1435510-2" u="1"/>
        <s v="1-1454249-2" u="1"/>
        <s v="1-1440764-2" u="1"/>
        <s v="1-1444773-2" u="1"/>
        <s v="1-1444957-2" u="1"/>
        <s v="1-1446074-2" u="1"/>
        <s v="1-1447610-2" u="1"/>
        <s v="1-1432281-4" u="1"/>
        <s v="1-1436658-4" u="1"/>
        <s v="1-1452680-2" u="1"/>
        <s v="1-1452956-2" u="1"/>
        <s v="1-1456749-4" u="1"/>
        <s v="1-1456857-3" u="1"/>
        <s v="1-1456873-2" u="1"/>
        <s v="1-1435610-2" u="1"/>
        <s v="1-1435702-2" u="1"/>
        <s v="1-1454073-2" u="1"/>
        <s v="1-1454257-2" u="1"/>
        <s v="1-1455101-5" u="1"/>
        <s v="1-1420081-5" u="1"/>
        <s v="1-1440664-3" u="1"/>
        <s v="1-1440680-2" u="1"/>
        <s v="1-1444381-4" u="1"/>
        <s v="1-1444781-2" u="1"/>
        <s v="1-1448482-4" u="1"/>
        <s v="1-1446082-2" u="1"/>
        <s v="12-1455863-2" u="1"/>
        <s v="1-1432949-3" u="1"/>
        <s v="1-1452856-3" u="1"/>
        <s v="1-1452948-3" u="1"/>
        <s v="1-1456881-2" u="1"/>
        <s v="10-1456259-2" u="1"/>
        <s v="1-1430057-3" u="1"/>
        <s v="1-1430149-3" u="1"/>
        <s v="1-1454173-2" u="1"/>
        <s v="1-1454357-2" u="1"/>
        <s v="1-1455801-2" u="1"/>
        <s v="1-1433002-2" u="1"/>
        <s v="1-1448474-5" u="1"/>
        <s v="1-1453001-2" u="1"/>
        <s v="1-1446074-3" u="1"/>
        <s v="1-1446366-2" u="1"/>
        <s v="1-1421002-2" u="1"/>
        <s v="1-1432681-3" u="1"/>
        <s v="1-1445102-2" u="1"/>
        <s v="1-1452480-4" u="1"/>
        <s v="1-1435810-2" u="1"/>
        <s v="1-1451800-2" u="1"/>
        <s v="1-1433010-2" u="1"/>
        <s v="1-1433102-2" u="1"/>
        <s v="1-1440664-4" u="1"/>
        <s v="1-1444381-5" u="1"/>
        <s v="1-1448482-5" u="1"/>
        <s v="1-1442257-3" u="1"/>
        <s v="1-1443701-3" u="1"/>
        <s v="1-1446082-3" u="1"/>
        <s v="1-1432781-3" u="1"/>
        <s v="1-1445002-3" u="1"/>
        <s v="1-1452980-2" u="1"/>
        <s v="1-1430257-3" u="1"/>
        <s v="1-1434482-1" u="1"/>
        <s v="1-1434558-2" u="1"/>
        <s v="1-1434758-1" u="1"/>
        <s v="1-1435602-4" u="1"/>
        <s v="1-1450456-2" u="1"/>
        <s v="1-1454281-2" u="1"/>
        <s v="1-1454373-2" u="1"/>
        <s v="1-1433110-2" u="1"/>
        <s v="1-1433202-2" u="1"/>
        <s v="1-1442281-2" u="1"/>
        <s v="1-1442757-1" u="1"/>
        <s v="1-1446074-4" u="1"/>
        <s v="12-1456607-5" u="1"/>
        <s v="13-1452714-2" u="1"/>
        <s v="1-1434182-3" u="1"/>
        <s v="1-1434474-2" u="1"/>
        <s v="1-1434674-1" u="1"/>
        <s v="1-1454257-4" u="1"/>
        <s v="1-1454473-2" u="1"/>
        <s v="1-1454749-2" u="1"/>
        <s v="10-1432179-2" u="1"/>
        <s v="1-1433502-1" u="1"/>
        <s v="1-1448482-6" u="1"/>
        <s v="1-1457002-4" u="1"/>
        <s v="1-1442273-3" u="1"/>
        <s v="1-1442657-2" u="1"/>
        <s v="1-1442949-1" u="1"/>
        <s v="1-1446082-4" u="1"/>
        <s v="10-1447932-2" u="1"/>
        <s v="1-1448059-2" u="1"/>
        <s v="12-1447207-3" u="1"/>
        <s v="12-1447515-1" u="1"/>
        <s v="12-1448035-3" u="1"/>
        <s v="1-1435802-4" u="1"/>
        <s v="1-1438583-2" u="1"/>
        <s v="1-1450180-3" u="1"/>
        <s v="1-1454481-2" u="1"/>
        <s v="1-1433402-2" u="1"/>
        <s v="1-1437503-2" u="1"/>
        <s v="1-1453401-2" u="1"/>
        <s v="1-1433339-14" u="1"/>
        <s v="1-1446074-5" u="1"/>
        <s v="1-1432139-20" u="1"/>
        <s v="1-1452680-5" u="1"/>
        <s v="1-1434182-4" u="1"/>
        <s v="1-1450848-2" u="1"/>
        <s v="1-1454581-2" u="1"/>
        <s v="1-1454673-2" u="1"/>
        <s v="1-1454857-2" u="1"/>
        <s v="1-1438264-18" u="1"/>
        <s v="12-1442246-2" u="1"/>
        <s v="1-1436067-2" u="1"/>
        <s v="1-1444981-4" u="1"/>
        <s v="1-1448482-7" u="1"/>
        <s v="1-1453501-2" u="1"/>
        <s v="1-1456066-2" u="1"/>
        <s v="1-1442857-2" u="1"/>
        <s v="1-1440149-2" u="1"/>
        <s v="1-1441501-2" u="1"/>
        <s v="1-1448075-2" u="1"/>
        <s v="1-1448167-2" u="1"/>
        <s v="10-1444967-2" u="1"/>
        <s v="1-1430257-5" u="1"/>
        <s v="1-1438767-3" u="1"/>
        <s v="1-1438783-2" u="1"/>
        <s v="1-1450348-5" u="1"/>
        <s v="1-1454681-2" u="1"/>
        <s v="1-1454957-2" u="1"/>
        <s v="1-1433602-2" u="1"/>
        <s v="1-1433710-1" u="1"/>
        <s v="1-1452249-2" u="1"/>
        <s v="1-1453601-2" u="1"/>
        <s v="1-1442773-2" u="1"/>
        <s v="1-1446874-2" u="1"/>
        <s v="1-1446966-2" u="1"/>
        <s v="1-1432139-30" u="1"/>
        <s v="1-1430573-3" u="1"/>
        <s v="1-1434182-5" u="1"/>
        <s v="1-1438975-2" u="1"/>
        <s v="1-1454657-4" u="1"/>
        <s v="1-1454873-2" u="1"/>
        <s v="11-1440554-2" u="1"/>
        <s v="1-1432074-2" u="1"/>
        <s v="1-1433702-2" u="1"/>
        <s v="1-1433810-1" u="1"/>
        <s v="1-1436175-2" u="1"/>
        <s v="1-1448482-8" u="1"/>
        <s v="1-1456174-2" u="1"/>
        <s v="1-1456266-2" u="1"/>
        <s v="1-1442673-3" u="1"/>
        <s v="1-1446866-3" u="1"/>
        <s v="1-1446974-2" u="1"/>
        <s v="1-1444266-2" u="1"/>
        <s v="1-1448091-2" u="1"/>
        <s v="1-1448275-2" u="1"/>
        <s v="1-1448459-2" u="1"/>
        <s v="1-1430057-7" u="1"/>
        <s v="1-1430873-2" u="1"/>
        <s v="1-1430949-3" u="1"/>
        <s v="1-1438767-4" u="1"/>
        <s v="1-1450348-6" u="1"/>
        <s v="1-1454881-2" u="1"/>
        <s v="10-1435139-3" u="1"/>
        <s v="1-1432082-2" u="1"/>
        <s v="1-1456274-2" u="1"/>
        <s v="1-1446782-3" u="1"/>
        <s v="1-1446874-3" u="1"/>
        <s v="1-1432139-40" u="1"/>
        <s v="1-1452738-10" u="1"/>
        <s v="1-1440049-4" u="1"/>
        <s v="1-1444274-2" u="1"/>
        <s v="1-1448191-2" u="1"/>
        <s v="12-1456570-3" u="1"/>
        <s v="1-1434182-6" u="1"/>
        <s v="1-1432074-3" u="1"/>
        <s v="1-1433810-2" u="1"/>
        <s v="1-1448482-9" u="1"/>
        <s v="1-1452273-2" u="1"/>
        <s v="1-1452381-1" u="1"/>
        <s v="1-1453901-2" u="1"/>
        <s v="1-1442981-2" u="1"/>
        <s v="1-1436464-20" u="1"/>
        <s v="1-1429720-3" u="1"/>
        <s v="1-1440073-3" u="1"/>
        <s v="1-1440657-1" u="1"/>
        <s v="1-1444082-3" u="1"/>
        <s v="1-1444282-2" u="1"/>
        <s v="1-1448459-3" u="1"/>
        <s v="1-1430039-10" u="1"/>
        <s v="1-1430057-8" u="1"/>
        <s v="1-1438767-5" u="1"/>
        <s v="1-1440818-11" u="1"/>
        <s v="1-1432374-2" u="1"/>
        <s v="1-1433802-3" u="1"/>
        <s v="1-1452373-2" u="1"/>
        <s v="1-1433867-13" u="1"/>
        <s v="1-1431002-3" u="1"/>
        <s v="1-1439220-2" u="1"/>
        <s v="1-1446874-4" u="1"/>
        <s v="1-1420574-1" u="1"/>
        <s v="1-1424567-2" u="1"/>
        <s v="1-1428776-1" u="1"/>
        <s v="1-1440649-2" u="1"/>
        <s v="1-1448067-5" u="1"/>
        <s v="1-1448667-2" u="1"/>
        <s v="12-1441982-5" u="1"/>
        <s v="1-1443302-2" u="1"/>
        <s v="1-1433810-3" u="1"/>
        <s v="1-1452749-2" u="1"/>
        <s v="1-1456466-3" u="1"/>
        <s v="1-1436464-30" u="1"/>
        <s v="1-1429720-4" u="1"/>
        <s v="1-1444574-2" u="1"/>
        <s v="1-1448459-4" u="1"/>
        <s v="1-1448859-2" u="1"/>
        <s v="1-1430057-9" u="1"/>
        <s v="11-1445646-2" u="1"/>
        <s v="1-1432482-2" u="1"/>
        <s v="1-1432574-2" u="1"/>
        <s v="1-1433802-4" u="1"/>
        <s v="1-1436675-2" u="1"/>
        <s v="1-1452573-2" u="1"/>
        <s v="1-1432139-28" u="1"/>
        <s v="1-1432379-16" u="1"/>
        <s v="1-1439420-2" u="1"/>
        <s v="1-1439512-2" u="1"/>
        <s v="1-1446874-5" u="1"/>
        <s v="1-1444766-2" u="1"/>
        <s v="1-1445902-4" u="1"/>
        <s v="1-1448391-3" u="1"/>
        <s v="1-1448591-2" u="1"/>
        <s v="1-1450338-10" u="1"/>
        <s v="1-1443502-2" u="1"/>
        <s v="1-1433810-4" u="1"/>
        <s v="1-1436667-3" u="1"/>
        <s v="1-1436775-2" u="1"/>
        <s v="1-1436867-2" u="1"/>
        <s v="1-1452381-3" u="1"/>
        <s v="1-1452581-2" u="1"/>
        <s v="1-1456390-3" u="1"/>
        <s v="1-1456574-3" u="1"/>
        <s v="1-1456590-2" u="1"/>
        <s v="1-1456774-2" u="1"/>
        <s v="1-1438168-2" u="1"/>
        <s v="1-1439612-2" u="1"/>
        <s v="1-1420582-2" u="1"/>
        <s v="1-1440949-2" u="1"/>
        <s v="1-1444774-2" u="1"/>
        <s v="1-1448459-5" u="1"/>
        <s v="1-1448475-4" u="1"/>
        <s v="1-1446075-2" u="1"/>
        <s v="1-1446275-1" u="1"/>
        <s v="1-1447611-2" u="1"/>
        <s v="1-1432482-3" u="1"/>
        <s v="1-1433802-5" u="1"/>
        <s v="1-1452681-2" u="1"/>
        <s v="1-1454258-2" u="1"/>
        <s v="1-1440681-2" u="1"/>
        <s v="1-1444782-2" u="1"/>
        <s v="1-1448591-3" u="1"/>
        <s v="1-1442166-2" u="1"/>
        <s v="1-1442366-1" u="1"/>
        <s v="1-1443502-3" u="1"/>
        <s v="1-1446159-3" u="1"/>
        <s v="1-1446175-2" u="1"/>
        <s v="1-1447511-3" u="1"/>
        <s v="11-1445610-2" u="1"/>
        <s v="12-1452821-3" u="1"/>
        <s v="12-1455949-3" u="1"/>
        <s v="1-1432874-2" u="1"/>
        <s v="1-1433810-5" u="1"/>
        <s v="1-1436667-4" u="1"/>
        <s v="1-1449012-2" u="1"/>
        <s v="1-1452965-2" u="1"/>
        <s v="1-1456866-3" u="1"/>
        <s v="12-1441301-2" u="1"/>
        <s v="1-1451362-14" u="1"/>
        <s v="1-1444882-2" u="1"/>
        <s v="1-1432482-4" u="1"/>
        <s v="1-1433802-6" u="1"/>
        <s v="1-1436891-2" u="1"/>
        <s v="1-1438468-2" u="1"/>
        <s v="1-1446874-7" u="1"/>
        <s v="1-1435544-15" u="1"/>
        <s v="1-1428976-3" u="1"/>
        <s v="1-1444782-3" u="1"/>
        <s v="1-1448591-4" u="1"/>
        <s v="1-1443502-4" u="1"/>
        <s v="1-1446467-2" u="1"/>
        <s v="1-1432982-2" u="1"/>
        <s v="1-1436667-5" u="1"/>
        <s v="1-1449320-1" u="1"/>
        <s v="1-1456974-3" u="1"/>
        <s v="1-1456990-2" u="1"/>
        <s v="1-1436464-28" u="1"/>
        <s v="1-1431902-2" u="1"/>
        <s v="1-1434559-2" u="1"/>
        <s v="1-1434759-1" u="1"/>
        <s v="1-1450165-3" u="1"/>
        <s v="1-1454190-2" u="1"/>
        <s v="1-1454466-2" u="1"/>
        <s v="1-1454558-2" u="1"/>
        <s v="1-1435552-15" u="1"/>
        <s v="1-1444974-3" u="1"/>
        <s v="1-1453310-1" u="1"/>
        <s v="1-1442266-3" u="1"/>
        <s v="10-1447954-2" u="1"/>
        <s v="1-1432482-5" u="1"/>
        <s v="1-1433802-7" u="1"/>
        <s v="1-1445011-3" u="1"/>
        <s v="1-1449604-1" u="1"/>
        <s v="12-1431885-2" u="1"/>
        <s v="1-1434275-3" u="1"/>
        <s v="1-1434291-2" u="1"/>
        <s v="1-1438668-2" u="1"/>
        <s v="1-1454258-4" u="1"/>
        <s v="1-1454658-2" u="1"/>
        <s v="1-1455763-14" u="1"/>
        <s v="12-1435918-16" u="1"/>
        <s v="1-1437312-2" u="1"/>
        <s v="1-1444782-4" u="1"/>
        <s v="1-1444982-3" u="1"/>
        <s v="1-1448591-5" u="1"/>
        <s v="1-1442274-3" u="1"/>
        <s v="1-1442566-2" u="1"/>
        <s v="1-1443502-5" u="1"/>
        <s v="1-1446191-3" u="1"/>
        <s v="1-1446667-2" u="1"/>
        <s v="1-1436667-6" u="1"/>
        <s v="1-1445311-2" u="1"/>
        <s v="1-1452690-17" u="1"/>
        <s v="10-1441857-3" u="1"/>
        <s v="1-1430566-2" u="1"/>
        <s v="1-1434575-2" u="1"/>
        <s v="1-1454758-2" u="1"/>
        <s v="1-1437012-4" u="1"/>
        <s v="1-1437212-3" u="1"/>
        <s v="1-1448475-7" u="1"/>
        <s v="1-1442174-4" u="1"/>
        <s v="1-1442190-3" u="1"/>
        <s v="1-1446491-2" u="1"/>
        <s v="1-1446675-2" u="1"/>
        <s v="1-1432482-6" u="1"/>
        <s v="1-1448068-2" u="1"/>
        <s v="1-1449604-2" u="1"/>
        <s v="11-1445737-2" u="1"/>
        <s v="1-1454490-2" u="1"/>
        <s v="1-1454674-2" u="1"/>
        <s v="1-1454766-2" u="1"/>
        <s v="1-1454858-2" u="1"/>
        <s v="1-1448317-12" u="1"/>
        <s v="1-1448409-12" u="1"/>
        <s v="12-1440324-2" u="1"/>
        <s v="13-1443004-2" u="1"/>
        <s v="12-1435918-24" u="1"/>
        <s v="1-1436068-2" u="1"/>
        <s v="1-1437512-2" u="1"/>
        <s v="1-1448591-6" u="1"/>
        <s v="1-1456067-2" u="1"/>
        <s v="1-1442290-3" u="1"/>
        <s v="1-1442674-2" u="1"/>
        <s v="1-1442966-1" u="1"/>
        <s v="1-1443502-6" u="1"/>
        <s v="12-1437502-5" u="1"/>
        <s v="1-1436667-7" u="1"/>
        <s v="1-1444159-2" u="1"/>
        <s v="1-1445711-1" u="1"/>
        <s v="1-1448168-2" u="1"/>
        <s v="12-1435897-2" u="1"/>
        <s v="1-1430582-2" u="1"/>
        <s v="1-1434775-2" u="1"/>
        <s v="1-1438784-2" u="1"/>
        <s v="1-1454866-2" u="1"/>
        <s v="1-1448457-10" u="1"/>
        <s v="10-1452136-3" u="1"/>
        <s v="1-1433311-3" u="1"/>
        <s v="1-1456167-2" u="1"/>
        <s v="1-1435104-1" u="1"/>
        <s v="1-1446475-4" u="1"/>
        <s v="1-1446967-2" u="1"/>
        <s v="1-1432482-7" u="1"/>
        <s v="1-1449604-3" u="1"/>
        <s v="1-1449712-2" u="1"/>
        <s v="1-1430774-2" u="1"/>
        <s v="1-1434691-2" u="1"/>
        <s v="1-1454766-3" u="1"/>
        <s v="11-1456216-1" u="1"/>
        <s v="1-1432075-2" u="1"/>
        <s v="1-1433411-3" u="1"/>
        <s v="1-1437712-2" u="1"/>
        <s v="1-1456083-2" u="1"/>
        <s v="1-1456191-1" u="1"/>
        <s v="1-1456467-1" u="1"/>
        <s v="1-1435112-1" u="1"/>
        <s v="1-1443502-7" u="1"/>
        <s v="1-1446959-3" u="1"/>
        <s v="1-1446975-2" u="1"/>
        <s v="1-1429705-3" u="1"/>
        <s v="1-1436667-8" u="1"/>
        <s v="1-1440074-2" u="1"/>
        <s v="1-1444283-1" u="1"/>
        <s v="1-1444359-2" u="1"/>
        <s v="12-1455780-2" u="1"/>
        <s v="10-1435073-2" u="1"/>
        <s v="10-1453140-2" u="1"/>
        <s v="1-1432175-2" u="1"/>
        <s v="1-1433911-1" u="1"/>
        <s v="1-1437720-2" u="1"/>
        <s v="1-1452158-3" u="1"/>
        <s v="1-1452358-2" u="1"/>
        <s v="1-1452374-1" u="1"/>
        <s v="1-1452558-1" u="1"/>
        <s v="1-1453710-2" u="1"/>
        <s v="1-1439005-3" u="1"/>
        <s v="1-1446691-3" u="1"/>
        <s v="1-1446891-2" u="1"/>
        <s v="1-1455103-2" u="1"/>
        <s v="1-1444259-3" u="1"/>
        <s v="1-1445811-2" u="1"/>
        <s v="1-1448468-2" u="1"/>
        <s v="11-1429538-3" u="1"/>
        <s v="1-1443011-2" u="1"/>
        <s v="12-1442100-3" u="1"/>
        <s v="1-1432091-2" u="1"/>
        <s v="1-1432459-2" u="1"/>
        <s v="1-1433811-2" u="1"/>
        <s v="1-1436084-3" u="1"/>
        <s v="1-1437620-3" u="1"/>
        <s v="1-1452274-2" u="1"/>
        <s v="1-1452566-1" u="1"/>
        <s v="1-1456067-4" u="1"/>
        <s v="1-1435020-2" u="1"/>
        <s v="1-1443502-8" u="1"/>
        <s v="1-1446959-4" u="1"/>
        <s v="1-1455203-2" u="1"/>
        <s v="1-1424468-2" u="1"/>
        <s v="1-1429705-4" u="1"/>
        <s v="1-1440074-3" u="1"/>
        <s v="1-1448368-3" u="1"/>
        <s v="1-1429522-17" u="1"/>
        <s v="1-1430982-2" u="1"/>
        <s v="1-1443111-2" u="1"/>
        <s v="1-1432375-2" u="1"/>
        <s v="1-1432467-2" u="1"/>
        <s v="1-1437720-3" u="1"/>
        <s v="1-1437920-2" u="1"/>
        <s v="1-1453710-3" u="1"/>
        <s v="1-1453910-2" u="1"/>
        <s v="1-1456183-3" u="1"/>
        <s v="1-1446149-10" u="1"/>
        <s v="1-1435304-2" u="1"/>
        <s v="1-1439005-4" u="1"/>
        <s v="1-1442990-2" u="1"/>
        <s v="1-1455103-3" u="1"/>
        <s v="1-1455211-2" u="1"/>
        <s v="1-1440558-2" u="1"/>
        <s v="1-1440758-1" u="1"/>
        <s v="1-1444367-3" u="1"/>
        <s v="1-1448392-2" u="1"/>
        <s v="1-1448468-3" u="1"/>
        <s v="12-1456940-2" u="1"/>
        <s v="1-1438592-5" u="1"/>
        <s v="1-1443211-2" u="1"/>
        <s v="1-1447004-4" u="1"/>
        <s v="1-1432275-3" u="1"/>
        <s v="1-1432291-2" u="1"/>
        <s v="1-1432475-2" u="1"/>
        <s v="1-1432567-2" u="1"/>
        <s v="1-1456067-5" u="1"/>
        <s v="1-1456391-2" u="1"/>
        <s v="1-1456667-2" u="1"/>
        <s v="1-1431011-3" u="1"/>
        <s v="1-1435312-2" u="1"/>
        <s v="1-1439505-2" u="1"/>
        <s v="1-1442890-3" u="1"/>
        <s v="1-1443502-9" u="1"/>
        <s v="1-1446959-5" u="1"/>
        <s v="1-1451410-1" u="1"/>
        <s v="1-1455111-3" u="1"/>
        <s v="1-1440074-4" u="1"/>
        <s v="1-1440658-2" u="1"/>
        <s v="1-1444159-5" u="1"/>
        <s v="1-1444191-3" u="1"/>
        <s v="1-1444667-2" u="1"/>
        <s v="1-1439812-8" u="1"/>
        <s v="1-1447412-2" u="1"/>
        <s v="1-1447504-2" u="1"/>
        <s v="1-1447612-1" u="1"/>
        <s v="12-1447416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54059-2" u="1"/>
        <s v="1-1455103-4" u="1"/>
        <s v="1-1455303-3" u="1"/>
        <s v="1-1429913-4" u="1"/>
        <s v="1-1440190-3" u="1"/>
        <s v="1-1444583-2" u="1"/>
        <s v="1-1448468-4" u="1"/>
        <s v="1-1448668-3" u="1"/>
        <s v="1-1438592-6" u="1"/>
        <s v="12-1450415-6" u="1"/>
        <s v="1-1432075-5" u="1"/>
        <s v="1-1437712-5" u="1"/>
        <s v="1-1452674-2" u="1"/>
        <s v="1-1456067-6" u="1"/>
        <s v="1-1456759-3" u="1"/>
        <s v="1-1446113-13" u="1"/>
        <s v="10-1455199-2" u="1"/>
        <s v="13-1430679-2" u="1"/>
        <s v="1-1431011-4" u="1"/>
        <s v="1-1435512-2" u="1"/>
        <s v="1-1446959-6" u="1"/>
        <s v="1-1424868-2" u="1"/>
        <s v="1-1440674-2" u="1"/>
        <s v="1-1440766-2" u="1"/>
        <s v="1-1444159-6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-1449005-2" u="1"/>
        <s v="10-1432336-2" u="1"/>
        <s v="1-1439713-2" u="1"/>
        <s v="1-1454259-2" u="1"/>
        <s v="1-1444691-2" u="1"/>
        <s v="1-1444783-2" u="1"/>
        <s v="1-1448468-5" u="1"/>
        <s v="1-1457004-2" u="1"/>
        <s v="1-1432075-6" u="1"/>
        <s v="1-1436868-3" u="1"/>
        <s v="1-1436884-2" u="1"/>
        <s v="1-1437712-6" u="1"/>
        <s v="12-1425268-2" u="1"/>
        <s v="1-1434068-3" u="1"/>
        <s v="1-1434084-2" u="1"/>
        <s v="1-1446959-7" u="1"/>
        <s v="1-1450166-2" u="1"/>
        <s v="1-1454159-3" u="1"/>
        <s v="1-1455311-4" u="1"/>
        <s v="1-1455511-3" u="1"/>
        <s v="1-1424284-5" u="1"/>
        <s v="1-1444683-3" u="1"/>
        <s v="1-1444867-3" u="1"/>
        <s v="1-1448968-3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0-1455255-2" u="1"/>
        <s v="1-1430359-2" u="1"/>
        <s v="1-1431511-3" u="1"/>
        <s v="1-1450066-3" u="1"/>
        <s v="1-1454167-3" u="1"/>
        <s v="1-1455811-2" u="1"/>
        <s v="1-1424984-2" u="1"/>
        <s v="1-1433104-2" u="1"/>
        <s v="1-1448481-18" u="1"/>
        <s v="1-1443696-12" u="1"/>
        <s v="12-1454907-4" u="1"/>
        <s v="1-1425005-3" u="1"/>
        <s v="1-1432075-7" u="1"/>
        <s v="1-1445004-3" u="1"/>
        <s v="1-1445112-2" u="1"/>
        <s v="1-1445204-2" u="1"/>
        <s v="1-1452690-3" u="1"/>
        <s v="1-1456867-4" u="1"/>
        <s v="13-1432563-2" u="1"/>
        <s v="13-1452146-5" u="1"/>
        <s v="1-1434068-4" u="1"/>
        <s v="1-1434284-2" u="1"/>
        <s v="1-1434468-2" u="1"/>
        <s v="1-1435604-4" u="1"/>
        <s v="1-1435804-3" u="1"/>
        <s v="1-1435912-2" u="1"/>
        <s v="1-1446959-8" u="1"/>
        <s v="1-1454191-2" u="1"/>
        <s v="1-1454283-2" u="1"/>
        <s v="1-1433204-2" u="1"/>
        <s v="1-1437013-3" u="1"/>
        <s v="1-1440890-2" u="1"/>
        <s v="1-1444991-2" u="1"/>
        <s v="1-1444888-16" u="1"/>
        <s v="1-1446076-4" u="1"/>
        <s v="1-1446476-2" u="1"/>
        <s v="1-1441311-1" u="1"/>
        <s v="1-1445012-3" u="1"/>
        <s v="1-1445212-2" u="1"/>
        <s v="1-1456891-3" u="1"/>
        <s v="10-1435140-2" u="1"/>
        <s v="11-1445679-2" u="1"/>
        <s v="13-1433655-2" u="1"/>
        <s v="1-1430467-2" u="1"/>
        <s v="1-1434292-2" u="1"/>
        <s v="1-1434568-2" u="1"/>
        <s v="1-1435720-3" u="1"/>
        <s v="1-1451910-2" u="1"/>
        <s v="1-1454383-2" u="1"/>
        <s v="1-1440008-12" u="1"/>
        <s v="1-1437405-2" u="1"/>
        <s v="1-1440774-4" u="1"/>
        <s v="1-1440990-2" u="1"/>
        <s v="1-1444691-4" u="1"/>
        <s v="1-1453011-3" u="1"/>
        <s v="1-1453303-2" u="1"/>
        <s v="1-1448481-28" u="1"/>
        <s v="1-1446192-3" u="1"/>
        <s v="1-1446484-2" u="1"/>
        <s v="1-1447512-5" u="1"/>
        <s v="1-1443696-22" u="1"/>
        <s v="10-1448672-3" u="1"/>
        <s v="1-1429230-2" u="1"/>
        <s v="1-1432075-8" u="1"/>
        <s v="1-1445404-2" u="1"/>
        <s v="1-1449321-2" u="1"/>
        <s v="1-1452690-4" u="1"/>
        <s v="1-1430091-3" u="1"/>
        <s v="1-1434392-2" u="1"/>
        <s v="1-1450090-3" u="1"/>
        <s v="10-1452094-2" u="1"/>
        <s v="1-1433220-2" u="1"/>
        <s v="1-1433404-2" u="1"/>
        <s v="1-1437213-3" u="1"/>
        <s v="1-1437505-2" u="1"/>
        <s v="1-1444791-4" u="1"/>
        <s v="1-1453403-2" u="1"/>
        <s v="1-1442191-3" u="1"/>
        <s v="1-1442267-4" u="1"/>
        <s v="1-1442283-3" u="1"/>
        <s v="12-1437540-4" u="1"/>
        <s v="1-1448069-2" u="1"/>
        <s v="1-1448177-1" u="1"/>
        <s v="1-1435704-5" u="1"/>
        <s v="1-1435812-4" u="1"/>
        <s v="1-1454583-2" u="1"/>
        <s v="1-1433412-2" u="1"/>
        <s v="1-1437513-2" u="1"/>
        <s v="1-1444691-5" u="1"/>
        <s v="1-1444891-4" u="1"/>
        <s v="1-1442567-3" u="1"/>
        <s v="1-1442767-2" u="1"/>
        <s v="1-1446484-3" u="1"/>
        <s v="1-1446776-2" u="1"/>
        <s v="1-1446976-1" u="1"/>
        <s v="1-1429230-3" u="1"/>
        <s v="1-1429706-2" u="1"/>
        <s v="1-1432075-9" u="1"/>
        <s v="1-1440059-2" u="1"/>
        <s v="1-1448169-2" u="1"/>
        <s v="1-1449705-2" u="1"/>
        <s v="1-1452690-5" u="1"/>
        <s v="11-1445919-2" u="1"/>
        <s v="1-1430583-2" u="1"/>
        <s v="1-1430767-2" u="1"/>
        <s v="1-1435712-5" u="1"/>
        <s v="1-1450858-2" u="1"/>
        <s v="1-1454683-2" u="1"/>
        <s v="10-1431519-2" u="1"/>
        <s v="1-1433604-2" u="1"/>
        <s v="1-1444791-5" u="1"/>
        <s v="1-1444991-4" u="1"/>
        <s v="1-1452159-2" u="1"/>
        <s v="1-1453403-3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54691-2" u="1"/>
        <s v="1-1433612-2" u="1"/>
        <s v="1-1436085-2" u="1"/>
        <s v="1-1436177-2" u="1"/>
        <s v="1-1456176-2" u="1"/>
        <s v="1-1439106-2" u="1"/>
        <s v="1-1442783-2" u="1"/>
        <s v="1-1446484-4" u="1"/>
        <s v="1-1429230-4" u="1"/>
        <s v="1-1429722-2" u="1"/>
        <s v="1-1429906-2" u="1"/>
        <s v="1-1440091-1" u="1"/>
        <s v="1-1444284-1" u="1"/>
        <s v="1-1445312-4" u="1"/>
        <s v="1-1449905-2" u="1"/>
        <s v="1-1452690-6" u="1"/>
        <s v="12-1434071-6" u="1"/>
        <s v="12-1454054-7" u="1"/>
        <s v="1-1447105-2" u="1"/>
        <s v="1-1454867-3" u="1"/>
        <s v="1-1454959-3" u="1"/>
        <s v="1-1432084-2" u="1"/>
        <s v="1-1433420-3" u="1"/>
        <s v="1-1433712-2" u="1"/>
        <s v="1-1433804-2" u="1"/>
        <s v="1-1436185-2" u="1"/>
        <s v="1-1437213-5" u="1"/>
        <s v="1-1444791-6" u="1"/>
        <s v="1-1444991-5" u="1"/>
        <s v="1-1452175-2" u="1"/>
        <s v="1-1452375-1" u="1"/>
        <s v="1-1453403-4" u="1"/>
        <s v="1-1453711-2" u="1"/>
        <s v="1-1456276-2" u="1"/>
        <s v="1-1439006-3" u="1"/>
        <s v="1-1455104-2" u="1"/>
        <s v="1-1452372-10" u="1"/>
        <s v="1-1452628-11" u="1"/>
        <s v="1-1429730-2" u="1"/>
        <s v="1-1441711-2" u="1"/>
        <s v="13-1439763-1" u="1"/>
        <s v="1-1430791-2" u="1"/>
        <s v="1-1432092-2" u="1"/>
        <s v="1-1452275-2" u="1"/>
        <s v="1-1453811-2" u="1"/>
        <s v="1-1456084-3" u="1"/>
        <s v="1-1446484-5" u="1"/>
        <s v="1-1455204-2" u="1"/>
        <s v="1-1432141-22" u="1"/>
        <s v="1-1429230-5" u="1"/>
        <s v="1-1429522-4" u="1"/>
        <s v="1-1429922-2" u="1"/>
        <s v="1-1445912-2" u="1"/>
        <s v="1-1448369-3" u="1"/>
        <s v="1-1448477-2" u="1"/>
        <s v="1-1452690-7" u="1"/>
        <s v="13-1443990-3" u="1"/>
        <s v="1-1430783-3" u="1"/>
        <s v="1-1430967-3" u="1"/>
        <s v="1-1435712-7" u="1"/>
        <s v="1-1440728-11" u="1"/>
        <s v="10-1433403-2" u="1"/>
        <s v="1-1432084-3" u="1"/>
        <s v="1-1432192-2" u="1"/>
        <s v="1-1432284-2" u="1"/>
        <s v="1-1432576-1" u="1"/>
        <s v="1-1433804-3" u="1"/>
        <s v="1-1433912-2" u="1"/>
        <s v="1-1444791-7" u="1"/>
        <s v="1-1444991-6" u="1"/>
        <s v="1-1452191-2" u="1"/>
        <s v="1-1453403-5" u="1"/>
        <s v="1-1453911-2" u="1"/>
        <s v="1-1456476-2" u="1"/>
        <s v="1-1437654-15" u="1"/>
        <s v="13-1440105-2" u="1"/>
        <s v="1-1439006-4" u="1"/>
        <s v="1-1442991-2" u="1"/>
        <s v="1-1440467-2" u="1"/>
        <s v="1-1448377-3" u="1"/>
        <s v="1-1448669-2" u="1"/>
        <s v="1-1447005-4" u="1"/>
        <s v="1-1447021-3" u="1"/>
        <s v="1-1447405-2" u="1"/>
        <s v="10-1454510-1" u="1"/>
        <s v="1-1452383-2" u="1"/>
        <s v="1-1431304-2" u="1"/>
        <s v="1-1438078-1" u="1"/>
        <s v="1-1429522-5" u="1"/>
        <s v="1-1440659-2" u="1"/>
        <s v="1-1444192-3" u="1"/>
        <s v="1-1445912-3" u="1"/>
        <s v="1-1448477-3" u="1"/>
        <s v="1-1448677-2" u="1"/>
        <s v="1-1452690-8" u="1"/>
        <s v="1-1430057-10" u="1"/>
        <s v="10-1429884-2" u="1"/>
        <s v="1-1443404-2" u="1"/>
        <s v="1-1440728-21" u="1"/>
        <s v="11-1442906-2" u="1"/>
        <s v="1-1432084-4" u="1"/>
        <s v="1-1432192-3" u="1"/>
        <s v="1-1432484-2" u="1"/>
        <s v="1-1444791-8" u="1"/>
        <s v="1-1444991-7" u="1"/>
        <s v="1-1453403-6" u="1"/>
        <s v="1-1456384-3" u="1"/>
        <s v="10-1451049-4" u="1"/>
        <s v="1-1434077-1" u="1"/>
        <s v="1-1435505-2" u="1"/>
        <s v="1-1439422-2" u="1"/>
        <s v="1-1439606-2" u="1"/>
        <s v="1-1440267-4" u="1"/>
        <s v="1-1440667-2" u="1"/>
        <s v="1-1440759-2" u="1"/>
        <s v="1-1445904-4" u="1"/>
        <s v="1-1430209-12" u="1"/>
        <s v="1-1443012-4" u="1"/>
        <s v="1-1443212-3" u="1"/>
        <s v="13-1433722-2" u="1"/>
        <s v="13-1433906-2" u="1"/>
        <s v="1-1436285-4" u="1"/>
        <s v="1-1449014-1" u="1"/>
        <s v="1-1452859-2" u="1"/>
        <s v="1-1456884-1" u="1"/>
        <s v="1-1446206-13" u="1"/>
        <s v="1-1431012-4" u="1"/>
        <s v="1-1431412-2" u="1"/>
        <s v="1-1435605-2" u="1"/>
        <s v="1-1439522-2" u="1"/>
        <s v="1-1451411-2" u="1"/>
        <s v="1-1429522-6" u="1"/>
        <s v="1-1440659-3" u="1"/>
        <s v="1-1444192-4" u="1"/>
        <s v="1-1444592-2" u="1"/>
        <s v="1-1445912-4" u="1"/>
        <s v="1-1448477-4" u="1"/>
        <s v="1-1448969-2" u="1"/>
        <s v="1-1452690-9" u="1"/>
        <s v="1-1447321-3" u="1"/>
        <s v="12-1451841-3" u="1"/>
        <s v="1-1432192-4" u="1"/>
        <s v="1-1432284-4" u="1"/>
        <s v="1-1432484-3" u="1"/>
        <s v="1-1432576-3" u="1"/>
        <s v="1-1452959-2" u="1"/>
        <s v="1-1456676-3" u="1"/>
        <s v="1-1456784-2" u="1"/>
        <s v="10-1431518-2" u="1"/>
        <s v="1-1431512-2" u="1"/>
        <s v="1-1431604-2" u="1"/>
        <s v="1-1434369-1" u="1"/>
        <s v="1-1435705-2" u="1"/>
        <s v="1-1451511-2" u="1"/>
        <s v="1-1451603-2" u="1"/>
        <s v="1-1440591-2" u="1"/>
        <s v="1-1440959-2" u="1"/>
        <s v="1-1441911-4" u="1"/>
        <s v="1-1444692-2" u="1"/>
        <s v="1-1444784-2" u="1"/>
        <s v="1-1440820-13" u="1"/>
        <s v="10-1438111-3" u="1"/>
        <s v="1-1432876-2" u="1"/>
        <s v="1-1436885-2" u="1"/>
        <s v="1-1445005-2" u="1"/>
        <s v="13-1445105-2" u="1"/>
        <s v="1-1439906-2" u="1"/>
        <s v="1-1454268-2" u="1"/>
        <s v="1-1429100-11" u="1"/>
        <s v="1-1429522-7" u="1"/>
        <s v="1-1437014-2" u="1"/>
        <s v="1-1444192-5" u="1"/>
        <s v="1-1444792-2" u="1"/>
        <s v="1-1448477-5" u="1"/>
        <s v="1-1442176-2" u="1"/>
        <s v="1-1447705-3" u="1"/>
        <s v="10-1446878-3" u="1"/>
        <s v="1-1432084-6" u="1"/>
        <s v="1-1432192-5" u="1"/>
        <s v="1-1432576-4" u="1"/>
        <s v="1-1432792-2" u="1"/>
        <s v="1-1452791-2" u="1"/>
        <s v="10-1454529-2" u="1"/>
        <s v="1-1430084-2" u="1"/>
        <s v="1-1431912-1" u="1"/>
        <s v="1-1451803-2" u="1"/>
        <s v="1-1454276-2" u="1"/>
        <s v="1-1455904-2" u="1"/>
        <s v="1-1440883-2" u="1"/>
        <s v="1-1444984-2" u="1"/>
        <s v="1-1450608-12" u="1"/>
        <s v="1-1423905-2" u="1"/>
        <s v="1-1446177-3" u="1"/>
        <s v="1-1436285-6" u="1"/>
        <s v="1-1436377-6" u="1"/>
        <s v="1-1436977-3" u="1"/>
        <s v="1-1445205-2" u="1"/>
        <s v="1-1452691-3" u="1"/>
        <s v="1-1452983-2" u="1"/>
        <s v="10-1440997-2" u="1"/>
        <s v="1-1430276-2" u="1"/>
        <s v="1-1439830-2" u="1"/>
        <s v="1-1437014-3" u="1"/>
        <s v="1-1437214-2" u="1"/>
        <s v="1-1444192-6" u="1"/>
        <s v="1-1444792-3" u="1"/>
        <s v="1-1448477-6" u="1"/>
        <s v="1-1440728-19" u="1"/>
        <s v="1-1442376-2" u="1"/>
        <s v="1-1443912-2" u="1"/>
        <s v="1-1447921-2" u="1"/>
        <s v="12-1435918-4" u="1"/>
        <s v="12-1454905-4" u="1"/>
        <s v="1-1425122-2" u="1"/>
        <s v="1-1432576-5" u="1"/>
        <s v="1-1445305-2" u="1"/>
        <s v="1-1452883-3" u="1"/>
        <s v="1-1452991-2" u="1"/>
        <s v="1-1439530-4" u="1"/>
        <s v="1-1451911-2" u="1"/>
        <s v="12-1435918-17" u="1"/>
        <s v="1-1433105-3" u="1"/>
        <s v="1-1433121-2" u="1"/>
        <s v="1-1453304-2" u="1"/>
        <s v="1-1442276-3" u="1"/>
        <s v="1-1446577-2" u="1"/>
        <s v="1-1436377-7" u="1"/>
        <s v="12-1430957-3" u="1"/>
        <s v="12-1451968-3" u="1"/>
        <s v="13-1432717-3" u="1"/>
        <s v="1-1434285-3" u="1"/>
        <s v="1-1438494-2" u="1"/>
        <s v="1-1451611-4" u="1"/>
        <s v="1-1454376-3" u="1"/>
        <s v="1-1429522-9" u="1"/>
        <s v="1-1433405-2" u="1"/>
        <s v="1-1437214-3" u="1"/>
        <s v="1-1444192-7" u="1"/>
        <s v="1-1444792-4" u="1"/>
        <s v="1-1444992-3" u="1"/>
        <s v="1-1445912-7" u="1"/>
        <s v="1-1448477-7" u="1"/>
        <s v="1-1442284-3" u="1"/>
        <s v="1-1446677-2" u="1"/>
        <s v="12-1439482-4" u="1"/>
        <s v="1-1432084-8" u="1"/>
        <s v="1-1432576-6" u="1"/>
        <s v="1-1432884-4" u="1"/>
        <s v="1-1449514-2" u="1"/>
        <s v="1-1452975-4" u="1"/>
        <s v="1-1434569-3" u="1"/>
        <s v="1-1434585-2" u="1"/>
        <s v="1-1434677-2" u="1"/>
        <s v="1-1438578-3" u="1"/>
        <s v="1-1451803-4" u="1"/>
        <s v="1-1454584-2" u="1"/>
        <s v="1-1454768-2" u="1"/>
        <s v="12-1431970-20" u="1"/>
        <s v="1-1442676-2" u="1"/>
        <s v="1-1446377-4" u="1"/>
        <s v="1-1436377-8" u="1"/>
        <s v="1-1445421-2" u="1"/>
        <s v="1-1430584-2" u="1"/>
        <s v="1-1434285-4" u="1"/>
        <s v="1-1435805-5" u="1"/>
        <s v="1-1454484-3" u="1"/>
        <s v="1-1454868-2" u="1"/>
        <s v="1-1424993-4" u="1"/>
        <s v="1-1433205-4" u="1"/>
        <s v="1-1437214-4" u="1"/>
        <s v="1-1437630-1" u="1"/>
        <s v="1-1444792-5" u="1"/>
        <s v="1-1453620-1" u="1"/>
        <s v="1-1456077-2" u="1"/>
        <s v="1-1456169-2" u="1"/>
        <s v="1-1446785-2" u="1"/>
        <s v="1-1446969-2" u="1"/>
        <s v="1-1432576-7" u="1"/>
        <s v="1-1440068-2" u="1"/>
        <s v="1-1445705-2" u="1"/>
        <s v="1-1449714-2" u="1"/>
        <s v="1-1432077-2" u="1"/>
        <s v="1-1433705-2" u="1"/>
        <s v="1-1437530-2" u="1"/>
        <s v="1-1437730-1" u="1"/>
        <s v="1-1452368-1" u="1"/>
        <s v="1-1456177-2" u="1"/>
        <s v="1-1456193-1" u="1"/>
        <s v="1-1455021-1" u="1"/>
        <s v="1-1455113-1" u="1"/>
        <s v="1-1429723-2" u="1"/>
        <s v="1-1436377-9" u="1"/>
        <s v="1-1444177-2" u="1"/>
        <s v="1-1448294-1" u="1"/>
        <s v="1-1449614-3" u="1"/>
        <s v="1-1434285-5" u="1"/>
        <s v="1-1450183-5" u="1"/>
        <s v="1-1454576-4" u="1"/>
        <s v="10-1454172-2" u="1"/>
        <s v="1-1433821-1" u="1"/>
        <s v="1-1437214-5" u="1"/>
        <s v="1-1444792-6" u="1"/>
        <s v="1-1452268-2" u="1"/>
        <s v="1-1452376-1" u="1"/>
        <s v="1-1456093-2" u="1"/>
        <s v="1-1431005-2" u="1"/>
        <s v="1-1439207-2" u="1"/>
        <s v="1-1424278-2" u="1"/>
        <s v="1-1429915-2" u="1"/>
        <s v="1-1440176-2" u="1"/>
        <s v="1-1444169-3" u="1"/>
        <s v="1-1430976-2" u="1"/>
        <s v="1-1432169-3" u="1"/>
        <s v="1-1433521-3" u="1"/>
        <s v="1-1452184-2" u="1"/>
        <s v="1-1452276-2" u="1"/>
        <s v="1-1439123-2" u="1"/>
        <s v="1-1439215-2" u="1"/>
        <s v="1-1429723-3" u="1"/>
        <s v="1-1444269-3" u="1"/>
        <s v="1-1445821-2" u="1"/>
        <s v="1-1449922-2" u="1"/>
        <s v="1-1430784-3" u="1"/>
        <s v="1-1434285-6" u="1"/>
        <s v="11-1442664-2" u="1"/>
        <s v="1-1432285-2" u="1"/>
        <s v="1-1436094-3" u="1"/>
        <s v="1-1437214-6" u="1"/>
        <s v="1-1453820-2" u="1"/>
        <s v="1-1456569-2" u="1"/>
        <s v="1-1437655-15" u="1"/>
        <s v="1-1435414-1" u="1"/>
        <s v="1-1439207-3" u="1"/>
        <s v="1-1455213-2" u="1"/>
        <s v="1-1421005-7" u="1"/>
        <s v="1-1429931-2" u="1"/>
        <s v="1-1445721-3" u="1"/>
        <s v="1-1445921-2" u="1"/>
        <s v="1-1430992-2" u="1"/>
        <s v="1-1443121-2" u="1"/>
        <s v="1-1447222-2" u="1"/>
        <s v="10-1438077-3" u="1"/>
        <s v="1-1432569-2" u="1"/>
        <s v="1-1452276-3" u="1"/>
        <s v="1-1452384-2" u="1"/>
        <s v="1-1452584-1" u="1"/>
        <s v="12-1442299-2" u="1"/>
        <s v="1-1455221-2" u="1"/>
        <s v="1-1429723-4" u="1"/>
        <s v="1-1444393-2" u="1"/>
        <s v="1-1444577-2" u="1"/>
        <s v="1-1444669-2" u="1"/>
        <s v="1-1429988-13" u="1"/>
        <s v="1-1434285-7" u="1"/>
        <s v="1-1443021-3" u="1"/>
        <s v="1-1447322-2" u="1"/>
        <s v="1-1447614-1" u="1"/>
        <s v="12-1447528-2" u="1"/>
        <s v="13-1432916-2" u="1"/>
        <s v="1-1432669-2" u="1"/>
        <s v="1-1437430-5" u="1"/>
        <s v="1-1452668-2" u="1"/>
        <s v="1-1431021-3" u="1"/>
        <s v="1-1434078-1" u="1"/>
        <s v="1-1435522-1" u="1"/>
        <s v="1-1439515-2" u="1"/>
        <s v="1-1439607-2" u="1"/>
        <s v="1-1451117-16" u="1"/>
        <s v="1-1440576-2" u="1"/>
        <s v="1-1444293-3" u="1"/>
        <s v="1-1448594-2" u="1"/>
        <s v="10-1429882-2" u="1"/>
        <s v="1-1443321-2" u="1"/>
        <s v="1-1443521-1" u="1"/>
        <s v="1-1445006-1" u="1"/>
        <s v="1-1452276-4" u="1"/>
        <s v="1-1456393-3" u="1"/>
        <s v="1-1456593-2" u="1"/>
        <s v="12-1441263-2" u="1"/>
        <s v="1-1435422-2" u="1"/>
        <s v="1-1435514-2" u="1"/>
        <s v="1-1439523-2" u="1"/>
        <s v="1-1429723-5" u="1"/>
        <s v="1-1437015-1" u="1"/>
        <s v="1-1440768-2" u="1"/>
        <s v="1-1444393-3" u="1"/>
        <s v="1-1444777-2" u="1"/>
        <s v="1-1448694-2" u="1"/>
        <s v="1-1434285-8" u="1"/>
        <s v="1-1446094-1" u="1"/>
        <s v="12-1448240-2" u="1"/>
        <s v="1-1452668-3" u="1"/>
        <s v="1-1452684-2" u="1"/>
        <s v="1-1452868-2" u="1"/>
        <s v="1-1452884-1" u="1"/>
        <s v="1-1456477-4" u="1"/>
        <s v="10-1453183-2" u="1"/>
        <s v="1-1454169-2" u="1"/>
        <s v="1-1455613-2" u="1"/>
        <s v="1-1440776-2" u="1"/>
        <s v="1-1448794-2" u="1"/>
        <s v="1-1450153-11" u="1"/>
        <s v="1-1446086-2" u="1"/>
        <s v="1-1447714-2" u="1"/>
        <s v="1-1425007-2" u="1"/>
        <s v="1-1432877-2" u="1"/>
        <s v="1-1452276-5" u="1"/>
        <s v="1-1452968-2" u="1"/>
        <s v="1-1456869-3" u="1"/>
        <s v="1-1456977-2" u="1"/>
        <s v="10-1430120-3" u="1"/>
        <s v="11-1456219-2" u="1"/>
        <s v="11-1456419-1" u="1"/>
        <s v="1-1431521-2" u="1"/>
        <s v="1-1435422-3" u="1"/>
        <s v="1-1435530-2" u="1"/>
        <s v="1-1435714-2" u="1"/>
        <s v="1-1438095-2" u="1"/>
        <s v="1-1439415-4" u="1"/>
        <s v="1-1451704-2" u="1"/>
        <s v="1-1454269-2" u="1"/>
        <s v="1-1429723-6" u="1"/>
        <s v="1-1444393-4" u="1"/>
        <s v="1-1444793-2" u="1"/>
        <s v="1-1453021-1" u="1"/>
        <s v="1-1443421-3" u="1"/>
        <s v="1-1436894-2" u="1"/>
        <s v="1-1445014-2" u="1"/>
        <s v="1-1449115-2" u="1"/>
        <s v="1-1452668-4" u="1"/>
        <s v="1-1456693-3" u="1"/>
        <s v="11-1442779-2" u="1"/>
        <s v="12-1442423-2" u="1"/>
        <s v="13-1449059-2" u="1"/>
        <s v="1-1431805-2" u="1"/>
        <s v="1-1435814-2" u="1"/>
        <s v="1-1438287-2" u="1"/>
        <s v="1-1454277-2" u="1"/>
        <s v="1-1440884-2" u="1"/>
        <s v="1-1444893-2" u="1"/>
        <s v="1-1453013-2" u="1"/>
        <s v="1-1457022-2" u="1"/>
        <s v="1-1443521-3" u="1"/>
        <s v="1-1446394-1" u="1"/>
        <s v="1-1432985-2" u="1"/>
        <s v="1-1445206-2" u="1"/>
        <s v="1-1445222-1" u="1"/>
        <s v="1-1452276-6" u="1"/>
        <s v="1-1452476-5" u="1"/>
        <s v="1-1452984-2" u="1"/>
        <s v="1-1456793-3" u="1"/>
        <s v="1-1430277-2" u="1"/>
        <s v="1-1430369-2" u="1"/>
        <s v="1-1434194-2" u="1"/>
        <s v="1-1435422-4" u="1"/>
        <s v="1-1435530-3" u="1"/>
        <s v="1-1435914-2" u="1"/>
        <s v="1-1454469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49131-2" u="1"/>
        <s v="1-1430377-2" u="1"/>
        <s v="1-1430469-2" u="1"/>
        <s v="1-1434294-2" u="1"/>
        <s v="1-1454293-2" u="1"/>
        <s v="1-1454569-2" u="1"/>
        <s v="1-1455721-3" u="1"/>
        <s v="1-1433122-2" u="1"/>
        <s v="1-1443521-4" u="1"/>
        <s v="1-1446194-3" u="1"/>
        <s v="11-1454967-5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50492-1" u="1"/>
        <s v="1-1429723-8" u="1"/>
        <s v="1-1433222-2" u="1"/>
        <s v="1-1437215-3" u="1"/>
        <s v="1-1444793-4" u="1"/>
        <s v="1-1423914-3" u="1"/>
        <s v="1-1423930-2" u="1"/>
        <s v="1-1442577-2" u="1"/>
        <s v="1-1443821-3" u="1"/>
        <s v="1-1443913-3" u="1"/>
        <s v="12-1435920-3" u="1"/>
        <s v="1-1429240-2" u="1"/>
        <s v="1-1429808-1" u="1"/>
        <s v="1-1432285-7" u="1"/>
        <s v="1-1445414-2" u="1"/>
        <s v="1-1452976-4" u="1"/>
        <s v="12-1432995-2" u="1"/>
        <s v="1-1454677-2" u="1"/>
        <s v="1-1437715-1" u="1"/>
        <s v="1-1443521-5" u="1"/>
        <s v="1-1446086-5" u="1"/>
        <s v="1-1446594-2" u="1"/>
        <s v="1-1446686-2" u="1"/>
        <s v="1-1445206-4" u="1"/>
        <s v="1-1448079-2" u="1"/>
        <s v="11-1445847-2" u="1"/>
        <s v="1-1435422-6" u="1"/>
        <s v="1-1435530-5" u="1"/>
        <s v="1-1438587-3" u="1"/>
        <s v="1-1454669-3" u="1"/>
        <s v="1-1454869-2" u="1"/>
        <s v="1-1433314-3" u="1"/>
        <s v="1-1437707-2" u="1"/>
        <s v="1-1444793-5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-1448087-2" u="1"/>
        <s v="1-1448379-1" u="1"/>
        <s v="10-1442771-3" u="1"/>
        <s v="13-1433903-2" u="1"/>
        <s v="1-1434694-2" u="1"/>
        <s v="1-1454493-3" u="1"/>
        <s v="1-1454693-2" u="1"/>
        <s v="1-1424184-10" u="1"/>
        <s v="1-1438264-19" u="1"/>
        <s v="1-1433522-2" u="1"/>
        <s v="1-1437423-3" u="1"/>
        <s v="1-1437715-2" u="1"/>
        <s v="1-1449730-9" u="1"/>
        <s v="1-1453613-2" u="1"/>
        <s v="1-1442277-5" u="1"/>
        <s v="1-1443521-6" u="1"/>
        <s v="1-1446086-6" u="1"/>
        <s v="1-1446686-3" u="1"/>
        <s v="1-1429908-2" u="1"/>
        <s v="1-1441813-1" u="1"/>
        <s v="1-1445206-5" u="1"/>
        <s v="1-1445606-3" u="1"/>
        <s v="1-1445714-2" u="1"/>
        <s v="1-1448295-1" u="1"/>
        <s v="1-1449615-3" u="1"/>
        <s v="1-1430877-2" u="1"/>
        <s v="1-1434594-3" u="1"/>
        <s v="1-1443022-1" u="1"/>
        <s v="1-1454977-2" u="1"/>
        <s v="11-1456218-2" u="1"/>
        <s v="12-1441606-2" u="1"/>
        <s v="1-1437215-5" u="1"/>
        <s v="1-1437707-3" u="1"/>
        <s v="1-1437723-2" u="1"/>
        <s v="1-1444793-6" u="1"/>
        <s v="1-1452269-2" u="1"/>
        <s v="1-1431006-2" u="1"/>
        <s v="1-1435107-2" u="1"/>
        <s v="1-1439008-3" u="1"/>
        <s v="1-1443821-5" u="1"/>
        <s v="1-1446694-3" u="1"/>
        <s v="1-1455106-2" u="1"/>
        <s v="1-1455306-1" u="1"/>
        <s v="1-1432139-31" u="1"/>
        <s v="1-1429240-4" u="1"/>
        <s v="1-1445722-2" u="1"/>
        <s v="1-1448487-1" u="1"/>
        <s v="1-1449807-3" u="1"/>
        <s v="12-1442422-2" u="1"/>
        <s v="1-1437715-3" u="1"/>
        <s v="1-1452369-2" u="1"/>
        <s v="1-1456286-2" u="1"/>
        <s v="1-1456486-1" u="1"/>
        <s v="1-1431014-2" u="1"/>
        <s v="1-1439216-2" u="1"/>
        <s v="1-1446686-4" u="1"/>
        <s v="1-1455206-2" u="1"/>
        <s v="1-1436464-11" u="1"/>
        <s v="1-1429832-2" u="1"/>
        <s v="1-1444194-2" u="1"/>
        <s v="1-1445206-6" u="1"/>
        <s v="1-1445822-2" u="1"/>
        <s v="11-1442766-2" u="1"/>
        <s v="1-1432286-2" u="1"/>
        <s v="1-1433822-2" u="1"/>
        <s v="1-1437215-6" u="1"/>
        <s v="1-1437707-4" u="1"/>
        <s v="1-1437723-3" u="1"/>
        <s v="1-1452469-2" u="1"/>
        <s v="1-1456386-2" u="1"/>
        <s v="1-1435307-2" u="1"/>
        <s v="1-1439208-3" u="1"/>
        <s v="1-1455214-2" u="1"/>
        <s v="1-1452738-11" u="1"/>
        <s v="1-1429240-5" u="1"/>
        <s v="1-1429532-4" u="1"/>
        <s v="1-1429732-3" u="1"/>
        <s v="1-1429840-2" u="1"/>
        <s v="1-1444094-3" u="1"/>
        <s v="1-1448395-2" u="1"/>
        <s v="1-1449915-3" u="1"/>
        <s v="1-1430993-2" u="1"/>
        <s v="1-1447331-1" u="1"/>
        <s v="11-1445698-2" u="1"/>
        <s v="1-1433814-3" u="1"/>
        <s v="1-1452385-2" u="1"/>
        <s v="1-1439308-3" u="1"/>
        <s v="1-1446686-5" u="1"/>
        <s v="1-1455406-2" u="1"/>
        <s v="1-1436464-21" u="1"/>
        <s v="1-1445206-7" u="1"/>
        <s v="1-1445914-3" u="1"/>
        <s v="1-1448479-3" u="1"/>
        <s v="1-1443314-2" u="1"/>
        <s v="1-1443514-1" u="1"/>
        <s v="1-1440818-12" u="1"/>
        <s v="11-1445686-2" u="1"/>
        <s v="11-1445778-2" u="1"/>
        <s v="1-1433822-3" u="1"/>
        <s v="1-1436787-1" u="1"/>
        <s v="1-1437707-5" u="1"/>
        <s v="1-1437723-4" u="1"/>
        <s v="1-1452193-3" u="1"/>
        <s v="1-1432139-19" u="1"/>
        <s v="1-1433867-14" u="1"/>
        <s v="1-1435415-2" u="1"/>
        <s v="1-1439208-4" u="1"/>
        <s v="1-1439516-2" u="1"/>
        <s v="1-1439608-2" u="1"/>
        <s v="1-1455506-2" u="1"/>
        <s v="1-1429240-6" u="1"/>
        <s v="1-1429532-5" u="1"/>
        <s v="1-1440777-1" u="1"/>
        <s v="1-1444494-2" u="1"/>
        <s v="1-1444586-2" u="1"/>
        <s v="1-1445906-4" u="1"/>
        <s v="1-1448595-2" u="1"/>
        <s v="1-1443322-2" u="1"/>
        <s v="1-1443414-2" u="1"/>
        <s v="1-1443522-1" u="1"/>
        <s v="1-1432386-3" u="1"/>
        <s v="1-1456686-2" u="1"/>
        <s v="1-1431414-2" u="1"/>
        <s v="1-1435315-3" u="1"/>
        <s v="1-1435331-2" u="1"/>
        <s v="1-1435515-2" u="1"/>
        <s v="1-1452690-10" u="1"/>
        <s v="1-1440769-2" u="1"/>
        <s v="1-1444594-2" u="1"/>
        <s v="1-1448479-4" u="1"/>
        <s v="1-1447431-2" u="1"/>
        <s v="1-1447707-2" u="1"/>
        <s v="1-1444791-10" u="1"/>
        <s v="1-1432286-4" u="1"/>
        <s v="1-1433822-4" u="1"/>
        <s v="1-1437215-8" u="1"/>
        <s v="1-1452193-4" u="1"/>
        <s v="1-1432139-29" u="1"/>
        <s v="1-1435707-2" u="1"/>
        <s v="1-1439532-2" u="1"/>
        <s v="1-1454186-1" u="1"/>
        <s v="1-1429240-7" u="1"/>
        <s v="1-1429532-6" u="1"/>
        <s v="1-1448795-2" u="1"/>
        <s v="1-1448887-2" u="1"/>
        <s v="1-1450338-11" u="1"/>
        <s v="1-1443414-3" u="1"/>
        <s v="1-1432386-4" u="1"/>
        <s v="1-1432494-3" u="1"/>
        <s v="1-1452693-2" u="1"/>
        <s v="1-1452785-2" u="1"/>
        <s v="11-1456245-1" u="1"/>
        <s v="1-1435515-3" u="1"/>
        <s v="1-1435607-3" u="1"/>
        <s v="1-1454086-2" u="1"/>
        <s v="1-1454178-2" u="1"/>
        <s v="1-1455514-3" u="1"/>
        <s v="1-1455530-2" u="1"/>
        <s v="1-1455806-2" u="1"/>
        <s v="1-1435376-14" u="1"/>
        <s v="1-1452690-20" u="1"/>
        <s v="1-1440293-4" u="1"/>
        <s v="1-1440877-2" u="1"/>
        <s v="1-1444886-2" u="1"/>
        <s v="1-1448479-5" u="1"/>
        <s v="1-1425016-2" u="1"/>
        <s v="1-1432286-5" u="1"/>
        <s v="1-1433822-5" u="1"/>
        <s v="1-1436895-2" u="1"/>
        <s v="1-1445015-2" u="1"/>
        <s v="1-1452193-5" u="1"/>
        <s v="1-1452885-2" u="1"/>
        <s v="1-1456986-2" u="1"/>
        <s v="1-1431622-2" u="1"/>
        <s v="1-1435707-3" u="1"/>
        <s v="1-1454278-2" u="1"/>
        <s v="1-1455630-2" u="1"/>
        <s v="1-1429240-8" u="1"/>
        <s v="1-1429532-7" u="1"/>
        <s v="1-1433107-2" u="1"/>
        <s v="1-1440977-2" u="1"/>
        <s v="1-1444986-2" u="1"/>
        <s v="1-1448795-3" u="1"/>
        <s v="1-1457023-2" u="1"/>
        <s v="1-1443414-4" u="1"/>
        <s v="1-1447731-2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-1435515-4" u="1"/>
        <s v="1-1435731-2" u="1"/>
        <s v="1-1435915-2" u="1"/>
        <s v="1-1438388-2" u="1"/>
        <s v="1-1454286-2" u="1"/>
        <s v="1-1455914-2" u="1"/>
        <s v="1-1433207-2" u="1"/>
        <s v="1-1448479-6" u="1"/>
        <s v="1-1438749-11" u="1"/>
        <s v="1-1442194-2" u="1"/>
        <s v="1-1446387-2" u="1"/>
        <s v="1-1429225-2" u="1"/>
        <s v="1-1432286-6" u="1"/>
        <s v="1-1432886-3" u="1"/>
        <s v="1-1433822-6" u="1"/>
        <s v="1-1445107-3" u="1"/>
        <s v="1-1449132-2" u="1"/>
        <s v="1-1452193-6" u="1"/>
        <s v="1-1452993-2" u="1"/>
        <s v="10-1452301-3" u="1"/>
        <s v="1-1434387-2" u="1"/>
        <s v="1-1434479-2" u="1"/>
        <s v="1-1439440-4" u="1"/>
        <s v="1-1439840-2" u="1"/>
        <s v="1-1454386-2" u="1"/>
        <s v="1-1435544-16" u="1"/>
        <s v="12-1435918-18" u="1"/>
        <s v="1-1433031-2" u="1"/>
        <s v="1-1440977-3" u="1"/>
        <s v="1-1453214-2" u="1"/>
        <s v="1-1446087-4" u="1"/>
        <s v="1-1446195-3" u="1"/>
        <s v="12-1456737-5" u="1"/>
        <s v="12-1456953-3" u="1"/>
        <s v="1-1432386-6" u="1"/>
        <s v="1-1432494-5" u="1"/>
        <s v="1-1432986-3" u="1"/>
        <s v="1-1445115-3" u="1"/>
        <s v="1-1445131-2" u="1"/>
        <s v="1-1445407-2" u="1"/>
        <s v="1-1449524-1" u="1"/>
        <s v="1-1449708-1" u="1"/>
        <s v="10-1435250-2" u="1"/>
        <s v="13-1453180-4" u="1"/>
        <s v="13-1453580-2" u="1"/>
        <s v="1-1434487-2" u="1"/>
        <s v="1-1435515-5" u="1"/>
        <s v="1-1439340-5" u="1"/>
        <s v="1-1451921-2" u="1"/>
        <s v="1-1429522-10" u="1"/>
        <s v="1-1451362-25" u="1"/>
        <s v="1-1433407-2" u="1"/>
        <s v="1-1444994-3" u="1"/>
        <s v="1-1453130-2" u="1"/>
        <s v="1-1453406-2" u="1"/>
        <s v="1-1429225-3" u="1"/>
        <s v="1-1429333-2" u="1"/>
        <s v="1-1449608-2" u="1"/>
        <s v="1-1452193-7" u="1"/>
        <s v="1-1452993-3" u="1"/>
        <s v="12-1447337-3" u="1"/>
        <s v="13-1432725-3" u="1"/>
        <s v="1-1434295-3" u="1"/>
        <s v="1-1439640-4" u="1"/>
        <s v="1-1454494-2" u="1"/>
        <s v="1-1454678-2" u="1"/>
        <s v="1-1455763-15" u="1"/>
        <s v="12-1442296-2" u="1"/>
        <s v="12-1435918-26" u="1"/>
        <s v="1-1433031-3" u="1"/>
        <s v="1-1437224-3" u="1"/>
        <s v="1-1437424-2" u="1"/>
        <s v="1-1440977-4" u="1"/>
        <s v="1-1444894-4" u="1"/>
        <s v="1-1453306-3" u="1"/>
        <s v="1-1423923-3" u="1"/>
        <s v="1-1432386-7" u="1"/>
        <s v="1-1432986-4" u="1"/>
        <s v="1-1445115-4" u="1"/>
        <s v="1-1445315-3" u="1"/>
        <s v="1-1452690-18" u="1"/>
        <s v="11-1445673-2" u="1"/>
        <s v="12-1431781-3" u="1"/>
        <s v="13-1433725-3" u="1"/>
        <s v="13-1452820-2" u="1"/>
        <s v="13-1456376-4" u="1"/>
        <s v="1-1430586-2" u="1"/>
        <s v="1-1429522-20" u="1"/>
        <s v="1-1448217-13" u="1"/>
        <s v="1-1428788-6" u="1"/>
        <s v="1-1433331-2" u="1"/>
        <s v="1-1437432-2" u="1"/>
        <s v="1-1437508-3" u="1"/>
        <s v="1-1437524-2" u="1"/>
        <s v="1-1437708-2" u="1"/>
        <s v="1-1456079-2" u="1"/>
        <s v="1-1456279-1" u="1"/>
        <s v="1-1446787-2" u="1"/>
        <s v="1-1429225-4" u="1"/>
        <s v="1-1429625-2" u="1"/>
        <s v="1-1445707-2" u="1"/>
        <s v="1-1452993-4" u="1"/>
        <s v="1-1430594-2" u="1"/>
        <s v="1-1454786-2" u="1"/>
        <s v="1-1454894-1" u="1"/>
        <s v="1-1448317-13" u="1"/>
        <s v="1-1448409-13" u="1"/>
        <s v="1-1432079-2" u="1"/>
        <s v="1-1433431-2" u="1"/>
        <s v="1-1433615-2" u="1"/>
        <s v="1-1433707-2" u="1"/>
        <s v="1-1437440-2" u="1"/>
        <s v="1-1440977-5" u="1"/>
        <s v="1-1453430-2" u="1"/>
        <s v="1-1453614-2" u="1"/>
        <s v="1-1453706-2" u="1"/>
        <s v="1-1456087-2" u="1"/>
        <s v="1-1436377-10" u="1"/>
        <s v="1-1429725-2" u="1"/>
        <s v="1-1432386-8" u="1"/>
        <s v="1-1432986-5" u="1"/>
        <s v="1-1441706-2" u="1"/>
        <s v="1-1445115-5" u="1"/>
        <s v="1-1447108-2" u="1"/>
        <s v="1-1454886-2" u="1"/>
        <s v="1-1454978-2" u="1"/>
        <s v="10-1433349-3" u="1"/>
        <s v="12-1441232-3" u="1"/>
        <s v="1-1432087-2" u="1"/>
        <s v="1-1433715-2" u="1"/>
        <s v="1-1433731-1" u="1"/>
        <s v="1-1437632-2" u="1"/>
        <s v="1-1452378-1" u="1"/>
        <s v="1-1431007-2" u="1"/>
        <s v="1-1435108-2" u="1"/>
        <s v="1-1442594-3" u="1"/>
        <s v="1-1455107-2" u="1"/>
        <s v="1-1440086-2" u="1"/>
        <s v="1-1444187-2" u="1"/>
        <s v="1-1444279-2" u="1"/>
        <s v="1-1445631-2" u="1"/>
        <s v="1-1445815-2" u="1"/>
        <s v="1-1449240-4" u="1"/>
        <s v="1-1449824-2" u="1"/>
        <s v="10-1452340-2" u="1"/>
        <s v="1-1433815-2" u="1"/>
        <s v="1-1433907-2" u="1"/>
        <s v="1-1437640-2" u="1"/>
        <s v="1-1437732-2" u="1"/>
        <s v="1-1452278-2" u="1"/>
        <s v="1-1453814-2" u="1"/>
        <s v="1-1456287-2" u="1"/>
        <s v="1-1456379-2" u="1"/>
        <s v="1-1431015-2" u="1"/>
        <s v="1-1435024-2" u="1"/>
        <s v="1-1455023-2" u="1"/>
        <s v="1-1455207-2" u="1"/>
        <s v="1-1429833-2" u="1"/>
        <s v="1-1429909-3" u="1"/>
        <s v="1-1432386-9" u="1"/>
        <s v="1-1440094-2" u="1"/>
        <s v="1-1440186-2" u="1"/>
        <s v="1-1444379-2" u="1"/>
        <s v="1-1445115-6" u="1"/>
        <s v="1-1445915-2" u="1"/>
        <s v="1-1449924-2" u="1"/>
        <s v="1-1429658-15" u="1"/>
        <s v="1-1432087-3" u="1"/>
        <s v="1-1432287-2" u="1"/>
        <s v="1-1431115-2" u="1"/>
        <s v="1-1435124-2" u="1"/>
        <s v="1-1446895-3" u="1"/>
        <s v="1-1429841-2" u="1"/>
        <s v="1-1429933-2" u="1"/>
        <s v="1-1440286-2" u="1"/>
        <s v="1-1444279-3" u="1"/>
        <s v="1-1444387-2" u="1"/>
        <s v="1-1445907-3" u="1"/>
        <s v="1-1447132-2" u="1"/>
        <s v="1-1432095-3" u="1"/>
        <s v="1-1452278-3" u="1"/>
        <s v="1-1452294-2" u="1"/>
        <s v="1-1453814-3" u="1"/>
        <s v="1-1453830-2" u="1"/>
        <s v="1-1456579-2" u="1"/>
        <s v="1-1439125-3" u="1"/>
        <s v="1-1439617-1" u="1"/>
        <s v="1-1440094-3" u="1"/>
        <s v="1-1444179-4" u="1"/>
        <s v="1-1444687-1" u="1"/>
        <s v="1-1429522-18" u="1"/>
        <s v="11-1445696-2" u="1"/>
        <s v="13-1431740-2" u="1"/>
        <s v="1-1432287-3" u="1"/>
        <s v="1-1432379-3" u="1"/>
        <s v="1-1432487-2" u="1"/>
        <s v="1-1433731-3" u="1"/>
        <s v="1-1433931-2" u="1"/>
        <s v="1-1453930-2" u="1"/>
        <s v="1-1456387-3" u="1"/>
        <s v="1-1456679-2" u="1"/>
        <s v="12-1441295-2" u="1"/>
        <s v="1-1435508-2" u="1"/>
        <s v="1-1439317-3" u="1"/>
        <s v="1-1439333-2" u="1"/>
        <s v="1-1455507-2" u="1"/>
        <s v="1-1444279-4" u="1"/>
        <s v="11-1429806-3" u="1"/>
        <s v="1-1443507-2" u="1"/>
        <s v="1-1443523-1" u="1"/>
        <s v="1-1448481-21" u="1"/>
        <s v="11-1445684-2" u="1"/>
        <s v="1-1432495-2" u="1"/>
        <s v="1-1437640-4" u="1"/>
        <s v="1-1452278-4" u="1"/>
        <s v="1-1452586-2" u="1"/>
        <s v="1-1452678-2" u="1"/>
        <s v="1-1453814-4" u="1"/>
        <s v="1-1456687-2" u="1"/>
        <s v="1-1431415-2" u="1"/>
        <s v="1-1431507-2" u="1"/>
        <s v="1-1435332-2" u="1"/>
        <s v="1-1435424-2" u="1"/>
        <s v="1-1435440-1" u="1"/>
        <s v="1-1439325-3" u="1"/>
        <s v="1-1439525-2" u="1"/>
        <s v="1-1440094-4" u="1"/>
        <s v="1-1440878-1" u="1"/>
        <s v="1-1444487-3" u="1"/>
        <s v="1-1444579-3" u="1"/>
        <s v="1-1444779-2" u="1"/>
        <s v="1-1443423-2" u="1"/>
        <s v="1-1446096-1" u="1"/>
        <s v="1-1447232-3" u="1"/>
        <s v="1-1429118-1" u="1"/>
        <s v="1-1432379-4" u="1"/>
        <s v="1-1432779-2" u="1"/>
        <s v="1-1433731-4" u="1"/>
        <s v="1-1433931-3" u="1"/>
        <s v="1-1452778-2" u="1"/>
        <s v="1-1432084-18" u="1"/>
        <s v="1-1431331-2" u="1"/>
        <s v="1-1435324-3" u="1"/>
        <s v="1-1435708-2" u="1"/>
        <s v="1-1439533-2" u="1"/>
        <s v="1-1455707-2" u="1"/>
        <s v="1-1440194-4" u="1"/>
        <s v="1-1444279-5" u="1"/>
        <s v="1-1444787-2" u="1"/>
        <s v="1-1447624-2" u="1"/>
        <s v="1-1448481-31" u="1"/>
        <s v="12-1448616-2" u="1"/>
        <s v="12-1450415-7" u="1"/>
        <s v="1-1433831-4" u="1"/>
        <s v="1-1449017-2" u="1"/>
        <s v="1-1452278-5" u="1"/>
        <s v="1-1452694-2" u="1"/>
        <s v="1-1456979-2" u="1"/>
        <s v="1-1446113-14" u="1"/>
        <s v="1-1451706-2" u="1"/>
        <s v="1-1455531-2" u="1"/>
        <s v="1-1440094-5" u="1"/>
        <s v="1-1445115-9" u="1"/>
        <s v="1-1432379-5" u="1"/>
        <s v="1-1432979-2" u="1"/>
        <s v="1-1433731-5" u="1"/>
        <s v="1-1445016-2" u="1"/>
        <s v="1-1452886-2" u="1"/>
        <s v="1-1452978-2" u="1"/>
        <s v="1-1456987-2" u="1"/>
        <s v="1-1435540-2" u="1"/>
        <s v="1-1435724-2" u="1"/>
        <s v="1-1439825-2" u="1"/>
        <s v="1-1433108-2" u="1"/>
        <s v="1-1443523-3" u="1"/>
        <s v="12-1455883-3" u="1"/>
        <s v="1-1433831-5" u="1"/>
        <s v="1-1436888-3" u="1"/>
        <s v="1-1445116-2" u="1"/>
        <s v="1-1449017-3" u="1"/>
        <s v="1-1452894-2" u="1"/>
        <s v="1-1453814-6" u="1"/>
        <s v="11-1456215-2" u="1"/>
        <s v="1-1435608-4" u="1"/>
        <s v="1-1435824-2" u="1"/>
        <s v="1-1455731-2" u="1"/>
        <s v="1-1455823-2" u="1"/>
        <s v="1-1437217-2" u="1"/>
        <s v="1-1453007-3" u="1"/>
        <s v="1-1453207-2" u="1"/>
        <s v="1-1433731-6" u="1"/>
        <s v="1-1449317-2" u="1"/>
        <s v="1-1452994-2" u="1"/>
        <s v="1-1456479-6" u="1"/>
        <s v="10-1433524-2" u="1"/>
        <s v="10-1440999-3" u="1"/>
        <s v="10-1453431-2" u="1"/>
        <s v="12-1444719-2" u="1"/>
        <s v="1-1430087-3" u="1"/>
        <s v="1-1430179-3" u="1"/>
        <s v="1-1431915-2" u="1"/>
        <s v="1-1455831-2" u="1"/>
        <s v="1-1433032-2" u="1"/>
        <s v="1-1440794-3" u="1"/>
        <s v="1-1444987-3" u="1"/>
        <s v="1-1443831-2" u="1"/>
        <s v="1-1446196-3" u="1"/>
        <s v="1-1443696-13" u="1"/>
        <s v="1-1443788-13" u="1"/>
        <s v="1-1449017-4" u="1"/>
        <s v="1-1452986-3" u="1"/>
        <s v="10-1434232-3" u="1"/>
        <s v="12-1444723-1" u="1"/>
        <s v="1-1435932-2" u="1"/>
        <s v="1-1455931-2" u="1"/>
        <s v="10-1430387-2" u="1"/>
        <s v="1-1433224-2" u="1"/>
        <s v="1-1437233-2" u="1"/>
        <s v="1-1437417-2" u="1"/>
        <s v="1-1453007-4" u="1"/>
        <s v="1-1453023-3" u="1"/>
        <s v="1-1453131-2" u="1"/>
        <s v="1-1444888-17" u="1"/>
        <s v="1-1423932-2" u="1"/>
        <s v="1-1442287-3" u="1"/>
        <s v="1-1432379-7" u="1"/>
        <s v="1-1445324-2" u="1"/>
        <s v="1-1449241-2" u="1"/>
        <s v="1-1431931-2" u="1"/>
        <s v="1-1440008-13" u="1"/>
        <s v="1-1437425-2" u="1"/>
        <s v="1-1448481-29" u="1"/>
        <s v="1-1423924-3" u="1"/>
        <s v="1-1442679-2" u="1"/>
        <s v="1-1446396-3" u="1"/>
        <s v="1-1443696-23" u="1"/>
        <s v="1-1441323-2" u="1"/>
        <s v="10-1436416-3" u="1"/>
        <s v="1-1430587-2" u="1"/>
        <s v="1-1431907-4" u="1"/>
        <s v="1-1433332-2" u="1"/>
        <s v="1-1453007-5" u="1"/>
        <s v="1-1453331-2" u="1"/>
        <s v="1-1442579-3" u="1"/>
        <s v="1-1446496-3" u="1"/>
        <s v="1-1429626-2" u="1"/>
        <s v="1-1432379-8" u="1"/>
        <s v="1-1441331-2" u="1"/>
        <s v="1-1449641-1" u="1"/>
        <s v="12-1432991-2" u="1"/>
        <s v="13-1433723-3" u="1"/>
        <s v="1-1435740-4" u="1"/>
        <s v="1-1433232-3" u="1"/>
        <s v="1-1433308-4" u="1"/>
        <s v="1-1433432-2" u="1"/>
        <s v="1-1437733-1" u="1"/>
        <s v="1-1446796-2" u="1"/>
        <s v="1-1423985-14" u="1"/>
        <s v="1-1429726-2" u="1"/>
        <s v="1-1441123-4" u="1"/>
        <s v="1-1445532-2" u="1"/>
        <s v="1-1445624-2" u="1"/>
        <s v="1-1448297-1" u="1"/>
        <s v="1-1449541-2" u="1"/>
        <s v="10-1438708-2" u="1"/>
        <s v="1-1430879-2" u="1"/>
        <s v="1-1431831-4" u="1"/>
        <s v="1-1447109-2" u="1"/>
        <s v="1-1454979-2" u="1"/>
        <s v="1-1433808-2" u="1"/>
        <s v="1-1452379-1" u="1"/>
        <s v="1-1456096-2" u="1"/>
        <s v="1-1435017-2" u="1"/>
        <s v="1-1455016-2" u="1"/>
        <s v="1-1429550-2" u="1"/>
        <s v="1-1432379-9" u="1"/>
        <s v="1-1441531-2" u="1"/>
        <s v="1-1448489-1" u="1"/>
        <s v="10-1445879-4" u="1"/>
        <s v="1-1430179-6" u="1"/>
        <s v="1-1435940-4" u="1"/>
        <s v="1-1443016-2" u="1"/>
        <s v="1-1454879-3" u="1"/>
        <s v="10-1433347-3" u="1"/>
        <s v="12-1440202-4" u="1"/>
        <s v="1-1433908-2" u="1"/>
        <s v="1-1452279-2" u="1"/>
        <s v="1-1453707-3" u="1"/>
        <s v="1-1435117-2" u="1"/>
        <s v="1-1446796-3" u="1"/>
        <s v="1-1446996-2" u="1"/>
        <s v="1-1429726-3" u="1"/>
        <s v="1-1441123-5" u="1"/>
        <s v="1-1444196-2" u="1"/>
        <s v="1-1445732-2" u="1"/>
        <s v="1-1445916-2" u="1"/>
        <s v="1-1448389-2" u="1"/>
        <s v="12-1434071-7" u="1"/>
        <s v="1-1438897-3" u="1"/>
        <s v="1-1447217-2" u="1"/>
        <s v="10-1433335-3" u="1"/>
        <s v="10-1452522-2" u="1"/>
        <s v="1-1433732-2" u="1"/>
        <s v="1-1433808-3" u="1"/>
        <s v="1-1437633-3" u="1"/>
        <s v="1-1453823-2" u="1"/>
        <s v="1-1456296-2" u="1"/>
        <s v="1-1435125-2" u="1"/>
        <s v="1-1455124-2" u="1"/>
        <s v="1-1429550-3" u="1"/>
        <s v="1-1429750-2" u="1"/>
        <s v="1-1429842-2" u="1"/>
        <s v="1-1440087-3" u="1"/>
        <s v="1-1441731-2" u="1"/>
        <s v="1-1444296-2" u="1"/>
        <s v="1-1443216-2" u="1"/>
        <s v="1-1443232-1" u="1"/>
        <s v="1-1447041-2" u="1"/>
        <s v="10-1435639-2" u="1"/>
        <s v="10-1440998-3" u="1"/>
        <s v="13-1447030-2" u="1"/>
        <s v="1-1433832-2" u="1"/>
        <s v="1-1452295-2" u="1"/>
        <s v="1-1453831-2" u="1"/>
        <s v="1-1453923-2" u="1"/>
        <s v="1-1456396-2" u="1"/>
        <s v="1-1431016-3" u="1"/>
        <s v="1-1431124-2" u="1"/>
        <s v="1-1439218-3" u="1"/>
        <s v="1-1439326-2" u="1"/>
        <s v="1-1439418-2" u="1"/>
        <s v="1-1455224-2" u="1"/>
        <s v="1-1429542-4" u="1"/>
        <s v="1-1429726-4" u="1"/>
        <s v="1-1429850-2" u="1"/>
        <s v="1-1429926-3" u="1"/>
        <s v="1-1429942-2" u="1"/>
        <s v="1-1441123-6" u="1"/>
        <s v="1-1448389-3" u="1"/>
        <s v="1-1443316-2" u="1"/>
        <s v="1-1447325-2" u="1"/>
        <s v="1-1447709-1" u="1"/>
        <s v="1-1440728-12" u="1"/>
        <s v="12-1444722-1" u="1"/>
        <s v="1-1432196-3" u="1"/>
        <s v="1-1433808-4" u="1"/>
        <s v="1-1452195-3" u="1"/>
        <s v="1-1453931-2" u="1"/>
        <s v="1-1437654-16" u="1"/>
        <s v="1-1435417-2" u="1"/>
        <s v="1-1435525-1" u="1"/>
        <s v="1-1439518-2" u="1"/>
        <s v="1-1455124-3" u="1"/>
        <s v="1-1455140-2" u="1"/>
        <s v="1-1429550-4" u="1"/>
        <s v="1-1444496-2" u="1"/>
        <s v="1-1445924-3" u="1"/>
        <s v="1-1421313-28" u="1"/>
        <s v="1-1443416-2" u="1"/>
        <s v="1-1447225-3" u="1"/>
        <s v="10-1438467-2" u="1"/>
        <s v="10-1454510-2" u="1"/>
        <s v="11-1439307-2" u="1"/>
        <s v="11-1445694-2" u="1"/>
        <s v="1-1432296-3" u="1"/>
        <s v="1-1452679-2" u="1"/>
        <s v="1-1453907-4" u="1"/>
        <s v="1-1435425-2" u="1"/>
        <s v="1-1455224-3" u="1"/>
        <s v="1-1448389-4" u="1"/>
        <s v="1-1448697-2" u="1"/>
        <s v="1-1430057-11" u="1"/>
        <s v="1-1431907-8" u="1"/>
        <s v="1-1443316-3" u="1"/>
        <s v="1-1443332-2" u="1"/>
        <s v="1-1447617-2" u="1"/>
        <s v="1-1440728-22" u="1"/>
        <s v="1-1433808-5" u="1"/>
        <s v="1-1452195-4" u="1"/>
        <s v="1-1456696-2" u="1"/>
        <s v="10-1451049-5" u="1"/>
        <s v="1-1431332-2" u="1"/>
        <s v="1-1431424-2" u="1"/>
        <s v="1-1435141-3" u="1"/>
        <s v="1-1439242-3" u="1"/>
        <s v="1-1429550-5" u="1"/>
        <s v="1-1448797-2" u="1"/>
        <s v="1-1443216-4" u="1"/>
        <s v="1-1443432-2" u="1"/>
        <s v="1-1443524-2" u="1"/>
        <s v="1-1447609-3" u="1"/>
        <s v="12-1447414-3" u="1"/>
        <s v="1-1445009-2" u="1"/>
        <s v="1-1445117-1" u="1"/>
        <s v="1-1452695-2" u="1"/>
        <s v="1-1446206-14" u="1"/>
        <s v="1-1439526-3" u="1"/>
        <s v="1-1450095-1" u="1"/>
        <s v="1-1451431-2" u="1"/>
        <s v="1-1451523-2" u="1"/>
        <s v="1-1455224-4" u="1"/>
        <s v="1-1455624-2" u="1"/>
        <s v="1-1433009-2" u="1"/>
        <s v="1-1444796-2" u="1"/>
        <s v="1-1448389-5" u="1"/>
        <s v="1-1453008-2" u="1"/>
        <s v="1-1443624-2" u="1"/>
        <s v="1-1446189-2" u="1"/>
        <s v="1-1432796-2" u="1"/>
        <s v="1-1433808-6" u="1"/>
        <s v="1-1436897-2" u="1"/>
        <s v="1-1445017-2" u="1"/>
        <s v="1-1452195-5" u="1"/>
        <s v="1-1452979-2" u="1"/>
        <s v="12-1444185-3" u="1"/>
        <s v="1-1431516-3" u="1"/>
        <s v="1-1434097-2" u="1"/>
        <s v="1-1439550-2" u="1"/>
        <s v="1-1454188-2" u="1"/>
        <s v="1-1455124-5" u="1"/>
        <s v="1-1455216-5" u="1"/>
        <s v="1-1455524-3" u="1"/>
        <s v="1-1455724-2" u="1"/>
        <s v="1-1429550-6" u="1"/>
        <s v="1-1433109-2" u="1"/>
        <s v="1-1443524-3" u="1"/>
        <s v="1-1443632-2" u="1"/>
        <s v="1-1446289-2" u="1"/>
        <s v="1-1440820-14" u="1"/>
        <s v="1-1429143-1" u="1"/>
        <s v="1-1452695-3" u="1"/>
        <s v="1-1456996-2" u="1"/>
        <s v="1-1434289-2" u="1"/>
        <s v="1-1435441-3" u="1"/>
        <s v="1-1435917-2" u="1"/>
        <s v="1-1438498-1" u="1"/>
        <s v="1-1455224-5" u="1"/>
        <s v="1-1433025-2" u="1"/>
        <s v="1-1433317-1" u="1"/>
        <s v="1-1440987-2" u="1"/>
        <s v="1-1442196-2" u="1"/>
        <s v="1-1446189-3" u="1"/>
        <s v="1-1447925-2" u="1"/>
        <s v="1-1433808-7" u="1"/>
        <s v="11-1456213-2" u="1"/>
        <s v="12-1441601-2" u="1"/>
        <s v="1-1431516-4" u="1"/>
        <s v="1-1434389-2" u="1"/>
        <s v="1-1435741-2" u="1"/>
        <s v="1-1435925-2" u="1"/>
        <s v="1-1438598-1" u="1"/>
        <s v="1-1454388-2" u="1"/>
        <s v="1-1455816-3" u="1"/>
        <s v="12-1431970-14" u="1"/>
        <s v="1-1433109-3" u="1"/>
        <s v="1-1453308-2" u="1"/>
        <s v="1-1423925-2" u="1"/>
        <s v="1-1443832-2" u="1"/>
        <s v="1-1447609-5" u="1"/>
        <s v="1-1447917-3" u="1"/>
        <s v="13-1438934-2" u="1"/>
        <s v="1-1445209-3" u="1"/>
        <s v="1-1445225-2" u="1"/>
        <s v="1-1445409-2" u="1"/>
        <s v="1-1452695-4" u="1"/>
        <s v="10-1435638-2" u="1"/>
        <s v="1-1434197-3" u="1"/>
        <s v="1-1451831-2" u="1"/>
        <s v="1-1455224-6" u="1"/>
        <s v="1-1433117-3" u="1"/>
        <s v="1-1433225-2" u="1"/>
        <s v="1-1453024-3" u="1"/>
        <s v="1-1453224-2" u="1"/>
        <s v="1-1443916-3" u="1"/>
        <s v="1-1446389-3" u="1"/>
        <s v="1-1447541-4" u="1"/>
        <s v="12-1435918-5" u="1"/>
        <s v="1-1429319-3" u="1"/>
        <s v="1-1445325-2" u="1"/>
        <s v="1-1445417-2" u="1"/>
        <s v="1-1449318-3" u="1"/>
        <s v="1-1452195-7" u="1"/>
        <s v="10-1436546-2" u="1"/>
        <s v="1-1430396-2" u="1"/>
        <s v="1-1431516-5" u="1"/>
        <s v="1-1435541-4" u="1"/>
        <s v="1-1454588-2" u="1"/>
        <s v="12-1431970-22" u="1"/>
        <s v="12-1435918-27" u="1"/>
        <s v="1-1433325-2" u="1"/>
        <s v="1-1433509-2" u="1"/>
        <s v="1-1433709-1" u="1"/>
        <s v="1-1440979-4" u="1"/>
        <s v="1-1446397-3" u="1"/>
        <s v="1-1445317-3" u="1"/>
        <s v="1-1445609-2" u="1"/>
        <s v="1-1449434-2" u="1"/>
        <s v="12-1448465-2" u="1"/>
        <s v="1-1434197-4" u="1"/>
        <s v="1-1434597-2" u="1"/>
        <s v="1-1434689-2" u="1"/>
        <s v="1-1454488-3" u="1"/>
        <s v="1-1454688-2" u="1"/>
        <s v="1-1455224-7" u="1"/>
        <s v="1-1433241-2" u="1"/>
        <s v="1-1433517-2" u="1"/>
        <s v="1-1437418-3" u="1"/>
        <s v="1-1437434-2" u="1"/>
        <s v="1-1453516-2" u="1"/>
        <s v="1-1442596-2" u="1"/>
        <s v="1-1446097-5" u="1"/>
        <s v="1-1446189-5" u="1"/>
        <s v="1-1446497-3" u="1"/>
        <s v="1-1441240-2" u="1"/>
        <s v="1-1445341-2" u="1"/>
        <s v="1-1449350-2" u="1"/>
        <s v="1-1449918-1" u="1"/>
        <s v="11-1445681-2" u="1"/>
        <s v="11-1445773-2" u="1"/>
        <s v="1-1431516-6" u="1"/>
        <s v="1-1435941-3" u="1"/>
        <s v="1-1433525-2" u="1"/>
        <s v="1-1437350-2" u="1"/>
        <s v="1-1437442-2" u="1"/>
        <s v="1-1437718-2" u="1"/>
        <s v="1-1437734-1" u="1"/>
        <s v="1-1446489-4" u="1"/>
        <s v="1-1446797-2" u="1"/>
        <s v="1-1441416-3" u="1"/>
        <s v="1-1449142-4" u="1"/>
        <s v="1-1449434-3" u="1"/>
        <s v="1-1434197-5" u="1"/>
        <s v="1-1443009-2" u="1"/>
        <s v="1-1455224-8" u="1"/>
        <s v="1-1428698-7" u="1"/>
        <s v="1-1432089-2" u="1"/>
        <s v="1-1433441-2" u="1"/>
        <s v="1-1433717-2" u="1"/>
        <s v="1-1437742-1" u="1"/>
        <s v="1-1453008-6" u="1"/>
        <s v="1-1453624-2" u="1"/>
        <s v="1-1453808-2" u="1"/>
        <s v="1-1456097-2" u="1"/>
        <s v="1-1456297-1" u="1"/>
        <s v="1-1435018-2" u="1"/>
        <s v="1-1446189-6" u="1"/>
        <s v="1-1429719-3" u="1"/>
        <s v="1-1429735-2" u="1"/>
        <s v="1-1444189-2" u="1"/>
        <s v="10-1439534-2" u="1"/>
        <s v="1-1434897-2" u="1"/>
        <s v="1-1435941-4" u="1"/>
        <s v="1-1443033-1" u="1"/>
        <s v="1-1433817-2" u="1"/>
        <s v="1-1437642-2" u="1"/>
        <s v="1-1452188-2" u="1"/>
        <s v="1-1453908-2" u="1"/>
        <s v="1-1435318-1" u="1"/>
        <s v="1-1439127-2" u="1"/>
        <s v="1-1442896-2" u="1"/>
        <s v="1-1455209-2" u="1"/>
        <s v="1-1432386-10" u="1"/>
        <s v="1-1440096-2" u="1"/>
        <s v="1-1444197-2" u="1"/>
        <s v="1-1444397-1" u="1"/>
        <s v="1-1445317-5" u="1"/>
        <s v="1-1449742-2" u="1"/>
        <s v="1-1434197-6" u="1"/>
        <s v="1-1434689-4" u="1"/>
        <s v="1-1447034-2" u="1"/>
        <s v="1-1455224-9" u="1"/>
        <s v="1-1432197-2" u="1"/>
        <s v="1-1433825-2" u="1"/>
        <s v="1-1453824-2" u="1"/>
        <s v="1-1453916-2" u="1"/>
        <s v="1-1456497-1" u="1"/>
        <s v="1-1446189-7" u="1"/>
        <s v="1-1455017-3" u="1"/>
        <s v="1-1436415-14" u="1"/>
        <s v="1-1429551-3" u="1"/>
        <s v="1-1429843-2" u="1"/>
        <s v="1-1429935-2" u="1"/>
        <s v="1-1444297-2" u="1"/>
        <s v="1-1445741-2" u="1"/>
        <s v="1-1445909-3" u="1"/>
        <s v="1-1449842-2" u="1"/>
        <s v="1-1435941-5" u="1"/>
        <s v="1-1438998-3" u="1"/>
        <s v="1-1443309-2" u="1"/>
        <s v="1-1432389-2" u="1"/>
        <s v="1-1452296-2" u="1"/>
        <s v="1-1452388-2" u="1"/>
        <s v="1-1431017-3" u="1"/>
        <s v="1-1431309-2" u="1"/>
        <s v="1-1435042-2" u="1"/>
        <s v="1-1435134-2" u="1"/>
        <s v="1-1435150-1" u="1"/>
        <s v="1-1439235-2" u="1"/>
        <s v="1-1439327-2" u="1"/>
        <s v="1-1451108-3" u="1"/>
        <s v="1-1455041-2" u="1"/>
        <s v="1-1455133-2" u="1"/>
        <s v="1-1455409-2" u="1"/>
        <s v="1-1429943-2" u="1"/>
        <s v="1-1444489-2" u="1"/>
        <s v="1-1449542-4" u="1"/>
        <s v="1-1449834-3" u="1"/>
        <s v="1-1430896-3" u="1"/>
        <s v="1-1434197-7" u="1"/>
        <s v="1-1434689-5" u="1"/>
        <s v="1-1443209-3" u="1"/>
        <s v="1-1447034-3" u="1"/>
        <s v="1-1447142-2" u="1"/>
        <s v="1-1447234-2" u="1"/>
        <s v="11-1440840-2" u="1"/>
        <s v="11-1442864-2" u="1"/>
        <s v="1-1437850-2" u="1"/>
        <s v="1-1452196-3" u="1"/>
        <s v="1-1452688-1" u="1"/>
        <s v="1-1453008-8" u="1"/>
        <s v="1-1453640-3" u="1"/>
        <s v="1-1453840-2" u="1"/>
        <s v="1-1437655-16" u="1"/>
        <s v="1-1437747-16" u="1"/>
        <s v="1-1431025-3" u="1"/>
        <s v="1-1431225-2" u="1"/>
        <s v="1-1435050-2" u="1"/>
        <s v="1-1435418-2" u="1"/>
        <s v="1-1446189-8" u="1"/>
        <s v="1-1455017-4" u="1"/>
        <s v="1-1455217-3" u="1"/>
        <s v="1-1455233-2" u="1"/>
        <s v="1-1429951-2" u="1"/>
        <s v="1-1445925-3" u="1"/>
        <s v="1-1435941-6" u="1"/>
        <s v="1-1443233-2" u="1"/>
        <s v="1-1432497-2" u="1"/>
        <s v="1-1437842-3" u="1"/>
        <s v="11-1456299-1" u="1"/>
        <s v="1-1431141-2" u="1"/>
        <s v="1-1435150-2" u="1"/>
        <s v="1-1435518-2" u="1"/>
        <s v="1-1451216-3" u="1"/>
        <s v="1-1429943-3" u="1"/>
        <s v="1-1440696-1" u="1"/>
        <s v="1-1444197-4" u="1"/>
        <s v="1-1444689-2" u="1"/>
        <s v="1-1434197-8" u="1"/>
        <s v="1-1443041-3" u="1"/>
        <s v="1-1447342-2" u="1"/>
        <s v="1-1447618-2" u="1"/>
        <s v="10-1435121-4" u="1"/>
        <s v="1-1432797-1" u="1"/>
        <s v="1-1453008-9" u="1"/>
        <s v="1-1456697-2" u="1"/>
        <s v="11-1433236-2" u="1"/>
        <s v="1-1435142-3" u="1"/>
        <s v="1-1446189-9" u="1"/>
        <s v="1-1451240-2" u="1"/>
        <s v="1-1455017-5" u="1"/>
        <s v="1-1429919-5" u="1"/>
        <s v="1-1444589-3" u="1"/>
        <s v="1-1444789-2" u="1"/>
        <s v="1-1443633-1" u="1"/>
        <s v="1-1447242-3" u="1"/>
        <s v="11-1445772-2" u="1"/>
        <s v="12-1446320-3" u="1"/>
        <s v="1-1436798-2" u="1"/>
        <s v="1-1449035-1" u="1"/>
        <s v="1-1452696-2" u="1"/>
        <s v="1-1431341-2" u="1"/>
        <s v="1-1435334-3" u="1"/>
        <s v="1-1451416-3" u="1"/>
        <s v="1-1455241-3" u="1"/>
        <s v="1-1455533-2" u="1"/>
        <s v="1-1455809-2" u="1"/>
        <s v="1-1429943-4" u="1"/>
        <s v="1-1440588-3" u="1"/>
        <s v="1-1440788-2" u="1"/>
        <s v="1-1434197-9" u="1"/>
        <s v="1-1443641-1" u="1"/>
        <s v="1-1443733-1" u="1"/>
        <s v="1-1443809-2" u="1"/>
        <s v="1-1447034-5" u="1"/>
        <s v="1-1447542-2" u="1"/>
        <s v="1-1447742-1" u="1"/>
        <s v="1-1452796-2" u="1"/>
        <s v="11-1456063-2" u="1"/>
        <s v="1-1430089-2" u="1"/>
        <s v="1-1431441-2" u="1"/>
        <s v="1-1435434-3" u="1"/>
        <s v="1-1450088-2" u="1"/>
        <s v="1-1451716-2" u="1"/>
        <s v="1-1455817-2" u="1"/>
        <s v="1-1444789-3" u="1"/>
        <s v="1-1453017-2" u="1"/>
        <s v="1-1438264-12" u="1"/>
        <s v="1-1450153-12" u="1"/>
        <s v="1-1442189-2" u="1"/>
        <s v="1-1443417-4" u="1"/>
        <s v="1-1447842-1" u="1"/>
        <s v="1-1429128-2" u="1"/>
        <s v="1-1432897-2" u="1"/>
        <s v="1-1452988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47742-2" u="1"/>
        <s v="1-1433841-5" u="1"/>
        <s v="1-1445034-2" u="1"/>
        <s v="1-1452888-3" u="1"/>
        <s v="1-1452996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51824-2" u="1"/>
        <s v="1-1455233-5" u="1"/>
        <s v="1-1455433-4" u="1"/>
        <s v="1-1444789-4" u="1"/>
        <s v="1-1444989-3" u="1"/>
        <s v="1-1453033-2" u="1"/>
        <s v="1-1453309-2" u="1"/>
        <s v="1-1442389-2" u="1"/>
        <s v="1-1447442-4" u="1"/>
        <s v="1-1447918-3" u="1"/>
        <s v="1-1425227-2" u="1"/>
        <s v="1-1445134-2" u="1"/>
        <s v="1-1449527-1" u="1"/>
        <s v="1-1430389-2" u="1"/>
        <s v="1-1435550-3" u="1"/>
        <s v="1-1439943-2" u="1"/>
        <s v="1-1450096-3" u="1"/>
        <s v="1-1454089-4" u="1"/>
        <s v="1-1455533-4" u="1"/>
        <s v="1-1455841-2" u="1"/>
        <s v="1-1455933-2" u="1"/>
        <s v="1-1433134-2" u="1"/>
        <s v="1-1433318-2" u="1"/>
        <s v="1-1440988-3" u="1"/>
        <s v="1-1444997-3" u="1"/>
        <s v="1-1453409-2" u="1"/>
        <s v="1-1447942-2" u="1"/>
        <s v="1-1441133-2" u="1"/>
        <s v="1-1445142-2" u="1"/>
        <s v="1-1445326-2" u="1"/>
        <s v="1-1451640-3" u="1"/>
        <s v="1-1451824-3" u="1"/>
        <s v="1-1454589-2" u="1"/>
        <s v="1-1437427-2" u="1"/>
        <s v="1-1444789-5" u="1"/>
        <s v="1-1453233-2" u="1"/>
        <s v="1-1442297-3" u="1"/>
        <s v="1-1441233-2" u="1"/>
        <s v="1-1441509-2" u="1"/>
        <s v="1-1449435-2" u="1"/>
        <s v="11-1445795-2" u="1"/>
        <s v="12-1451994-3" u="1"/>
        <s v="1-1430589-2" u="1"/>
        <s v="1-1435842-3" u="1"/>
        <s v="1-1454089-5" u="1"/>
        <s v="1-1454489-3" u="1"/>
        <s v="1-1455533-5" u="1"/>
        <s v="11-1456298-1" u="1"/>
        <s v="1-1429943-7" u="1"/>
        <s v="1-1433318-3" u="1"/>
        <s v="1-1433518-2" u="1"/>
        <s v="1-1437435-2" u="1"/>
        <s v="1-1440988-4" u="1"/>
        <s v="1-1432139-12" u="1"/>
        <s v="1-1441241-2" u="1"/>
        <s v="1-1441333-2" u="1"/>
        <s v="1-1441517-2" u="1"/>
        <s v="1-1449735-1" u="1"/>
        <s v="12-1448155-4" u="1"/>
        <s v="1-1435942-3" u="1"/>
        <s v="1-1451824-4" u="1"/>
        <s v="1-1454989-1" u="1"/>
        <s v="1-1455741-4" u="1"/>
        <s v="1-1455833-4" u="1"/>
        <s v="1-1433434-2" u="1"/>
        <s v="1-1433618-2" u="1"/>
        <s v="1-1444789-6" u="1"/>
        <s v="1-1439036-1" u="1"/>
        <s v="1-1442789-2" u="1"/>
        <s v="1-1429728-2" u="1"/>
        <s v="1-1441433-2" u="1"/>
        <s v="1-1445442-2" u="1"/>
        <s v="1-1449835-1" u="1"/>
        <s v="12-1429356-3" u="1"/>
        <s v="1-1430897-1" u="1"/>
        <s v="1-1450496-3" u="1"/>
        <s v="1-1454889-2" u="1"/>
        <s v="1-1455533-6" u="1"/>
        <s v="10-1448019-2" u="1"/>
        <s v="1-1433318-4" u="1"/>
        <s v="1-1440988-5" u="1"/>
        <s v="1-1456098-2" u="1"/>
        <s v="13-1440097-2" u="1"/>
        <s v="1-1432139-22" u="1"/>
        <s v="1-1432379-10" u="1"/>
        <s v="1-1429552-2" u="1"/>
        <s v="1-1445726-2" u="1"/>
        <s v="1-1445834-1" u="1"/>
        <s v="1-1430889-2" u="1"/>
        <s v="1-1435942-4" u="1"/>
        <s v="1-1433634-2" u="1"/>
        <s v="1-1433818-2" u="1"/>
        <s v="1-1437443-3" u="1"/>
        <s v="1-1437643-2" u="1"/>
        <s v="1-1453541-2" u="1"/>
        <s v="1-1453909-2" u="1"/>
        <s v="1-1442989-2" u="1"/>
        <s v="1-1429728-3" u="1"/>
        <s v="1-1445934-1" u="1"/>
        <s v="1-1448299-2" u="1"/>
        <s v="1-1430789-3" u="1"/>
        <s v="12-1444182-3" u="1"/>
        <s v="13-1447154-2" u="1"/>
        <s v="1-1437635-3" u="1"/>
        <s v="1-1437743-2" u="1"/>
        <s v="1-1440988-6" u="1"/>
        <s v="1-1451409-1" u="1"/>
        <s v="1-1455126-2" u="1"/>
        <s v="1-1432139-32" u="1"/>
        <s v="1-1432379-20" u="1"/>
        <s v="1-1429828-3" u="1"/>
        <s v="12-1435691-4" u="1"/>
        <s v="1-1430997-2" u="1"/>
        <s v="1-1435942-5" u="1"/>
        <s v="1-1443034-2" u="1"/>
        <s v="1-1455741-6" u="1"/>
        <s v="10-1452622-2" u="1"/>
        <s v="1-1433742-2" u="1"/>
        <s v="1-1433834-2" u="1"/>
        <s v="1-1437427-5" u="1"/>
        <s v="1-1437843-2" u="1"/>
        <s v="1-1453833-2" u="1"/>
        <s v="1-1439236-2" u="1"/>
        <s v="1-1442897-3" u="1"/>
        <s v="1-1441741-2" u="1"/>
        <s v="1-1447235-2" u="1"/>
        <s v="10-1435647-2" u="1"/>
        <s v="12-1443222-4" u="1"/>
        <s v="12-1444250-3" u="1"/>
        <s v="1-1437743-3" u="1"/>
        <s v="1-1453841-2" u="1"/>
        <s v="1-1435051-2" u="1"/>
        <s v="1-1451333-1" u="1"/>
        <s v="1-1455050-2" u="1"/>
        <s v="1-1452738-12" u="1"/>
        <s v="1-1435942-6" u="1"/>
        <s v="1-1447151-2" u="1"/>
        <s v="10-1434315-4" u="1"/>
        <s v="12-1445250-3" u="1"/>
        <s v="1-1453941-2" u="1"/>
        <s v="1-1431142-2" u="1"/>
        <s v="1-1435427-2" u="1"/>
        <s v="1-1455134-3" u="1"/>
        <s v="1-1436464-22" u="1"/>
        <s v="1-1452858-11" u="1"/>
        <s v="1-1440589-2" u="1"/>
        <s v="1-1443242-2" u="1"/>
        <s v="1-1440818-13" u="1"/>
        <s v="10-1435715-2" u="1"/>
        <s v="11-1445794-2" u="1"/>
        <s v="1-1433867-15" u="1"/>
        <s v="1-1431442-1" u="1"/>
        <s v="1-1435527-2" u="1"/>
        <s v="1-1439260-2" u="1"/>
        <s v="1-1439352-2" u="1"/>
        <s v="1-1451609-2" u="1"/>
        <s v="1-1455326-3" u="1"/>
        <s v="1-1440689-2" u="1"/>
        <s v="1-1448799-2" u="1"/>
        <s v="1-1443526-2" u="1"/>
        <s v="1-1443634-1" u="1"/>
        <s v="1-1447627-2" u="1"/>
        <s v="11-1445690-2" u="1"/>
        <s v="1-1435335-3" u="1"/>
        <s v="1-1435351-2" u="1"/>
        <s v="1-1435427-3" u="1"/>
        <s v="1-1455350-2" u="1"/>
        <s v="1-1455626-2" u="1"/>
        <s v="1-1452690-11" u="1"/>
        <s v="1-1429728-6" u="1"/>
        <s v="1-1443534-2" u="1"/>
        <s v="13-1447177-2" u="1"/>
        <s v="1-1431626-2" u="1"/>
        <s v="1-1439352-3" u="1"/>
        <s v="1-1439552-2" u="1"/>
        <s v="1-1454098-2" u="1"/>
        <s v="1-1455050-4" u="1"/>
        <s v="1-1433019-2" u="1"/>
        <s v="1-1448799-3" u="1"/>
        <s v="1-1448999-2" u="1"/>
        <s v="1-1450338-12" u="1"/>
        <s v="1-1447351-3" u="1"/>
        <s v="1-1447535-3" u="1"/>
        <s v="1-1447919-2" u="1"/>
        <s v="1-1445227-1" u="1"/>
        <s v="1-1449128-2" u="1"/>
        <s v="13-1451696-3" u="1"/>
        <s v="1-1435427-4" u="1"/>
        <s v="1-1435551-2" u="1"/>
        <s v="1-1451325-4" u="1"/>
        <s v="1-1451541-2" u="1"/>
        <s v="1-1454198-2" u="1"/>
        <s v="1-1435376-15" u="1"/>
        <s v="1-1452690-21" u="1"/>
        <s v="1-1429728-7" u="1"/>
        <s v="1-1443734-2" u="1"/>
        <s v="1-1446299-2" u="1"/>
        <s v="11-1456417-2" u="1"/>
        <s v="13-1445021-3" u="1"/>
        <s v="1-1439352-4" u="1"/>
        <s v="1-1450089-3" u="1"/>
        <s v="1-1451825-2" u="1"/>
        <s v="10-1441005-2" u="1"/>
        <s v="1-1429752-6" u="1"/>
        <s v="1-1433035-2" u="1"/>
        <s v="1-1433127-2" u="1"/>
        <s v="1-1440689-4" u="1"/>
        <s v="1-1423927-2" u="1"/>
        <s v="1-1446199-3" u="1"/>
        <s v="1-1447551-3" u="1"/>
        <s v="1-1441326-1" u="1"/>
        <s v="1-1445135-2" u="1"/>
        <s v="1-1445319-2" u="1"/>
        <s v="1-1452989-3" u="1"/>
        <s v="10-1434370-2" u="1"/>
        <s v="12-1444353-3" u="1"/>
        <s v="13-1451872-2" u="1"/>
        <s v="1-1431726-3" u="1"/>
        <s v="1-1434399-2" u="1"/>
        <s v="1-1435427-5" u="1"/>
        <s v="1-1435551-3" u="1"/>
        <s v="1-1435751-2" u="1"/>
        <s v="1-1439728-4" u="1"/>
        <s v="1-1455626-4" u="1"/>
        <s v="1-1429728-8" u="1"/>
        <s v="1-1433119-3" u="1"/>
        <s v="1-1438749-12" u="1"/>
        <s v="1-1443842-2" u="1"/>
        <s v="1-1446499-2" u="1"/>
        <s v="1-1429061-2" u="1"/>
        <s v="1-1449152-2" u="1"/>
        <s v="11-1437222-2" u="1"/>
        <s v="12-1446749-2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40689-5" u="1"/>
        <s v="1-1453618-1" u="1"/>
        <s v="1-1446199-4" u="1"/>
        <s v="1-1449528-2" u="1"/>
        <s v="12-1445817-2" u="1"/>
        <s v="1-1435427-6" u="1"/>
        <s v="1-1435551-4" u="1"/>
        <s v="1-1439852-3" u="1"/>
        <s v="1-1455950-2" u="1"/>
        <s v="1-1429522-11" u="1"/>
        <s v="1-1429728-9" u="1"/>
        <s v="1-1433427-2" u="1"/>
        <s v="1-1433519-2" u="1"/>
        <s v="1-1453626-1" u="1"/>
        <s v="1-1453718-1" u="1"/>
        <s v="1-1429045-4" u="1"/>
        <s v="1-1449152-3" u="1"/>
        <s v="10-1435806-2" u="1"/>
        <s v="12-1448381-2" u="1"/>
        <s v="1-1434699-2" u="1"/>
        <s v="1-1439352-6" u="1"/>
        <s v="1-1451733-4" u="1"/>
        <s v="1-1451933-3" u="1"/>
        <s v="1-1455763-16" u="1"/>
        <s v="11-1433337-2" u="1"/>
        <s v="1-1433435-2" u="1"/>
        <s v="1-1437444-2" u="1"/>
        <s v="1-1440689-6" u="1"/>
        <s v="1-1453034-4" u="1"/>
        <s v="1-1453434-2" u="1"/>
        <s v="1-1453526-2" u="1"/>
        <s v="1-1446199-5" u="1"/>
        <s v="1-1441434-2" u="1"/>
        <s v="1-1449544-2" u="1"/>
        <s v="1-1452690-19" u="1"/>
        <s v="1-1434799-2" u="1"/>
        <s v="1-1435551-5" u="1"/>
        <s v="1-1451325-7" u="1"/>
        <s v="1-1437744-1" u="1"/>
        <s v="1-1453350-2" u="1"/>
        <s v="1-1456099-2" u="1"/>
        <s v="1-1455019-2" u="1"/>
        <s v="1-1429045-5" u="1"/>
        <s v="1-1429553-2" u="1"/>
        <s v="1-1429829-2" u="1"/>
        <s v="1-1441334-3" u="1"/>
        <s v="1-1445635-2" u="1"/>
        <s v="1-1449628-3" u="1"/>
        <s v="1-1449828-2" u="1"/>
        <s v="1-1439352-7" u="1"/>
        <s v="1-1448409-14" u="1"/>
        <s v="13-1447176-2" u="1"/>
        <s v="1-1432099-2" u="1"/>
        <s v="1-1433451-2" u="1"/>
        <s v="1-1433635-2" u="1"/>
        <s v="1-1437460-2" u="1"/>
        <s v="1-1437644-2" u="1"/>
        <s v="1-1440689-7" u="1"/>
        <s v="1-1453250-3" u="1"/>
        <s v="1-1455119-2" u="1"/>
        <s v="1-1436377-11" u="1"/>
        <s v="1-1429529-4" u="1"/>
        <s v="1-1429929-2" u="1"/>
        <s v="1-1441250-3" u="1"/>
        <s v="1-1441450-2" u="1"/>
        <s v="1-1445827-2" u="1"/>
        <s v="1-1435551-6" u="1"/>
        <s v="1-1447128-2" u="1"/>
        <s v="10-1433381-2" u="1"/>
        <s v="11-1436337-2" u="1"/>
        <s v="1-1432199-2" u="1"/>
        <s v="1-1433627-3" u="1"/>
        <s v="1-1433827-2" u="1"/>
        <s v="1-1437652-2" u="1"/>
        <s v="1-1453826-2" u="1"/>
        <s v="1-1453918-2" u="1"/>
        <s v="1-1455127-2" u="1"/>
        <s v="1-1455219-2" u="1"/>
        <s v="1-1429045-6" u="1"/>
        <s v="1-1444299-2" u="1"/>
        <s v="1-1449152-5" u="1"/>
        <s v="1-1449628-4" u="1"/>
        <s v="1-1432299-2" u="1"/>
        <s v="1-1433819-3" u="1"/>
        <s v="1-1433835-2" u="1"/>
        <s v="1-1437352-4" u="1"/>
        <s v="1-1437628-4" u="1"/>
        <s v="1-1437644-3" u="1"/>
        <s v="1-1440689-8" u="1"/>
        <s v="1-1453834-2" u="1"/>
        <s v="1-1456199-3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29290-16" u="1"/>
        <s v="1-1443027-3" u="1"/>
        <s v="1-1443227-2" u="1"/>
        <s v="1-1443319-2" u="1"/>
        <s v="1-1447144-2" u="1"/>
        <s v="1-1451325-9" u="1"/>
        <s v="11-1456420-1" u="1"/>
        <s v="13-1451871-2" u="1"/>
        <s v="1-1433827-3" u="1"/>
        <s v="1-1453934-2" u="1"/>
        <s v="1-1435528-1" u="1"/>
        <s v="1-1442798-4" u="1"/>
        <s v="1-1455143-2" u="1"/>
        <s v="1-1429845-3" u="1"/>
        <s v="1-1445819-4" u="1"/>
        <s v="1-1445851-2" u="1"/>
        <s v="1-1449860-2" u="1"/>
        <s v="1-1435709-10" u="1"/>
        <s v="1-1443127-3" u="1"/>
        <s v="1-1443527-1" u="1"/>
        <s v="10-1433421-3" u="1"/>
        <s v="12-1446472-2" u="1"/>
        <s v="1-1432499-2" u="1"/>
        <s v="1-1437860-2" u="1"/>
        <s v="1-1440689-9" u="1"/>
        <s v="1-1452298-3" u="1"/>
        <s v="1-1452698-1" u="1"/>
        <s v="10-1430388-3" u="1"/>
        <s v="1-1451234-2" u="1"/>
        <s v="1-1455043-3" u="1"/>
        <s v="1-1455119-4" u="1"/>
        <s v="1-1455151-2" u="1"/>
        <s v="1-1429161-6" u="1"/>
        <s v="1-1429529-6" u="1"/>
        <s v="1-1445935-3" u="1"/>
        <s v="1-1429522-19" u="1"/>
        <s v="1-1443151-2" u="1"/>
        <s v="1-1443519-2" u="1"/>
        <s v="1-1444888-10" u="1"/>
        <s v="10-1435633-2" u="1"/>
        <s v="10-1437657-2" u="1"/>
        <s v="10-1454404-4" u="1"/>
        <s v="1-1453950-2" u="1"/>
        <s v="1-1446189-10" u="1"/>
        <s v="1-1431335-2" u="1"/>
        <s v="1-1431427-2" u="1"/>
        <s v="1-1435452-1" u="1"/>
        <s v="1-1435528-2" u="1"/>
        <s v="1-1439537-2" u="1"/>
        <s v="1-1429045-8" u="1"/>
        <s v="1-1441950-2" u="1"/>
        <s v="1-1443051-3" u="1"/>
        <s v="1-1443251-2" u="1"/>
        <s v="1-1443819-1" u="1"/>
        <s v="1-1447428-3" u="1"/>
        <s v="1-1437644-5" u="1"/>
        <s v="1-1452498-3" u="1"/>
        <s v="1-1456799-2" u="1"/>
        <s v="11-1433336-2" u="1"/>
        <s v="13-1422324-2" u="1"/>
        <s v="1-1435152-3" u="1"/>
        <s v="1-1435352-2" u="1"/>
        <s v="1-1451250-2" u="1"/>
        <s v="1-1451434-2" u="1"/>
        <s v="1-1451618-2" u="1"/>
        <s v="1-1455119-5" u="1"/>
        <s v="1-1455519-3" u="1"/>
        <s v="1-1429529-7" u="1"/>
        <s v="1-1440498-3" u="1"/>
        <s v="1-1445935-4" u="1"/>
        <s v="1-1434197-10" u="1"/>
        <s v="1-1443351-2" u="1"/>
        <s v="1-1447728-2" u="1"/>
        <s v="1-1432799-2" u="1"/>
        <s v="1-1452798-2" u="1"/>
        <s v="1-1431535-2" u="1"/>
        <s v="1-1431627-2" u="1"/>
        <s v="1-1435544-2" u="1"/>
        <s v="1-1439445-3" u="1"/>
        <s v="1-1439553-2" u="1"/>
        <s v="1-1439737-2" u="1"/>
        <s v="1-1451718-2" u="1"/>
        <s v="1-1455543-2" u="1"/>
        <s v="1-1429045-9" u="1"/>
        <s v="1-1443727-2" u="1"/>
        <s v="1-1448481-32" u="1"/>
        <s v="12-1447604-3" u="1"/>
        <s v="1-1432899-2" u="1"/>
        <s v="1-1433851-4" u="1"/>
        <s v="1-1437644-6" u="1"/>
        <s v="1-1446113-15" u="1"/>
        <s v="1-1430099-2" u="1"/>
        <s v="1-1435260-3" u="1"/>
        <s v="1-1435552-2" u="1"/>
        <s v="1-1454199-2" u="1"/>
        <s v="1-1429529-8" u="1"/>
        <s v="1-1440898-2" u="1"/>
        <s v="1-1445935-5" u="1"/>
        <s v="1-1447744-2" u="1"/>
        <s v="10-1445896-4" u="1"/>
        <s v="12-1448620-2" u="1"/>
        <s v="1-1449137-2" u="1"/>
        <s v="1-1456899-3" u="1"/>
        <s v="10-1433348-4" u="1"/>
        <s v="10-1434668-2" u="1"/>
        <s v="10-1453639-3" u="1"/>
        <s v="11-1436336-2" u="1"/>
        <s v="13-1451694-3" u="1"/>
        <s v="1-1431551-2" u="1"/>
        <s v="1-1435544-3" u="1"/>
        <s v="1-1451550-2" u="1"/>
        <s v="1-1451826-2" u="1"/>
        <s v="1-1451934-1" u="1"/>
        <s v="1-1454099-3" u="1"/>
        <s v="1-1445213-11" u="1"/>
        <s v="1-1457044-2" u="1"/>
        <s v="1-1423928-2" u="1"/>
        <s v="1-1437644-7" u="1"/>
        <s v="1-1456799-4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5935-6" u="1"/>
        <s v="1-1442399-2" u="1"/>
        <s v="1-1443643-3" u="1"/>
        <s v="1-1425145-2" u="1"/>
        <s v="10-1452803-2" u="1"/>
        <s v="10-1453431-3" u="1"/>
        <s v="1-1431919-3" u="1"/>
        <s v="1-1435544-4" u="1"/>
        <s v="1-1435944-2" u="1"/>
        <s v="1-1450598-1" u="1"/>
        <s v="1-1451918-3" u="1"/>
        <s v="1-1454499-2" u="1"/>
        <s v="1-1433144-2" u="1"/>
        <s v="1-1433328-2" u="1"/>
        <s v="1-1453127-3" u="1"/>
        <s v="1-1447952-2" u="1"/>
        <s v="1-1443696-14" u="1"/>
        <s v="1-1443788-14" u="1"/>
        <s v="1-1421528-1" u="1"/>
        <s v="1-1432899-4" u="1"/>
        <s v="1-1437644-8" u="1"/>
        <s v="1-1441251-1" u="1"/>
        <s v="1-1441419-2" u="1"/>
        <s v="1-1445244-2" u="1"/>
        <s v="13-1448415-2" u="1"/>
        <s v="1-1435260-5" u="1"/>
        <s v="1-1435552-4" u="1"/>
        <s v="1-1435660-3" u="1"/>
        <s v="1-1435752-3" u="1"/>
        <s v="1-1451926-3" u="1"/>
        <s v="1-1454599-2" u="1"/>
        <s v="1-1429761-7" u="1"/>
        <s v="1-1445935-7" u="1"/>
        <s v="1-1453427-2" u="1"/>
        <s v="1-1444888-18" u="1"/>
        <s v="1-1443643-4" u="1"/>
        <s v="1-1429046-4" u="1"/>
        <s v="1-1441243-2" u="1"/>
        <s v="1-1445344-2" u="1"/>
        <s v="1-1445436-2" u="1"/>
        <s v="10-1435908-2" u="1"/>
        <s v="1-1431951-2" u="1"/>
        <s v="1-1435544-5" u="1"/>
        <s v="1-1435728-5" u="1"/>
        <s v="1-1435744-4" u="1"/>
        <s v="1-1451950-2" u="1"/>
        <s v="1-1440008-14" u="1"/>
        <s v="1-1453251-2" u="1"/>
        <s v="1-1443696-24" u="1"/>
        <s v="1-1437644-9" u="1"/>
        <s v="1-1445352-2" u="1"/>
        <s v="1-1430899-1" u="1"/>
        <s v="1-1435552-5" u="1"/>
        <s v="1-1435752-4" u="1"/>
        <s v="1-1454799-2" u="1"/>
        <s v="10-1432679-2" u="1"/>
        <s v="1-1437453-2" u="1"/>
        <s v="1-1445935-8" u="1"/>
        <s v="1-1453443-2" u="1"/>
        <s v="1-1453627-2" u="1"/>
        <s v="1-1453719-2" u="1"/>
        <s v="12-1438144-10" u="1"/>
        <s v="1-1442799-2" u="1"/>
        <s v="1-1443643-5" u="1"/>
        <s v="1-1429046-5" u="1"/>
        <s v="1-1429662-1" u="1"/>
        <s v="1-1441443-2" u="1"/>
        <s v="1-1441719-2" u="1"/>
        <s v="1-1449461-2" u="1"/>
        <s v="1-1449737-2" u="1"/>
        <s v="1-1435544-6" u="1"/>
        <s v="1-1453727-2" u="1"/>
        <s v="1-1441251-3" u="1"/>
        <s v="1-1441451-2" u="1"/>
        <s v="1-1445644-2" u="1"/>
        <s v="1-1435552-6" u="1"/>
        <s v="1-1450698-3" u="1"/>
        <s v="1-1429943-10" u="1"/>
        <s v="1-1433828-2" u="1"/>
        <s v="1-1437453-3" u="1"/>
        <s v="1-1437637-3" u="1"/>
        <s v="1-1445935-9" u="1"/>
        <s v="1-1453827-2" u="1"/>
        <s v="1-1435037-2" u="1"/>
        <s v="1-1443643-6" u="1"/>
        <s v="1-1429046-6" u="1"/>
        <s v="1-1429846-2" u="1"/>
        <s v="1-1445836-2" u="1"/>
        <s v="1-1449645-3" u="1"/>
        <s v="1-1430399-5" u="1"/>
        <s v="1-1435544-7" u="1"/>
        <s v="1-1443036-2" u="1"/>
        <s v="1-1447137-2" u="1"/>
        <s v="1-1447229-2" u="1"/>
        <s v="10-1434667-2" u="1"/>
        <s v="12-1442734-2" u="1"/>
        <s v="13-1452997-2" u="1"/>
        <s v="1-1433852-1" u="1"/>
        <s v="1-1437737-3" u="1"/>
        <s v="1-1437845-2" u="1"/>
        <s v="1-1453619-4" u="1"/>
        <s v="1-1453927-2" u="1"/>
        <s v="11-1431094-2" u="1"/>
        <s v="1-1435045-2" u="1"/>
        <s v="1-1435137-2" u="1"/>
        <s v="1-1442899-3" u="1"/>
        <s v="1-1432141-14" u="1"/>
        <s v="1-1429838-3" u="1"/>
        <s v="1-1440099-3" u="1"/>
        <s v="1-1441651-2" u="1"/>
        <s v="12-1434071-8" u="1"/>
        <s v="1-1435260-8" u="1"/>
        <s v="1-1435552-7" u="1"/>
        <s v="1-1447129-3" u="1"/>
        <s v="13-1432786-3" u="1"/>
        <s v="13-1447150-2" u="1"/>
        <s v="1-1437637-4" u="1"/>
        <s v="1-1437853-2" u="1"/>
        <s v="10-1441002-2" u="1"/>
        <s v="1-1431044-2" u="1"/>
        <s v="1-1439338-2" u="1"/>
        <s v="1-1455144-2" u="1"/>
        <s v="1-1452372-12" u="1"/>
        <s v="1-1429046-7" u="1"/>
        <s v="1-1445852-2" u="1"/>
        <s v="1-1445944-2" u="1"/>
        <s v="1-1449861-2" u="1"/>
        <s v="1-1435544-8" u="1"/>
        <s v="1-1447261-1" u="1"/>
        <s v="1-1447429-2" u="1"/>
        <s v="1-1433852-2" u="1"/>
        <s v="1-1453943-2" u="1"/>
        <s v="1-1455744-1" u="1"/>
      </sharedItems>
    </cacheField>
    <cacheField name="Anunciante" numFmtId="0">
      <sharedItems/>
    </cacheField>
    <cacheField name="Cod. Neg." numFmtId="0">
      <sharedItems containsBlank="1" count="3391">
        <s v="2909018 109"/>
        <m/>
        <s v="279185"/>
        <s v="279178"/>
        <s v="279182"/>
        <s v="279081"/>
        <s v="279181"/>
        <s v="279179"/>
        <s v="279569"/>
        <s v="278808 10903"/>
        <s v="28085"/>
        <s v="290180 120"/>
        <s v="279751 4903"/>
        <s v="1 abril 2021"/>
        <s v="26 abril 2021"/>
        <s v="272476"/>
        <s v="272477"/>
        <s v="279589"/>
        <s v="279180"/>
        <s v="HUANUCO"/>
        <s v="279538"/>
        <s v="279079"/>
        <s v="25697"/>
        <s v="279078"/>
        <s v="279184"/>
        <s v="1304"/>
        <s v="22643"/>
        <s v="27042021"/>
        <s v="26539"/>
        <s v="279080"/>
        <s v="15236"/>
        <s v="&gt;PENDIENTE&lt;"/>
        <s v="36"/>
        <s v="042021"/>
        <s v="0112200"/>
        <s v="279183"/>
        <s v="279278"/>
        <s v="279372"/>
        <s v="279377"/>
        <s v="279378"/>
        <s v="279390"/>
        <s v="278666"/>
        <s v="278667"/>
        <s v="278668"/>
        <s v="278669"/>
        <s v="278670"/>
        <s v="278671"/>
        <s v="278672"/>
        <s v="278673"/>
        <s v="278674"/>
        <s v="279199"/>
        <s v="a2021"/>
        <s v="1235"/>
        <s v="4838" u="1"/>
        <s v="BSE2020" u="1"/>
        <s v="21656" u="1"/>
        <s v="274454" u="1"/>
        <s v="256639" u="1"/>
        <s v="275718" u="1"/>
        <s v="278386" u="1"/>
        <s v="279398" u="1"/>
        <s v="171020201" u="1"/>
        <s v="3300" u="1"/>
        <s v="276442" u="1"/>
        <s v="278374" u="1"/>
        <s v="279294" u="1"/>
        <s v="279386" u="1"/>
        <s v="279478" u="1"/>
        <s v="1542369" u="1"/>
        <s v="2743261" u="1"/>
        <s v="090720cd" u="1"/>
        <s v="1711" u="1"/>
        <s v="277350" u="1"/>
        <s v="278546" u="1"/>
        <s v="279190" u="1"/>
        <s v="279282" u="1"/>
        <s v="279466" u="1"/>
        <s v="279558" u="1"/>
        <s v="2770741" u="1"/>
        <s v="278534" u="1"/>
        <s v="278626" u="1"/>
        <s v="279270" u="1"/>
        <s v="279362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430" u="1"/>
        <s v="279522" u="1"/>
        <s v="279614" u="1"/>
        <s v="279706" u="1"/>
        <s v="2809893" u="1"/>
        <s v="279510" u="1"/>
        <s v="279602" u="1"/>
        <s v="4560" u="1"/>
        <s v="102020 FM SOL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19 marzo albañil" u="1"/>
        <s v="268812 1" u="1"/>
        <s v="2oct 20901" u="1"/>
        <s v="070806" u="1"/>
        <s v="150520" u="1"/>
        <s v="030520" u="1"/>
        <s v="2303020" u="1"/>
        <s v="25690" u="1"/>
        <s v="0410020200" u="1"/>
        <s v="275728" u="1"/>
        <s v="7287" u="1"/>
        <s v="256361" u="1"/>
        <s v="279396" u="1"/>
        <s v="279488" u="1"/>
        <s v="276440" u="1"/>
        <s v="278648" u="1"/>
        <s v="279292" u="1"/>
        <s v="279384" u="1"/>
        <s v="279476" u="1"/>
        <s v="279568" u="1"/>
        <s v="07112020" u="1"/>
        <s v="23102020" u="1"/>
        <s v="11102020" u="1"/>
        <s v="22202" u="1"/>
        <s v="278544" u="1"/>
        <s v="278636" u="1"/>
        <s v="279280" u="1"/>
        <s v="279464" u="1"/>
        <s v="279556" u="1"/>
        <s v="279648" u="1"/>
        <s v="298635" u="1"/>
        <s v="18febrero" u="1"/>
        <s v="280018" u="1"/>
        <s v="278532" u="1"/>
        <s v="278624" u="1"/>
        <s v="278808" u="1"/>
        <s v="279360" u="1"/>
        <s v="279452" u="1"/>
        <s v="279544" u="1"/>
        <s v="279636" u="1"/>
        <s v="279728" u="1"/>
        <s v="0121" u="1"/>
        <s v="280006" u="1"/>
        <s v="278520" u="1"/>
        <s v="279532" u="1"/>
        <s v="279716" u="1"/>
        <s v="279808" u="1"/>
        <s v="279520" u="1"/>
        <s v="279612" u="1"/>
        <s v="279704" u="1"/>
        <s v="4961" u="1"/>
        <s v="73248" u="1"/>
        <s v="279600" u="1"/>
        <s v="18092020" u="1"/>
        <s v="25052020 PER" u="1"/>
        <s v="4829" u="1"/>
        <s v="272474" u="1"/>
        <s v="290909" u="1"/>
        <s v="070620" u="1"/>
        <s v="230520" u="1"/>
        <s v="11-5-20" u="1"/>
        <s v="171805" u="1"/>
        <s v="080321UB" u="1"/>
        <s v="25691" u="1"/>
        <s v="275726" u="1"/>
        <s v="279498" u="1"/>
        <s v="280667 2" u="1"/>
        <s v="275714" u="1"/>
        <s v="276450" u="1"/>
        <s v="278382" u="1"/>
        <s v="278658" u="1"/>
        <s v="279394" u="1"/>
        <s v="279486" u="1"/>
        <s v="279578" u="1"/>
        <s v="27112020" u="1"/>
        <s v="4511" u="1"/>
        <s v="15112020" u="1"/>
        <s v="277317 10" u="1"/>
        <s v="22111" u="1"/>
        <s v="275702" u="1"/>
        <s v="278646" u="1"/>
        <s v="279382" u="1"/>
        <s v="279474" u="1"/>
        <s v="279566" u="1"/>
        <s v="279658" u="1"/>
        <s v="280028" u="1"/>
        <s v="278542" u="1"/>
        <s v="278634" u="1"/>
        <s v="279370" u="1"/>
        <s v="279462" u="1"/>
        <s v="279554" u="1"/>
        <s v="279646" u="1"/>
        <s v="279738" u="1"/>
        <s v="271701 300420" u="1"/>
        <s v="280016" u="1"/>
        <s v="280108" u="1"/>
        <s v="278530" u="1"/>
        <s v="278622" u="1"/>
        <s v="278806" u="1"/>
        <s v="279542" u="1"/>
        <s v="279726" u="1"/>
        <s v="279818" u="1"/>
        <s v="273648 1020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0562" u="1"/>
        <s v="151120M" u="1"/>
        <s v="14092020" u="1"/>
        <s v="200920200" u="1"/>
        <s v="02092020" u="1"/>
        <s v="8MARZO NUMANCIA" u="1"/>
        <s v="310520" u="1"/>
        <s v="21febrero 2021" u="1"/>
        <s v="253645" u="1"/>
        <s v="25968" u="1"/>
        <s v="29 SEPTIEMBRE" u="1"/>
        <s v="275748" u="1"/>
        <s v="9688" u="1"/>
        <s v="277668" u="1"/>
        <s v="00279067" u="1"/>
        <s v="112020 3012" u="1"/>
        <s v="9781 ABRIL 2021" u="1"/>
        <s v="279496" u="1"/>
        <s v="279588" u="1"/>
        <s v="0903" u="1"/>
        <s v="275712" u="1"/>
        <s v="278656" u="1"/>
        <s v="279392" u="1"/>
        <s v="279484" u="1"/>
        <s v="279576" u="1"/>
        <s v="279668" u="1"/>
        <s v="07122020" u="1"/>
        <s v="280038" u="1"/>
        <s v="278644" u="1"/>
        <s v="279380" u="1"/>
        <s v="279472" u="1"/>
        <s v="279564" u="1"/>
        <s v="279656" u="1"/>
        <s v="279748" u="1"/>
        <s v="280026" u="1"/>
        <s v="280118" u="1"/>
        <s v="22febrero" u="1"/>
        <s v="280930 10" u="1"/>
        <s v="26505" u="1"/>
        <s v="278540" u="1"/>
        <s v="278632" u="1"/>
        <s v="278908" u="1"/>
        <s v="279460" u="1"/>
        <s v="279552" u="1"/>
        <s v="279644" u="1"/>
        <s v="279736" u="1"/>
        <s v="279828" u="1"/>
        <s v="280106" u="1"/>
        <s v="277700" u="1"/>
        <s v="278620" u="1"/>
        <s v="278712" u="1"/>
        <s v="278804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CM0704" u="1"/>
        <s v="4962" u="1"/>
        <s v="261003" u="1"/>
        <s v="274454 oct20" u="1"/>
        <s v="279700" u="1"/>
        <s v="390482" u="1"/>
        <s v="I" u="1"/>
        <s v="4992" u="1"/>
        <s v="10092020" u="1"/>
        <s v="9228" u="1"/>
        <s v="154236U" u="1"/>
        <s v="10820" u="1"/>
        <s v="2785441 marzo" u="1"/>
        <s v="28nov" u="1"/>
        <s v="290023 2" u="1"/>
        <s v="272470" u="1"/>
        <s v="151120W" u="1"/>
        <s v="25969" u="1"/>
        <s v="dic2012" u="1"/>
        <s v="25 septiembre" u="1"/>
        <s v="275746" u="1"/>
        <s v="277678" u="1"/>
        <s v="13 septiembre" u="1"/>
        <s v="275734" u="1"/>
        <s v="277666" u="1"/>
        <s v="278678" u="1"/>
        <s v="279598" u="1"/>
        <s v="302020UC" u="1"/>
        <s v="280944 11" u="1"/>
        <s v="275722" u="1"/>
        <s v="279494" u="1"/>
        <s v="279586" u="1"/>
        <s v="279678" u="1"/>
        <s v="27122020" u="1"/>
        <s v="4512" u="1"/>
        <s v="dic op 03 2020" u="1"/>
        <s v="275710" u="1"/>
        <s v="278654" u="1"/>
        <s v="278838" u="1"/>
        <s v="279482" u="1"/>
        <s v="279574" u="1"/>
        <s v="279666" u="1"/>
        <s v="03122020" u="1"/>
        <s v="4522" u="1"/>
        <s v="10121" u="1"/>
        <s v="280036" u="1"/>
        <s v="280128" u="1"/>
        <s v="277330 1102" u="1"/>
        <s v="278550" u="1"/>
        <s v="278642" u="1"/>
        <s v="279470" u="1"/>
        <s v="279562" u="1"/>
        <s v="279654" u="1"/>
        <s v="279746" u="1"/>
        <s v="279838" u="1"/>
        <s v="280024" u="1"/>
        <s v="280116" u="1"/>
        <s v="280208" u="1"/>
        <s v="27 diciembre" u="1"/>
        <s v="278630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8710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dic1312" u="1"/>
        <s v="274756" u="1"/>
        <s v="171903" u="1"/>
        <s v="080321 cd" u="1"/>
        <s v="277676" u="1"/>
        <s v="278688" u="1"/>
        <s v="275732" u="1"/>
        <s v="278676" u="1"/>
        <s v="279688" u="1"/>
        <s v="298675" u="1"/>
        <s v="1303" u="1"/>
        <s v="275720" u="1"/>
        <s v="278572" u="1"/>
        <s v="278664" u="1"/>
        <s v="279492" u="1"/>
        <s v="279584" u="1"/>
        <s v="279676" u="1"/>
        <s v="23122020" u="1"/>
        <s v="280046" u="1"/>
        <s v="280138" u="1"/>
        <s v="11122020" u="1"/>
        <s v="278652" u="1"/>
        <s v="278928" u="1"/>
        <s v="279480" u="1"/>
        <s v="279572" u="1"/>
        <s v="279664" u="1"/>
        <s v="279848" u="1"/>
        <s v="280034" u="1"/>
        <s v="280126" u="1"/>
        <s v="280218" u="1"/>
        <s v="278640" u="1"/>
        <s v="278824" u="1"/>
        <s v="279560" u="1"/>
        <s v="279652" u="1"/>
        <s v="279744" u="1"/>
        <s v="279836" u="1"/>
        <s v="279928" u="1"/>
        <s v="1546282" u="1"/>
        <s v="14423" u="1"/>
        <s v="280022" u="1"/>
        <s v="280114" u="1"/>
        <s v="280206" u="1"/>
        <s v="278812" u="1"/>
        <s v="278904" u="1"/>
        <s v="279640" u="1"/>
        <s v="279732" u="1"/>
        <s v="279824" u="1"/>
        <s v="279916" u="1"/>
        <s v="4953" u="1"/>
        <s v="280102" u="1"/>
        <s v="25698 11" u="1"/>
        <s v="26531" u="1"/>
        <s v="279720" u="1"/>
        <s v="279812" u="1"/>
        <s v="279904" u="1"/>
        <s v="303039" u="1"/>
        <s v="1546283" u="1"/>
        <s v="4963" u="1"/>
        <s v="101105" u="1"/>
        <s v="182021" u="1"/>
        <s v="2563" u="1"/>
        <s v="082020" u="1"/>
        <s v="90902" u="1"/>
        <s v="222001" u="1"/>
        <s v="21286" u="1"/>
        <s v="nov1020" u="1"/>
        <s v="3901901" u="1"/>
        <s v="269234 5" u="1"/>
        <s v="102020 aj" u="1"/>
        <s v="25695" u="1"/>
        <s v="277698" u="1"/>
        <s v="277686" u="1"/>
        <s v="278698" u="1"/>
        <s v="10015" u="1"/>
        <s v="275742" u="1"/>
        <s v="277674" u="1"/>
        <s v="278686" u="1"/>
        <s v="279698" u="1"/>
        <s v="280068" u="1"/>
        <s v="15012021" u="1"/>
        <s v="02308" u="1"/>
        <s v="275730" u="1"/>
        <s v="277662" u="1"/>
        <s v="278858" u="1"/>
        <s v="279594" u="1"/>
        <s v="279686" u="1"/>
        <s v="03012021" u="1"/>
        <s v="2103" u="1"/>
        <s v="10123" u="1"/>
        <s v="280148" u="1"/>
        <s v="277926" u="1"/>
        <s v="278662" u="1"/>
        <s v="278938" u="1"/>
        <s v="279490" u="1"/>
        <s v="279582" u="1"/>
        <s v="279674" u="1"/>
        <s v="279858" u="1"/>
        <s v="280044" u="1"/>
        <s v="280136" u="1"/>
        <s v="280228" u="1"/>
        <s v="277914" u="1"/>
        <s v="278650" u="1"/>
        <s v="278926" u="1"/>
        <s v="279570" u="1"/>
        <s v="279662" u="1"/>
        <s v="279846" u="1"/>
        <s v="279938" u="1"/>
        <s v="280032" u="1"/>
        <s v="280124" u="1"/>
        <s v="280216" u="1"/>
        <s v="2763501" u="1"/>
        <s v="278914" u="1"/>
        <s v="279650" u="1"/>
        <s v="279742" u="1"/>
        <s v="279834" u="1"/>
        <s v="279926" u="1"/>
        <s v="4543" u="1"/>
        <s v="280020" u="1"/>
        <s v="280112" u="1"/>
        <s v="280204" u="1"/>
        <s v="2795581" u="1"/>
        <s v="278810" u="1"/>
        <s v="278902" u="1"/>
        <s v="279730" u="1"/>
        <s v="279822" u="1"/>
        <s v="279914" u="1"/>
        <s v="261021" u="1"/>
        <s v="280100" u="1"/>
        <s v="279810" u="1"/>
        <s v="279902" u="1"/>
        <s v="4573" u="1"/>
        <s v="73377" u="1"/>
        <s v="022021" u="1"/>
        <s v="042020" u="1"/>
        <s v="4593" u="1"/>
        <s v="13-112020" u="1"/>
        <s v="032021 Imp" u="1"/>
        <s v="FEFER 07-20" u="1"/>
        <s v="25688" u="1"/>
        <s v="25696" u="1"/>
        <s v="290911" u="1"/>
        <s v="0708060" u="1"/>
        <s v="00279058" u="1"/>
        <s v="49996" u="1"/>
        <s v="2800085" u="1"/>
        <s v="275672" u="1"/>
        <s v="277696" u="1"/>
        <s v="240321 cd" u="1"/>
        <s v="277684" u="1"/>
        <s v="278696" u="1"/>
        <s v="280078" u="1"/>
        <s v="22032" u="1"/>
        <s v="277672" u="1"/>
        <s v="278684" u="1"/>
        <s v="278868" u="1"/>
        <s v="279696" u="1"/>
        <s v="280066" u="1"/>
        <s v="280158" u="1"/>
        <s v="279419 12" u="1"/>
        <s v="277660" u="1"/>
        <s v="278856" u="1"/>
        <s v="278948" u="1"/>
        <s v="279592" u="1"/>
        <s v="279684" u="1"/>
        <s v="279868" u="1"/>
        <s v="280146" u="1"/>
        <s v="280238" u="1"/>
        <s v="279427 11" u="1"/>
        <s v="278660" u="1"/>
        <s v="278936" u="1"/>
        <s v="279580" u="1"/>
        <s v="279672" u="1"/>
        <s v="279856" u="1"/>
        <s v="279948" u="1"/>
        <s v="14425" u="1"/>
        <s v="14517" u="1"/>
        <s v="280042" u="1"/>
        <s v="280134" u="1"/>
        <s v="280226" u="1"/>
        <s v="278924" u="1"/>
        <s v="279660" u="1"/>
        <s v="279752" u="1"/>
        <s v="279844" u="1"/>
        <s v="279936" u="1"/>
        <s v="30331" u="1"/>
        <s v="280030" u="1"/>
        <s v="280122" u="1"/>
        <s v="280214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5561" u="1"/>
        <s v="279820" u="1"/>
        <s v="279912" u="1"/>
        <s v="4964" u="1"/>
        <s v="150520 MON" u="1"/>
        <s v="279900" u="1"/>
        <s v="8 marzo" u="1"/>
        <s v="28 agosto" u="1"/>
        <s v="16 AGOSTO" u="1"/>
        <s v="122020" u="1"/>
        <s v="202102" u="1"/>
        <s v="290091 1" u="1"/>
        <s v="30042020 CP" u="1"/>
        <s v="4994" u="1"/>
        <s v="8TERRENO" u="1"/>
        <s v="NOV2020" u="1"/>
        <s v="274798" u="1"/>
        <s v="carp 25 feb" u="1"/>
        <s v="290921" u="1"/>
        <s v="278674 1276" u="1"/>
        <s v="070920" u="1"/>
        <s v="011122020" u="1"/>
        <s v="6diciembre" u="1"/>
        <s v="275670" u="1"/>
        <s v="277694" u="1"/>
        <s v="275488 0520" u="1"/>
        <s v="280088" u="1"/>
        <s v="275750" u="1"/>
        <s v="277682" u="1"/>
        <s v="278694" u="1"/>
        <s v="278878" u="1"/>
        <s v="280076" u="1"/>
        <s v="280168" u="1"/>
        <s v="277670" u="1"/>
        <s v="278682" u="1"/>
        <s v="278866" u="1"/>
        <s v="279694" u="1"/>
        <s v="279786" u="1"/>
        <s v="279878" u="1"/>
        <s v="2104" u="1"/>
        <s v="280064" u="1"/>
        <s v="280156" u="1"/>
        <s v="280248" u="1"/>
        <s v="277325 20" u="1"/>
        <s v="279457 10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abril2020" u="1"/>
        <s v="278934" u="1"/>
        <s v="279670" u="1"/>
        <s v="279854" u="1"/>
        <s v="279946" u="1"/>
        <s v="4534" u="1"/>
        <s v="280040" u="1"/>
        <s v="280132" u="1"/>
        <s v="280224" u="1"/>
        <s v="280408" u="1"/>
        <s v="26534" u="1"/>
        <s v="277910" u="1"/>
        <s v="278922" u="1"/>
        <s v="279750" u="1"/>
        <s v="279842" u="1"/>
        <s v="279934" u="1"/>
        <s v="4544" u="1"/>
        <s v="260121" u="1"/>
        <s v="280120" u="1"/>
        <s v="280212" u="1"/>
        <s v="2795661" u="1"/>
        <s v="1745" u="1"/>
        <s v="22441" u="1"/>
        <s v="278910" u="1"/>
        <s v="279830" u="1"/>
        <s v="279922" u="1"/>
        <s v="4554" u="1"/>
        <s v="14450" u="1"/>
        <s v="280200" u="1"/>
        <s v="2795541" u="1"/>
        <s v="FIAT WEEKEND" u="1"/>
        <s v="279910" u="1"/>
        <s v="202020" u="1"/>
        <s v="04 -2020" u="1"/>
        <s v="26598feb" u="1"/>
        <s v="01-2/2021" u="1"/>
        <s v="25698" u="1"/>
        <s v="280908 101" u="1"/>
        <s v="209032" u="1"/>
        <s v="275784" u="1"/>
        <s v="080321 LT" u="1"/>
        <s v="277652 MY20" u="1"/>
        <s v="280098" u="1"/>
        <s v="250220211" u="1"/>
        <s v="277692" u="1"/>
        <s v="280086" u="1"/>
        <s v="280178" u="1"/>
        <s v="19032021" u="1"/>
        <s v="277680" u="1"/>
        <s v="278692" u="1"/>
        <s v="279888" u="1"/>
        <s v="07032021" u="1"/>
        <s v="07052020" u="1"/>
        <s v="280074" u="1"/>
        <s v="280166" u="1"/>
        <s v="277944" u="1"/>
        <s v="278680" u="1"/>
        <s v="278864" u="1"/>
        <s v="279692" u="1"/>
        <s v="279876" u="1"/>
        <s v="280062" u="1"/>
        <s v="280154" u="1"/>
        <s v="280246" u="1"/>
        <s v="277323 20" u="1"/>
        <s v="278852" u="1"/>
        <s v="278944" u="1"/>
        <s v="279680" u="1"/>
        <s v="279772" u="1"/>
        <s v="279956" u="1"/>
        <s v="280050" u="1"/>
        <s v="280142" u="1"/>
        <s v="280418" u="1"/>
        <s v="2779080" u="1"/>
        <s v="26535" u="1"/>
        <s v="278932" u="1"/>
        <s v="279852" u="1"/>
        <s v="279944" u="1"/>
        <s v="159852" u="1"/>
        <s v="280130" u="1"/>
        <s v="280222" u="1"/>
        <s v="280406" u="1"/>
        <s v="2795761" u="1"/>
        <s v="278920" u="1"/>
        <s v="279840" u="1"/>
        <s v="279932" u="1"/>
        <s v="26985 2" u="1"/>
        <s v="280210" u="1"/>
        <s v="2795641" u="1"/>
        <s v="25698 12" u="1"/>
        <s v="279920" u="1"/>
        <s v="4965" u="1"/>
        <s v="2795521" u="1"/>
        <s v="204054" u="1"/>
        <s v="26935" u="1"/>
        <s v="303031" u="1"/>
        <s v="265315" u="1"/>
        <s v="159456 mh" u="1"/>
        <s v="269234 6" u="1"/>
        <s v="275794" u="1"/>
        <s v="274770" u="1"/>
        <s v="17octubre" u="1"/>
        <s v="273648 0620" u="1"/>
        <s v="50025" u="1"/>
        <s v="280188" u="1"/>
        <s v="277333 12" u="1"/>
        <s v="279898" u="1"/>
        <s v="280084" u="1"/>
        <s v="280176" u="1"/>
        <s v="280268" u="1"/>
        <s v="15052020" u="1"/>
        <s v="278690" u="1"/>
        <s v="279886" u="1"/>
        <s v="279978" u="1"/>
        <s v="03032021" u="1"/>
        <s v="50233" u="1"/>
        <s v="280072" u="1"/>
        <s v="280164" u="1"/>
        <s v="280256" u="1"/>
        <s v="278862" u="1"/>
        <s v="279690" u="1"/>
        <s v="279874" u="1"/>
        <s v="280152" u="1"/>
        <s v="280244" u="1"/>
        <s v="280428" u="1"/>
        <s v="22527" u="1"/>
        <s v="278942" u="1"/>
        <s v="279862" u="1"/>
        <s v="279954" u="1"/>
        <s v="10 MARZO aviso 2" u="1"/>
        <s v="4535" u="1"/>
        <s v="280140" u="1"/>
        <s v="280416" u="1"/>
        <s v="278930" u="1"/>
        <s v="279850" u="1"/>
        <s v="279942" u="1"/>
        <s v="14452" u="1"/>
        <s v="280220" u="1"/>
        <s v="280404" u="1"/>
        <s v="2795741" u="1"/>
        <s v="279930" u="1"/>
        <s v="2956" u="1"/>
        <s v="280300" u="1"/>
        <s v="2795621" u="1"/>
        <s v="23080612020" u="1"/>
        <s v="290190 11" u="1"/>
        <s v="73397" u="1"/>
        <s v="290190 9" u="1"/>
        <s v="274454 abr20" u="1"/>
        <s v="268349" u="1"/>
        <s v="274792" u="1"/>
        <s v="00279059" u="1"/>
        <s v="25octubre" u="1"/>
        <s v="may2020" u="1"/>
        <s v="082020 JUJUY FM" u="1"/>
        <s v="280198" u="1"/>
        <s v="280094" u="1"/>
        <s v="280186" u="1"/>
        <s v="280278" u="1"/>
        <s v="19042021" u="1"/>
        <s v="19062020" u="1"/>
        <s v="279896" u="1"/>
        <s v="279988" u="1"/>
        <s v="07042021" u="1"/>
        <s v="234512 1" u="1"/>
        <s v="280082" u="1"/>
        <s v="280174" u="1"/>
        <s v="280266" u="1"/>
        <s v="11052020" u="1"/>
        <s v="06082020 1" u="1"/>
        <s v="278872" u="1"/>
        <s v="279792" u="1"/>
        <s v="279884" u="1"/>
        <s v="279976" u="1"/>
        <s v="ab2020" u="1"/>
        <s v="280162" u="1"/>
        <s v="280254" u="1"/>
        <s v="280438" u="1"/>
        <s v="278860" u="1"/>
        <s v="279780" u="1"/>
        <s v="279872" u="1"/>
        <s v="280150" u="1"/>
        <s v="280242" u="1"/>
        <s v="280426" u="1"/>
        <s v="278940" u="1"/>
        <s v="279860" u="1"/>
        <s v="279952" u="1"/>
        <s v="280230" u="1"/>
        <s v="280414" u="1"/>
        <s v="180321" u="1"/>
        <s v="279940" u="1"/>
        <s v="8965" u="1"/>
        <s v="280402" u="1"/>
        <s v="2795721" u="1"/>
        <s v="4966" u="1"/>
        <s v="2795601" u="1"/>
        <s v="121220" u="1"/>
        <s v="sep" u="1"/>
        <s v="´280276" u="1"/>
        <s v="´280277" u="1"/>
        <s v="2220011" u="1"/>
        <s v="2090190 1" u="1"/>
        <s v="273882" u="1"/>
        <s v="273648 0720" u="1"/>
        <s v="277998" u="1"/>
        <s v="277333 13" u="1"/>
        <s v="022021 JUJUY FM" u="1"/>
        <s v="042020 JUJUY FM" u="1"/>
        <s v="280196" u="1"/>
        <s v="279998" u="1"/>
        <s v="280184" u="1"/>
        <s v="279752 1232" u="1"/>
        <s v="279894" u="1"/>
        <s v="279986" u="1"/>
        <s v="03042021" u="1"/>
        <s v="4516" u="1"/>
        <s v="280080" u="1"/>
        <s v="280172" u="1"/>
        <s v="280448" u="1"/>
        <s v="26538" u="1"/>
        <s v="278870" u="1"/>
        <s v="279882" u="1"/>
        <s v="279974" u="1"/>
        <s v="4526" u="1"/>
        <s v="280160" u="1"/>
        <s v="280436" u="1"/>
        <s v="278950" u="1"/>
        <s v="279870" u="1"/>
        <s v="279962" u="1"/>
        <s v="4536" u="1"/>
        <s v="280240" u="1"/>
        <s v="280424" u="1"/>
        <s v="sep2020" u="1"/>
        <s v="9755" u="1"/>
        <s v="279950" u="1"/>
        <s v="4546" u="1"/>
        <s v="280412" u="1"/>
        <s v="280504" u="1"/>
        <s v="140321" u="1"/>
        <s v="2795701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74454 3112" u="1"/>
        <s v="256985" u="1"/>
        <s v="122020 JUJUY FM" u="1"/>
        <s v="22238" u="1"/>
        <s v="280194" u="1"/>
        <s v="280286" u="1"/>
        <s v="19072020" u="1"/>
        <s v="279996" u="1"/>
        <s v="23042021" u="1"/>
        <s v="280090" u="1"/>
        <s v="280182" u="1"/>
        <s v="280274" u="1"/>
        <s v="280458" u="1"/>
        <s v="11042021" u="1"/>
        <s v="279892" u="1"/>
        <s v="279984" u="1"/>
        <s v="280170" u="1"/>
        <s v="280446" u="1"/>
        <s v="280538" u="1"/>
        <s v="15423012" u="1"/>
        <s v="279880" u="1"/>
        <s v="279972" u="1"/>
        <s v="8noviembre" u="1"/>
        <s v="20062020 BAND." u="1"/>
        <s v="280250" u="1"/>
        <s v="280434" u="1"/>
        <s v="280618" u="1"/>
        <s v="279960" u="1"/>
        <s v="280422" u="1"/>
        <s v="220321" u="1"/>
        <s v="280410" u="1"/>
        <s v="280502" u="1"/>
        <s v="277994 29" u="1"/>
        <s v="13noviembre" u="1"/>
        <s v="273648 3004" u="1"/>
        <s v="02563" u="1"/>
        <s v="0811200" u="1"/>
        <s v="19 marzo arquitect" u="1"/>
        <s v="25698 23" u="1"/>
        <s v="151120M2" u="1"/>
        <s v="27000" u="1"/>
        <s v="27100" u="1"/>
        <s v="28100020" u="1"/>
        <s v="2090190 2" u="1"/>
        <s v="269234 7" u="1"/>
        <s v="273648 0820" u="1"/>
        <s v="123" u="1"/>
        <s v="26598 1" u="1"/>
        <s v="20200430" u="1"/>
        <s v="256983" u="1"/>
        <s v="26598 2" u="1"/>
        <s v="072020 FM SOL" u="1"/>
        <s v="280296" u="1"/>
        <s v="CFA120" u="1"/>
        <s v="22063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02356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14464" u="1"/>
        <s v="280432" u="1"/>
        <s v="280616" u="1"/>
        <s v="4547" u="1"/>
        <s v="280420" u="1"/>
        <s v="280604" u="1"/>
        <s v="4557" u="1"/>
        <s v="020421" u="1"/>
        <s v="242526" u="1"/>
        <s v="280500" u="1"/>
        <s v="201412" u="1"/>
        <s v="2412020" u="1"/>
        <s v="280946 112" u="1"/>
        <s v="0598" u="1"/>
        <s v="290910 01" u="1"/>
        <s v="268709" u="1"/>
        <s v="151120W2" u="1"/>
        <s v="mar2303" u="1"/>
        <s v="4marzo" u="1"/>
        <s v="280398" u="1"/>
        <s v="032020 FM SOL" u="1"/>
        <s v="280294" u="1"/>
        <s v="280386" u="1"/>
        <s v="280478" u="1"/>
        <s v="22256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4968" u="1"/>
        <s v="277329 112" u="1"/>
        <s v="273648 3105" u="1"/>
        <s v="102020 bm" u="1"/>
        <s v="16102020" u="1"/>
        <s v="2598" u="1"/>
        <s v="04102020" u="1"/>
        <s v="ENE2021 FM SOL" u="1"/>
        <s v="268719" u="1"/>
        <s v="mar1603" u="1"/>
        <s v="273648 0920" u="1"/>
        <s v="2220" u="1"/>
        <s v="1020" u="1"/>
        <s v="268707" u="1"/>
        <s v="279407 101" u="1"/>
        <s v="4650" u="1"/>
        <s v="6marzo" u="1"/>
        <s v="192007" u="1"/>
        <s v="280396" u="1"/>
        <s v="112020 FM SOL" u="1"/>
        <s v="4680" u="1"/>
        <s v="280384" u="1"/>
        <s v="280476" u="1"/>
        <s v="4518" u="1"/>
        <s v="280464" u="1"/>
        <s v="280648" u="1"/>
        <s v="22365" u="1"/>
        <s v="279990" u="1"/>
        <s v="CFA0121" u="1"/>
        <s v="280452" u="1"/>
        <s v="280544" u="1"/>
        <s v="280636" u="1"/>
        <s v="280440" u="1"/>
        <s v="280624" u="1"/>
        <s v="280808" u="1"/>
        <s v="240430" u="1"/>
        <s v="279009" u="1"/>
        <s v="280612" u="1"/>
        <s v="277326 11 1" u="1"/>
        <s v="26590" u="1"/>
        <s v="101105 1" u="1"/>
        <s v="4568" u="1"/>
        <s v="15842012" u="1"/>
        <s v="261020201" u="1"/>
        <s v="277329 11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8MARZO" u="1"/>
        <s v="171805 2" u="1"/>
        <s v="3050" u="1"/>
        <s v="280498" u="1"/>
        <s v="26359" u="1"/>
        <s v="280394" u="1"/>
        <s v="280486" u="1"/>
        <s v="23082020" u="1"/>
        <s v="2509" u="1"/>
        <s v="280474" u="1"/>
        <s v="1octubre 29010" u="1"/>
        <s v="3080" u="1"/>
        <s v="280462" u="1"/>
        <s v="280646" u="1"/>
        <s v="3090" u="1"/>
        <s v="280450" u="1"/>
        <s v="280542" u="1"/>
        <s v="280634" u="1"/>
        <s v="280818" u="1"/>
        <s v="4949" u="1"/>
        <s v="279019" u="1"/>
        <s v="280622" u="1"/>
        <s v="282462" u="1"/>
        <s v="240520" u="1"/>
        <s v="279007" u="1"/>
        <s v="277994 39" u="1"/>
        <s v="277327 123" u="1"/>
        <s v="1212201" u="1"/>
        <s v="12130620" u="1"/>
        <s v="16112020" u="1"/>
        <s v="266715" u="1"/>
        <s v="268739" u="1"/>
        <s v="4621" u="1"/>
        <s v="27febrero" u="1"/>
        <s v="268727" u="1"/>
        <s v="24feb 2" u="1"/>
        <s v="268715" u="1"/>
        <s v="1 SEPTIEMBRE VENTAS" u="1"/>
        <s v="6082020" u="1"/>
        <s v="27704" u="1"/>
        <s v="50249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79029" u="1"/>
        <s v="280540" u="1"/>
        <s v="280632" u="1"/>
        <s v="280816" u="1"/>
        <s v="280908" u="1"/>
        <s v="26584" u="1"/>
        <s v="4549" u="1"/>
        <s v="262829" u="1"/>
        <s v="279017" u="1"/>
        <s v="280620" u="1"/>
        <s v="102020 aj1" u="1"/>
        <s v="ene2021" u="1"/>
        <s v="290190 23" u="1"/>
        <s v="4559" u="1"/>
        <s v="040620" u="1"/>
        <s v="279005" u="1"/>
        <s v="280700" u="1"/>
        <s v="BM07/2020" u="1"/>
        <s v="4569" u="1"/>
        <s v="14151617" u="1"/>
        <s v="1314082020" u="1"/>
        <s v="261120201" u="1"/>
        <s v="2602" u="1"/>
        <s v="268749" u="1"/>
        <s v="11020" u="1"/>
        <s v="12112020" u="1"/>
        <s v="290810 12" u="1"/>
        <s v="268737" u="1"/>
        <s v="23febrero" u="1"/>
        <s v="274586 2" u="1"/>
        <s v="11febrero" u="1"/>
        <s v="11220" u="1"/>
        <s v="268713" u="1"/>
        <s v="289908" u="1"/>
        <s v="15421" u="1"/>
        <s v="260421 ME" u="1"/>
        <s v="1452" u="1"/>
        <s v="50266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79039" u="1"/>
        <s v="280550" u="1"/>
        <s v="280642" u="1"/>
        <s v="280826" u="1"/>
        <s v="280918" u="1"/>
        <s v="22576" u="1"/>
        <s v="279027" u="1"/>
        <s v="280630" u="1"/>
        <s v="280906" u="1"/>
        <s v="261723" u="1"/>
        <s v="279015" u="1"/>
        <s v="120620" u="1"/>
        <s v="279003" u="1"/>
        <s v="282906" u="1"/>
        <s v="26985" u="1"/>
        <s v="12345." u="1"/>
        <s v="10 octubre" u="1"/>
        <s v="101120201" u="1"/>
        <s v="11021" u="1"/>
        <s v="268747" u="1"/>
        <s v="04122020" u="1"/>
        <s v="1823" u="1"/>
        <s v="268735" u="1"/>
        <s v="268723" u="1"/>
        <s v="15422" u="1"/>
        <s v="15062002" u="1"/>
        <s v="7451" u="1"/>
        <s v="268711" u="1"/>
        <s v="289906" u="1"/>
        <s v="4652" u="1"/>
        <s v="270001" u="1"/>
        <s v="4662" u="1"/>
        <s v="10077" u="1"/>
        <s v="277645 22" u="1"/>
        <s v="280688" u="1"/>
        <s v="277956 1" u="1"/>
        <s v="280492" u="1"/>
        <s v="280676" u="1"/>
        <s v="280768" u="1"/>
        <s v="cpn adm cont 25 feb" u="1"/>
        <s v="280480" u="1"/>
        <s v="280848" u="1"/>
        <s v="CFA2121" u="1"/>
        <s v="274579 30/04" u="1"/>
        <s v="280744" u="1"/>
        <s v="280836" u="1"/>
        <s v="280928" u="1"/>
        <s v="279037" u="1"/>
        <s v="280640" u="1"/>
        <s v="280824" u="1"/>
        <s v="280916" u="1"/>
        <s v="94682" u="1"/>
        <s v="277001" u="1"/>
        <s v="279025" u="1"/>
        <s v="279209" u="1"/>
        <s v="280812" u="1"/>
        <s v="280904" u="1"/>
        <s v="1254125" u="1"/>
        <s v="200620" u="1"/>
        <s v="279013" u="1"/>
        <s v="280800" u="1"/>
        <s v="121906" u="1"/>
        <s v="101105 2" u="1"/>
        <s v="BM08/2020" u="1"/>
        <s v="279001" u="1"/>
        <s v="22 SEPTIEMBRE" u="1"/>
        <s v="Agsep0720" u="1"/>
        <s v="08012021" u="1"/>
        <s v="274454 nov20" u="1"/>
        <s v="280948 2091" u="1"/>
        <s v="0203" u="1"/>
        <s v="12122020" u="1"/>
        <s v="268745" u="1"/>
        <s v="268733" u="1"/>
        <s v="15423" u="1"/>
        <s v="268721" u="1"/>
        <s v="171805 3" u="1"/>
        <s v="289904" u="1"/>
        <s v="2653" u="1"/>
        <s v="192021" u="1"/>
        <s v="092020" u="1"/>
        <s v="280698" u="1"/>
        <s v="032021 UNJU" u="1"/>
        <s v="ILPO" u="1"/>
        <s v="280686" u="1"/>
        <s v="280490" u="1"/>
        <s v="280674" u="1"/>
        <s v="280766" u="1"/>
        <s v="280858" u="1"/>
        <s v="UCA012021" u="1"/>
        <s v="279059" u="1"/>
        <s v="280754" u="1"/>
        <s v="280846" u="1"/>
        <s v="280938" u="1"/>
        <s v="280650" u="1"/>
        <s v="280926" u="1"/>
        <s v="22494" u="1"/>
        <s v="279035" u="1"/>
        <s v="279219" u="1"/>
        <s v="280822" u="1"/>
        <s v="280914" u="1"/>
        <s v="240720" u="1"/>
        <s v="279023" u="1"/>
        <s v="279207" u="1"/>
        <s v="280902" u="1"/>
        <s v="9 agosto" u="1"/>
        <s v="279011" u="1"/>
        <s v="101012020" u="1"/>
        <s v="161902" u="1"/>
        <s v="1118 1" u="1"/>
        <s v="15octubre 2" u="1"/>
        <s v="290932 12" u="1"/>
        <s v="0604" u="1"/>
        <s v="sep20 1" u="1"/>
        <s v="20122020" u="1"/>
        <s v="268743" u="1"/>
        <s v="268731" u="1"/>
        <s v="sep20 2" u="1"/>
        <s v="20 diciembre" u="1"/>
        <s v="289902" u="1"/>
        <s v="4663" u="1"/>
        <s v="032021" u="1"/>
        <s v="052020" u="1"/>
        <s v="280696" u="1"/>
        <s v="280788" u="1"/>
        <s v="121906 0221" u="1"/>
        <s v="280684" u="1"/>
        <s v="280868" u="1"/>
        <s v="0902  1607" u="1"/>
        <s v="279069" u="1"/>
        <s v="280672" u="1"/>
        <s v="280856" u="1"/>
        <s v="280948" u="1"/>
        <s v="6MARZO2" u="1"/>
        <s v="279057" u="1"/>
        <s v="280844" u="1"/>
        <s v="280936" u="1"/>
        <s v="278217" u="1"/>
        <s v="279229" u="1"/>
        <s v="280832" u="1"/>
        <s v="280924" u="1"/>
        <s v="280414 1" u="1"/>
        <s v="279033" u="1"/>
        <s v="279217" u="1"/>
        <s v="279309" u="1"/>
        <s v="280820" u="1"/>
        <s v="280912" u="1"/>
        <s v="279021" u="1"/>
        <s v="279205" u="1"/>
        <s v="280900" u="1"/>
        <s v="181911" u="1"/>
        <s v="080321 CM" u="1"/>
        <s v="BM09/2020" u="1"/>
        <s v="279101" u="1"/>
        <s v="30141618" u="1"/>
        <s v="1516192020" u="1"/>
        <s v="24012021" u="1"/>
        <s v="3814" u="1"/>
        <s v="269857" u="1"/>
        <s v="279453 101" u="1"/>
        <s v="268741" u="1"/>
        <s v="290122" u="1"/>
        <s v="dic20124" u="1"/>
        <s v="2654" u="1"/>
        <s v="22188" u="1"/>
        <s v="289900" u="1"/>
        <s v="29 AGOSTO" u="1"/>
        <s v="272111" u="1"/>
        <s v="280798" u="1"/>
        <s v="277067" u="1"/>
        <s v="280694" u="1"/>
        <s v="280786" u="1"/>
        <s v="280878" u="1"/>
        <s v="280682" u="1"/>
        <s v="280866" u="1"/>
        <s v="280958" u="1"/>
        <s v="3083" u="1"/>
        <s v="26589" u="1"/>
        <s v="277319" u="1"/>
        <s v="279067" u="1"/>
        <s v="279159" u="1"/>
        <s v="280670" u="1"/>
        <s v="280854" u="1"/>
        <s v="280946" u="1"/>
        <s v="26597" u="1"/>
        <s v="279055" u="1"/>
        <s v="279239" u="1"/>
        <s v="280750" u="1"/>
        <s v="280934" u="1"/>
        <s v="20212223241" u="1"/>
        <s v="278215" u="1"/>
        <s v="279043" u="1"/>
        <s v="279227" u="1"/>
        <s v="279319" u="1"/>
        <s v="280830" u="1"/>
        <s v="280922" u="1"/>
        <s v="279031" u="1"/>
        <s v="279215" u="1"/>
        <s v="280910" u="1"/>
        <s v="274454 AGO20" u="1"/>
        <s v="279203" u="1"/>
        <s v="290932 13" u="1"/>
        <s v="28022021" u="1"/>
        <s v="30122020 UNJU" u="1"/>
        <s v="4UL" u="1"/>
        <s v="5003" u="1"/>
        <s v="4614" u="1"/>
        <s v="920910 212" u="1"/>
        <s v="carp. metalurg. 25feb" u="1"/>
        <s v="9863" u="1"/>
        <s v="4654" u="1"/>
        <s v="275169" u="1"/>
        <s v="2814625" u="1"/>
        <s v="289910" u="1"/>
        <s v="27998,5" u="1"/>
        <s v="4664" u="1"/>
        <s v="2" u="1"/>
        <s v="4674" u="1"/>
        <s v="15742" u="1"/>
        <s v="274317" u="1"/>
        <s v="280796" u="1"/>
        <s v="280888" u="1"/>
        <s v="2814626" u="1"/>
        <s v="26398" u="1"/>
        <s v="4684" u="1"/>
        <s v="278169" u="1"/>
        <s v="279089" u="1"/>
        <s v="280692" u="1"/>
        <s v="280876" u="1"/>
        <s v="280968" u="1"/>
        <s v="020.92020" u="1"/>
        <s v="277053" u="1"/>
        <s v="277329" u="1"/>
        <s v="279077" u="1"/>
        <s v="279169" u="1"/>
        <s v="280680" u="1"/>
        <s v="280864" u="1"/>
        <s v="280956" u="1"/>
        <s v="2814627" u="1"/>
        <s v="26598" u="1"/>
        <s v="277317" u="1"/>
        <s v="279065" u="1"/>
        <s v="279157" u="1"/>
        <s v="279249" u="1"/>
        <s v="280852" u="1"/>
        <s v="280944" u="1"/>
        <s v="277305" u="1"/>
        <s v="278133" u="1"/>
        <s v="279053" u="1"/>
        <s v="279237" u="1"/>
        <s v="279329" u="1"/>
        <s v="280840" u="1"/>
        <s v="280932" u="1"/>
        <s v="2814628" u="1"/>
        <s v="278121" u="1"/>
        <s v="279225" u="1"/>
        <s v="279317" u="1"/>
        <s v="279409" u="1"/>
        <s v="280920" u="1"/>
        <s v="141220 BP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08032021" u="1"/>
        <s v="24022021" u="1"/>
        <s v="28 agosto 2020" u="1"/>
        <s v="277907 jul-dic2020" u="1"/>
        <s v="1415" u="1"/>
        <s v="2635" u="1"/>
        <s v="27635" u="1"/>
        <s v="15451" u="1"/>
        <s v="12 julio" u="1"/>
        <s v="dic2020 ingreso" u="1"/>
        <s v="091100  11 abril 2021" u="1"/>
        <s v="209310 1" u="1"/>
        <s v="256983 1" u="1"/>
        <s v="27 NOV VTA CASA" u="1"/>
        <s v="274327" u="1"/>
        <s v="277087" u="1"/>
        <s v="280898" u="1"/>
        <s v="278179" u="1"/>
        <s v="279099" u="1"/>
        <s v="280886" u="1"/>
        <s v="280978" u="1"/>
        <s v="277339" u="1"/>
        <s v="279087" u="1"/>
        <s v="280690" u="1"/>
        <s v="280874" u="1"/>
        <s v="280966" u="1"/>
        <s v="277327" u="1"/>
        <s v="279167" u="1"/>
        <s v="279259" u="1"/>
        <s v="280862" u="1"/>
        <s v="280954" u="1"/>
        <s v="279155" u="1"/>
        <s v="279247" u="1"/>
        <s v="279339" u="1"/>
        <s v="280850" u="1"/>
        <s v="277303" u="1"/>
        <s v="278131" u="1"/>
        <s v="279051" u="1"/>
        <s v="279327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32020 6" u="1"/>
        <s v="28032021" u="1"/>
        <s v="24MARZO ALQUILA" u="1"/>
        <s v="5004" u="1"/>
        <s v="ag2020" u="1"/>
        <s v="5014" u="1"/>
        <s v="4625" u="1"/>
        <s v="062020nov" u="1"/>
        <s v="UCA300420" u="1"/>
        <s v="128932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7349" u="1"/>
        <s v="278177" u="1"/>
        <s v="279097" u="1"/>
        <s v="279189" u="1"/>
        <s v="280792" u="1"/>
        <s v="280884" u="1"/>
        <s v="280976" u="1"/>
        <s v="277337" u="1"/>
        <s v="279085" u="1"/>
        <s v="279177" u="1"/>
        <s v="279269" u="1"/>
        <s v="280780" u="1"/>
        <s v="280872" u="1"/>
        <s v="280964" u="1"/>
        <s v="277325" u="1"/>
        <s v="279073" u="1"/>
        <s v="279165" u="1"/>
        <s v="279257" u="1"/>
        <s v="279349" u="1"/>
        <s v="280860" u="1"/>
        <s v="280952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0414 2" u="1"/>
        <s v="2806641" u="1"/>
        <s v="279233" u="1"/>
        <s v="279325" u="1"/>
        <s v="279417" u="1"/>
        <s v="279509" u="1"/>
        <s v="279221" u="1"/>
        <s v="279313" u="1"/>
        <s v="279405" u="1"/>
        <s v="279301" u="1"/>
        <s v="092020 JUJUY FM" u="1"/>
        <s v="280949 1sept" u="1"/>
        <s v="300420201" u="1"/>
        <s v="274454 JUL20" u="1"/>
        <s v="08042021" u="1"/>
        <s v="08062020" u="1"/>
        <s v="24032021" u="1"/>
        <s v="24052020" u="1"/>
        <s v="12032021" u="1"/>
        <s v="279453 121" u="1"/>
        <s v="UCA070520" u="1"/>
        <s v="290201 1octubre" u="1"/>
        <s v="1011feb" u="1"/>
        <s v="190321" u="1"/>
        <s v="131220" u="1"/>
        <s v="280998" u="1"/>
        <s v="1711020" u="1"/>
        <s v="21 marzo" u="1"/>
        <s v="280894" u="1"/>
        <s v="280986" u="1"/>
        <s v="020.102020" u="1"/>
        <s v="277347" u="1"/>
        <s v="279095" u="1"/>
        <s v="279187" u="1"/>
        <s v="279279" u="1"/>
        <s v="280882" u="1"/>
        <s v="280974" u="1"/>
        <s v="277335" u="1"/>
        <s v="279083" u="1"/>
        <s v="279175" u="1"/>
        <s v="279267" u="1"/>
        <s v="279359" u="1"/>
        <s v="280870" u="1"/>
        <s v="280962" u="1"/>
        <s v="21julio" u="1"/>
        <s v="0910202" u="1"/>
        <s v="277323" u="1"/>
        <s v="279071" u="1"/>
        <s v="279163" u="1"/>
        <s v="279255" u="1"/>
        <s v="279347" u="1"/>
        <s v="280950" u="1"/>
        <s v="277311" u="1"/>
        <s v="278507" u="1"/>
        <s v="279151" u="1"/>
        <s v="279243" u="1"/>
        <s v="279335" u="1"/>
        <s v="279427" u="1"/>
        <s v="279519" u="1"/>
        <s v="25 nov" u="1"/>
        <s v="nov20" u="1"/>
        <s v="279231" u="1"/>
        <s v="279323" u="1"/>
        <s v="279415" u="1"/>
        <s v="279507" u="1"/>
        <s v="290932 15" u="1"/>
        <s v="080321MSSJ" u="1"/>
        <s v="279311" u="1"/>
        <s v="279403" u="1"/>
        <s v="22octubre" u="1"/>
        <s v="052020 JUJUY FM" u="1"/>
        <s v="12 marzo oficial" u="1"/>
        <s v="28062020" u="1"/>
        <s v="16042021" u="1"/>
        <s v="5005" u="1"/>
        <s v="04042021" u="1"/>
        <s v="20032021" u="1"/>
        <s v="15 SEPTIEMBRE - AVISO 2" u="1"/>
        <s v="4616" u="1"/>
        <s v="4626" u="1"/>
        <s v="UCA240520" u="1"/>
        <s v="24feb" u="1"/>
        <s v="2910200" u="1"/>
        <s v="89" u="1"/>
        <s v="275253" u="1"/>
        <s v="278197" u="1"/>
        <s v="280996" u="1"/>
        <s v="65" u="1"/>
        <s v="2712051" u="1"/>
        <s v="279197" u="1"/>
        <s v="279289" u="1"/>
        <s v="280892" u="1"/>
        <s v="280984" u="1"/>
        <s v="277345" u="1"/>
        <s v="279093" u="1"/>
        <s v="279277" u="1"/>
        <s v="279369" u="1"/>
        <s v="280880" u="1"/>
        <s v="280972" u="1"/>
        <s v="277333" u="1"/>
        <s v="278529" u="1"/>
        <s v="279173" u="1"/>
        <s v="279265" u="1"/>
        <s v="279357" u="1"/>
        <s v="280960" u="1"/>
        <s v="277321" u="1"/>
        <s v="278241" u="1"/>
        <s v="278517" u="1"/>
        <s v="278609" u="1"/>
        <s v="279161" u="1"/>
        <s v="279253" u="1"/>
        <s v="279345" u="1"/>
        <s v="279529" u="1"/>
        <s v="278505" u="1"/>
        <s v="279333" u="1"/>
        <s v="279425" u="1"/>
        <s v="279517" u="1"/>
        <s v="279609" u="1"/>
        <s v="279321" u="1"/>
        <s v="279413" u="1"/>
        <s v="279505" u="1"/>
        <s v="054" u="1"/>
        <s v="mecanico 12 marzo" u="1"/>
        <s v="279401" u="1"/>
        <s v="055" u="1"/>
        <s v="056" u="1"/>
        <s v="279453 131" u="1"/>
        <s v="08072020" u="1"/>
        <s v="057" u="1"/>
        <s v="23082020 1" u="1"/>
        <s v="289892" u="1"/>
        <s v="058" u="1"/>
        <s v="290209 10" u="1"/>
        <s v="059" u="1"/>
        <s v="2627" u="1"/>
        <s v="154287" u="1"/>
        <s v="KANGOO" u="1"/>
        <s v="23654" u="1"/>
        <s v="NOV2020 K" u="1"/>
        <s v="2721471" u="1"/>
        <s v="290392 120" u="1"/>
        <s v="279299" u="1"/>
        <s v="280994" u="1"/>
        <s v="280668 1" u="1"/>
        <s v="279195" u="1"/>
        <s v="279287" u="1"/>
        <s v="279379" u="1"/>
        <s v="280890" u="1"/>
        <s v="280982" u="1"/>
        <s v="27 NOV VENDO CENTRO" u="1"/>
        <s v="130" u="1"/>
        <s v="200974" u="1"/>
        <s v="277343" u="1"/>
        <s v="278263" u="1"/>
        <s v="278539" u="1"/>
        <s v="279091" u="1"/>
        <s v="279275" u="1"/>
        <s v="279367" u="1"/>
        <s v="279459" u="1"/>
        <s v="280970" u="1"/>
        <s v="131" u="1"/>
        <s v="1920" u="1"/>
        <s v="277331" u="1"/>
        <s v="278527" u="1"/>
        <s v="278619" u="1"/>
        <s v="279171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331" u="1"/>
        <s v="27942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082020 FM SOL" u="1"/>
        <s v="256" u="1"/>
        <s v="15248" u="1"/>
        <s v="136" u="1"/>
        <s v="02042021 UNJU" u="1"/>
        <s v="4607" u="1"/>
        <s v="289381 11" u="1"/>
        <s v="20062020" u="1"/>
        <s v="4617" u="1"/>
        <s v="138" u="1"/>
        <s v="5016" u="1"/>
        <s v="272469" u="1"/>
        <s v="274579 07/05" u="1"/>
        <s v="4637" u="1"/>
        <s v="290420" u="1"/>
        <s v="151617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469" u="1"/>
        <s v="280980" u="1"/>
        <s v="09102020" u="1"/>
        <s v="mecanico 19 marzo" u="1"/>
        <s v="278537" u="1"/>
        <s v="278629" u="1"/>
        <s v="279273" u="1"/>
        <s v="279365" u="1"/>
        <s v="279457" u="1"/>
        <s v="279549" u="1"/>
        <s v="278525" u="1"/>
        <s v="278709" u="1"/>
        <s v="279261" u="1"/>
        <s v="279353" u="1"/>
        <s v="279537" u="1"/>
        <s v="279629" u="1"/>
        <s v="MAY2020 J" u="1"/>
        <s v="333" u="1"/>
        <s v="278513" u="1"/>
        <s v="278605" u="1"/>
        <s v="279341" u="1"/>
        <s v="279525" u="1"/>
        <s v="279617" u="1"/>
        <s v="279709" u="1"/>
        <s v="334" u="1"/>
        <s v="278501" u="1"/>
        <s v="279513" u="1"/>
        <s v="279605" u="1"/>
        <s v="14marzo" u="1"/>
        <s v="279501" u="1"/>
        <s v="042020 FM SOL" u="1"/>
        <s v="AÑO2021" u="1"/>
        <s v="24072020" u="1"/>
        <s v="12072020" u="1"/>
        <s v="274586 5" u="1"/>
        <s v="090520" u="1"/>
        <s v="274455" u="1"/>
        <s v="27865" u="1"/>
        <s v="275719" u="1"/>
        <s v="279399" u="1"/>
        <s v="271917 Nov y Dic" u="1"/>
        <s v="275707" u="1"/>
        <s v="276351" u="1"/>
        <s v="279295" u="1"/>
        <s v="279387" u="1"/>
        <s v="279479" u="1"/>
        <s v="280990" u="1"/>
        <s v="112020 bm" u="1"/>
        <s v="154511" u="1"/>
        <s v="17102020" u="1"/>
        <s v="278547" u="1"/>
        <s v="279191" u="1"/>
        <s v="279283" u="1"/>
        <s v="279375" u="1"/>
        <s v="279467" u="1"/>
        <s v="279559" u="1"/>
        <s v="05102020" u="1"/>
        <s v="mar21" u="1"/>
        <s v="278535" u="1"/>
        <s v="278627" u="1"/>
        <s v="279271" u="1"/>
        <s v="279363" u="1"/>
        <s v="279455" u="1"/>
        <s v="279547" u="1"/>
        <s v="279639" u="1"/>
        <s v="274454 300420" u="1"/>
        <s v="280009" u="1"/>
        <s v="278523" u="1"/>
        <s v="278615" u="1"/>
        <s v="279351" u="1"/>
        <s v="279535" u="1"/>
        <s v="279627" u="1"/>
        <s v="279719" u="1"/>
        <s v="278511" u="1"/>
        <s v="278603" u="1"/>
        <s v="279431" u="1"/>
        <s v="279523" u="1"/>
        <s v="279615" u="1"/>
        <s v="279707" u="1"/>
        <s v="4750" u="1"/>
        <s v="121906 1" u="1"/>
        <s v="279511" u="1"/>
        <s v="279603" u="1"/>
        <s v="23065" u="1"/>
        <s v="KO" u="1"/>
        <s v="122020 FM SOL" u="1"/>
        <s v="28082020" u="1"/>
        <s v="4608" u="1"/>
        <s v="16082020" u="1"/>
        <s v="5007" u="1"/>
        <s v="20072020" u="1"/>
        <s v="4618" u="1"/>
        <s v="2900901 102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397" u="1"/>
        <s v="279489" u="1"/>
        <s v="271120200" u="1"/>
        <s v="4698" u="1"/>
        <s v="275705" u="1"/>
        <s v="278373" u="1"/>
        <s v="278649" u="1"/>
        <s v="279293" u="1"/>
        <s v="279385" u="1"/>
        <s v="279477" u="1"/>
        <s v="25102020" u="1"/>
        <s v="3456 4" u="1"/>
        <s v="278545" u="1"/>
        <s v="278637" u="1"/>
        <s v="279281" u="1"/>
        <s v="279373" u="1"/>
        <s v="279465" u="1"/>
        <s v="279557" u="1"/>
        <s v="279649" u="1"/>
        <s v="280019" u="1"/>
        <s v="20201" u="1"/>
        <s v="278533" u="1"/>
        <s v="278625" u="1"/>
        <s v="279361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1531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75380" u="1"/>
        <s v="23658" u="1"/>
        <s v="274454 29JUN20" u="1"/>
        <s v="090620" u="1"/>
        <s v="250520" u="1"/>
        <s v="274475" u="1"/>
        <s v="2659" u="1"/>
        <s v="275739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8659" u="1"/>
        <s v="279487" u="1"/>
        <s v="279579" u="1"/>
        <s v="29112020" u="1"/>
        <s v="17112020" u="1"/>
        <s v="275703" u="1"/>
        <s v="278371" u="1"/>
        <s v="278647" u="1"/>
        <s v="279383" u="1"/>
        <s v="279475" u="1"/>
        <s v="279567" u="1"/>
        <s v="279659" u="1"/>
        <s v="21102020" u="1"/>
        <s v="280029" u="1"/>
        <s v="28febrero" u="1"/>
        <s v="278543" u="1"/>
        <s v="278635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78531" u="1"/>
        <s v="278623" u="1"/>
        <s v="278807" u="1"/>
        <s v="279451" u="1"/>
        <s v="279543" u="1"/>
        <s v="279727" u="1"/>
        <s v="279819" u="1"/>
        <s v="280005" u="1"/>
        <s v="278611" u="1"/>
        <s v="278703" u="1"/>
        <s v="279531" u="1"/>
        <s v="279715" u="1"/>
        <s v="279807" u="1"/>
        <s v="4751" u="1"/>
        <s v="279611" u="1"/>
        <s v="uca feb21" u="1"/>
        <s v="290392" u="1"/>
        <s v="16092020" u="1"/>
        <s v="32082020" u="1"/>
        <s v="04092020" u="1"/>
        <s v="4619" u="1"/>
        <s v="20902" u="1"/>
        <s v="289029" u="1"/>
        <s v="170620" u="1"/>
        <s v="4659" u="1"/>
        <s v="050620" u="1"/>
        <s v="277669" u="1"/>
        <s v="FEB2021 FM SOL" u="1"/>
        <s v="275725" u="1"/>
        <s v="279497" u="1"/>
        <s v="275713" u="1"/>
        <s v="278657" u="1"/>
        <s v="279393" u="1"/>
        <s v="279485" u="1"/>
        <s v="279577" u="1"/>
        <s v="279669" u="1"/>
        <s v="09122020" u="1"/>
        <s v="280039" u="1"/>
        <s v="275701" u="1"/>
        <s v="279381" u="1"/>
        <s v="279473" u="1"/>
        <s v="279565" u="1"/>
        <s v="279657" u="1"/>
        <s v="279749" u="1"/>
        <s v="01112020" u="1"/>
        <s v="280027" u="1"/>
        <s v="280119" u="1"/>
        <s v="278541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8713" u="1"/>
        <s v="278805" u="1"/>
        <s v="279541" u="1"/>
        <s v="279725" u="1"/>
        <s v="279817" u="1"/>
        <s v="279909" u="1"/>
        <s v="280003" u="1"/>
        <s v="060802020" u="1"/>
        <s v="1542" u="1"/>
        <s v="3141" u="1"/>
        <s v="278701" u="1"/>
        <s v="279621" u="1"/>
        <s v="279713" u="1"/>
        <s v="279805" u="1"/>
        <s v="agos20" u="1"/>
        <s v="279701" u="1"/>
        <s v="24092020" u="1"/>
        <s v="12092020" u="1"/>
        <s v="1582" u="1"/>
        <s v="205007" u="1"/>
        <s v="274586 6" u="1"/>
        <s v="277652 JL20" u="1"/>
        <s v="275759" u="1"/>
        <s v="2903019 1" u="1"/>
        <s v="080321 CM1" u="1"/>
        <s v="275747" u="1"/>
        <s v="277679" u="1"/>
        <s v="15 SEPTIEMBRE" u="1"/>
        <s v="275735" u="1"/>
        <s v="277667" u="1"/>
        <s v="278679" u="1"/>
        <s v="279599" u="1"/>
        <s v="jul2020" u="1"/>
        <s v="275723" u="1"/>
        <s v="279495" u="1"/>
        <s v="279587" u="1"/>
        <s v="279679" u="1"/>
        <s v="29122020" u="1"/>
        <s v="4712" u="1"/>
        <s v="275711" u="1"/>
        <s v="278655" u="1"/>
        <s v="279391" u="1"/>
        <s v="279483" u="1"/>
        <s v="279575" u="1"/>
        <s v="279667" u="1"/>
        <s v="280037" u="1"/>
        <s v="280129" u="1"/>
        <s v="277907" u="1"/>
        <s v="278643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0febrero" u="1"/>
        <s v="278631" u="1"/>
        <s v="278907" u="1"/>
        <s v="279551" u="1"/>
        <s v="279643" u="1"/>
        <s v="279735" u="1"/>
        <s v="279827" u="1"/>
        <s v="279919" u="1"/>
        <s v="280105" u="1"/>
        <s v="16062002" u="1"/>
        <s v="278711" u="1"/>
        <s v="278803" u="1"/>
        <s v="279631" u="1"/>
        <s v="279723" u="1"/>
        <s v="279815" u="1"/>
        <s v="279907" u="1"/>
        <s v="75167" u="1"/>
        <s v="280001" u="1"/>
        <s v="121906 2" u="1"/>
        <s v="279711" u="1"/>
        <s v="279803" u="1"/>
        <s v="2893211 091" u="1"/>
        <s v="15478" u="1"/>
        <s v="274596 6" u="1"/>
        <s v="dic2029" u="1"/>
        <s v="312019 R" u="1"/>
        <s v="274769" u="1"/>
        <s v="275769" u="1"/>
        <s v="277689" u="1"/>
        <s v="155665" u="1"/>
        <s v="277677" u="1"/>
        <s v="278597" u="1"/>
        <s v="278689" u="1"/>
        <s v="275733" u="1"/>
        <s v="277665" u="1"/>
        <s v="278677" u="1"/>
        <s v="279597" u="1"/>
        <s v="279689" u="1"/>
        <s v="280059" u="1"/>
        <s v="280943 11" u="1"/>
        <s v="275721" u="1"/>
        <s v="278665" u="1"/>
        <s v="279493" u="1"/>
        <s v="279585" u="1"/>
        <s v="279677" u="1"/>
        <s v="280139" u="1"/>
        <s v="2752852" u="1"/>
        <s v="13122020" u="1"/>
        <s v="278653" u="1"/>
        <s v="278929" u="1"/>
        <s v="279481" u="1"/>
        <s v="279573" u="1"/>
        <s v="279665" u="1"/>
        <s v="279757" u="1"/>
        <s v="279849" u="1"/>
        <s v="01122020" u="1"/>
        <s v="280035" u="1"/>
        <s v="280127" u="1"/>
        <s v="280219" u="1"/>
        <s v="278641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78813" u="1"/>
        <s v="278905" u="1"/>
        <s v="279641" u="1"/>
        <s v="279733" u="1"/>
        <s v="279825" u="1"/>
        <s v="279917" u="1"/>
        <s v="280103" u="1"/>
        <s v="278801" u="1"/>
        <s v="279721" u="1"/>
        <s v="279813" u="1"/>
        <s v="279905" u="1"/>
        <s v="21092020Z" u="1"/>
        <s v="feb2021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29012021" u="1"/>
        <s v="1diciembre" u="1"/>
        <s v="280069" u="1"/>
        <s v="1904" u="1"/>
        <s v="20206" u="1"/>
        <s v="275731" u="1"/>
        <s v="277663" u="1"/>
        <s v="278675" u="1"/>
        <s v="278859" u="1"/>
        <s v="279687" u="1"/>
        <s v="279779" u="1"/>
        <s v="05012021" u="1"/>
        <s v="280948 2" u="1"/>
        <s v="280057" u="1"/>
        <s v="280149" u="1"/>
        <s v="2763510" u="1"/>
        <s v="278571" u="1"/>
        <s v="278663" u="1"/>
        <s v="278939" u="1"/>
        <s v="279491" u="1"/>
        <s v="279583" u="1"/>
        <s v="279675" u="1"/>
        <s v="279859" u="1"/>
        <s v="280045" u="1"/>
        <s v="280137" u="1"/>
        <s v="280229" u="1"/>
        <s v="278651" u="1"/>
        <s v="278927" u="1"/>
        <s v="279571" u="1"/>
        <s v="279663" u="1"/>
        <s v="279847" u="1"/>
        <s v="279939" u="1"/>
        <s v="280033" u="1"/>
        <s v="280125" u="1"/>
        <s v="280217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795591" u="1"/>
        <s v="22 noviembre" u="1"/>
        <s v="278903" u="1"/>
        <s v="279731" u="1"/>
        <s v="279823" u="1"/>
        <s v="279915" u="1"/>
        <s v="277652 OC20" u="1"/>
        <s v="280101" u="1"/>
        <s v="279811" u="1"/>
        <s v="279903" u="1"/>
        <s v="303038" u="1"/>
        <s v="CM0803" u="1"/>
        <s v="062020" u="1"/>
        <s v="4783" u="1"/>
        <s v="dic612" u="1"/>
        <s v="4793" u="1"/>
        <s v="1011mar" u="1"/>
        <s v="274789" u="1"/>
        <s v="jul0720" u="1"/>
        <s v="8MARZO RUTA 9" u="1"/>
        <s v="27009 1 octubre" u="1"/>
        <s v="275765" u="1"/>
        <s v="277697" u="1"/>
        <s v="8MARZO -." u="1"/>
        <s v="277685" u="1"/>
        <s v="278697" u="1"/>
        <s v="3DICIEMBRE" u="1"/>
        <s v="280079" u="1"/>
        <s v="00279060" u="1"/>
        <s v="275741" u="1"/>
        <s v="277673" u="1"/>
        <s v="278685" u="1"/>
        <s v="278869" u="1"/>
        <s v="279697" u="1"/>
        <s v="280159" u="1"/>
        <s v="277661" u="1"/>
        <s v="278857" u="1"/>
        <s v="278949" u="1"/>
        <s v="279593" u="1"/>
        <s v="279685" u="1"/>
        <s v="279869" u="1"/>
        <s v="280147" u="1"/>
        <s v="280239" u="1"/>
        <s v="278661" u="1"/>
        <s v="278937" u="1"/>
        <s v="279581" u="1"/>
        <s v="279673" u="1"/>
        <s v="279857" u="1"/>
        <s v="279949" u="1"/>
        <s v="nov op 02 2020" u="1"/>
        <s v="280043" u="1"/>
        <s v="280135" u="1"/>
        <s v="280227" u="1"/>
        <s v="1524" u="1"/>
        <s v="278833" u="1"/>
        <s v="278925" u="1"/>
        <s v="279661" u="1"/>
        <s v="279845" u="1"/>
        <s v="279937" u="1"/>
        <s v="280031" u="1"/>
        <s v="280123" u="1"/>
        <s v="280215" u="1"/>
        <s v="2795691" u="1"/>
        <s v="278913" u="1"/>
        <s v="279741" u="1"/>
        <s v="279833" u="1"/>
        <s v="279925" u="1"/>
        <s v="280111" u="1"/>
        <s v="280203" u="1"/>
        <s v="2795571" u="1"/>
        <s v="278901" u="1"/>
        <s v="279821" u="1"/>
        <s v="279913" u="1"/>
        <s v="141020" u="1"/>
        <s v="7 marzo" u="1"/>
        <s v="290092 1" u="1"/>
        <s v="021{" u="1"/>
        <s v="29091 1010" u="1"/>
        <s v="277652 JN20" u="1"/>
        <s v="29091 28 agosto" u="1"/>
        <s v="274799" u="1"/>
        <s v="CFA20" u="1"/>
        <s v="010820" u="1"/>
        <s v="072020 30" u="1"/>
        <s v="277695" u="1"/>
        <s v="280089" u="1"/>
        <s v="277683" u="1"/>
        <s v="278695" u="1"/>
        <s v="279799" u="1"/>
        <s v="102020oct" u="1"/>
        <s v="280077" u="1"/>
        <s v="280169" u="1"/>
        <s v="277671" u="1"/>
        <s v="278683" u="1"/>
        <s v="278867" u="1"/>
        <s v="279695" u="1"/>
        <s v="279879" u="1"/>
        <s v="280157" u="1"/>
        <s v="280249" u="1"/>
        <s v="278855" u="1"/>
        <s v="279591" u="1"/>
        <s v="279683" u="1"/>
        <s v="279775" u="1"/>
        <s v="279867" u="1"/>
        <s v="279959" u="1"/>
        <s v="280145" u="1"/>
        <s v="280237" u="1"/>
        <s v="278935" u="1"/>
        <s v="279671" u="1"/>
        <s v="279855" u="1"/>
        <s v="279947" u="1"/>
        <s v="280041" u="1"/>
        <s v="280133" u="1"/>
        <s v="280225" u="1"/>
        <s v="280409" u="1"/>
        <s v="920910 1" u="1"/>
        <s v="278923" u="1"/>
        <s v="279751" u="1"/>
        <s v="279843" u="1"/>
        <s v="279935" u="1"/>
        <s v="280121" u="1"/>
        <s v="280213" u="1"/>
        <s v="2795671" u="1"/>
        <s v="278911" u="1"/>
        <s v="279831" u="1"/>
        <s v="4754" u="1"/>
        <s v="022054" u="1"/>
        <s v="280201" u="1"/>
        <s v="2795551" u="1"/>
        <s v="27009 1 sept" u="1"/>
        <s v="121307" u="1"/>
        <s v="279911" u="1"/>
        <s v="102020" u="1"/>
        <s v="123123" u="1"/>
        <s v="290090 1" u="1"/>
        <s v="274596 7" u="1"/>
        <s v="275797" u="1"/>
        <s v="170920" u="1"/>
        <s v="275785" u="1"/>
        <s v="277348 12" u="1"/>
        <s v="3012120200" u="1"/>
        <s v="280099" u="1"/>
        <s v="277693" u="1"/>
        <s v="280087" u="1"/>
        <s v="280179" u="1"/>
        <s v="020421 cd" u="1"/>
        <s v="277681" u="1"/>
        <s v="278693" u="1"/>
        <s v="279889" u="1"/>
        <s v="09032021" u="1"/>
        <s v="25022021" u="1"/>
        <s v="280075" u="1"/>
        <s v="280167" u="1"/>
        <s v="280259" u="1"/>
        <s v="24234" u="1"/>
        <s v="278681" u="1"/>
        <s v="278865" u="1"/>
        <s v="279693" u="1"/>
        <s v="279877" u="1"/>
        <s v="279969" u="1"/>
        <s v="271701 JUN" u="1"/>
        <s v="280063" u="1"/>
        <s v="280155" u="1"/>
        <s v="280247" u="1"/>
        <s v="277324 20" u="1"/>
        <s v="23 marzo 2021" u="1"/>
        <s v="278853" u="1"/>
        <s v="278945" u="1"/>
        <s v="279681" u="1"/>
        <s v="279865" u="1"/>
        <s v="279957" u="1"/>
        <s v="280143" u="1"/>
        <s v="280419" u="1"/>
        <s v="1525" u="1"/>
        <s v="279853" u="1"/>
        <s v="279945" u="1"/>
        <s v="279451 0" u="1"/>
        <s v="280131" u="1"/>
        <s v="280223" u="1"/>
        <s v="280407" u="1"/>
        <s v="UCA2405201" u="1"/>
        <s v="3945" u="1"/>
        <s v="278921" u="1"/>
        <s v="279841" u="1"/>
        <s v="279933" u="1"/>
        <s v="280211" u="1"/>
        <s v="2795651" u="1"/>
        <s v="1545" u="1"/>
        <s v="3144" u="1"/>
        <s v="279921" u="1"/>
        <s v="2795531" u="1"/>
        <s v="141120" u="1"/>
        <s v="290192 1" u="1"/>
        <s v="125145" u="1"/>
        <s v="18" u="1"/>
        <s v="oct1020" u="1"/>
        <s v="1585" u="1"/>
        <s v="290901 1octubre" u="1"/>
        <s v="abr21" u="1"/>
        <s v="2903902" u="1"/>
        <s v="00019" u="1"/>
        <s v="274771" u="1"/>
        <s v="280097" u="1"/>
        <s v="280189" u="1"/>
        <s v="277691" u="1"/>
        <s v="279899" u="1"/>
        <s v="280668 4" u="1"/>
        <s v="280177" u="1"/>
        <s v="280269" u="1"/>
        <s v="278674 127224" u="1"/>
        <s v="278691" u="1"/>
        <s v="279795" u="1"/>
        <s v="279887" u="1"/>
        <s v="279979" u="1"/>
        <s v="05032021" u="1"/>
        <s v="21022021" u="1"/>
        <s v="280165" u="1"/>
        <s v="278863" u="1"/>
        <s v="279691" u="1"/>
        <s v="279875" u="1"/>
        <s v="280153" u="1"/>
        <s v="280245" u="1"/>
        <s v="280429" u="1"/>
        <s v="278851" u="1"/>
        <s v="278943" u="1"/>
        <s v="279863" u="1"/>
        <s v="279955" u="1"/>
        <s v="29000 11" u="1"/>
        <s v="280141" u="1"/>
        <s v="280417" u="1"/>
        <s v="278931" u="1"/>
        <s v="279851" u="1"/>
        <s v="279943" u="1"/>
        <s v="280221" u="1"/>
        <s v="280405" u="1"/>
        <s v="2795751" u="1"/>
        <s v="279931" u="1"/>
        <s v="4755" u="1"/>
        <s v="2795631" u="1"/>
        <s v="2795511" u="1"/>
        <s v="2365" u="1"/>
        <s v="303030" u="1"/>
        <s v="030.122020" u="1"/>
        <s v="290190 1" u="1"/>
        <s v="126327" u="1"/>
        <s v="274793" u="1"/>
        <s v="nov1" u="1"/>
        <s v="15octubre" u="1"/>
        <s v="274454 25may20" u="1"/>
        <s v="280199" u="1"/>
        <s v="nov20-2" u="1"/>
        <s v="1020321 MARZO" u="1"/>
        <s v="21092020 E" u="1"/>
        <s v="280095" u="1"/>
        <s v="280187" u="1"/>
        <s v="280279" u="1"/>
        <s v="00279061" u="1"/>
        <s v="279897" u="1"/>
        <s v="279989" u="1"/>
        <s v="09042021" u="1"/>
        <s v="25052020" u="1"/>
        <s v="22 septiembre 1" u="1"/>
        <s v="280083" u="1"/>
        <s v="280175" u="1"/>
        <s v="280267" u="1"/>
        <s v="279885" u="1"/>
        <s v="279977" u="1"/>
        <s v="280163" u="1"/>
        <s v="280255" u="1"/>
        <s v="278861" u="1"/>
        <s v="279873" u="1"/>
        <s v="280151" u="1"/>
        <s v="280243" u="1"/>
        <s v="280427" u="1"/>
        <s v="2908123" u="1"/>
        <s v="278941" u="1"/>
        <s v="279861" u="1"/>
        <s v="279953" u="1"/>
        <s v="280415" u="1"/>
        <s v="279941" u="1"/>
        <s v="240221" u="1"/>
        <s v="280403" u="1"/>
        <s v="2795731" u="1"/>
        <s v="2795611" u="1"/>
        <s v="277652 ab20" u="1"/>
        <s v="274454 AGOSTO20" u="1"/>
        <s v="021220" u="1"/>
        <s v="303040" u="1"/>
        <s v="290209 33" u="1"/>
        <s v="10 MARZO" u="1"/>
        <s v="22 septiembre 2" u="1"/>
        <s v="OCT2020" u="1"/>
        <s v="265300" u="1"/>
        <s v="290520 1" u="1"/>
        <s v="275791" u="1"/>
        <s v="275281 1" u="1"/>
        <s v="062020 JUJUY FM" u="1"/>
        <s v="280197" u="1"/>
        <s v="adfsadfas" u="1"/>
        <s v="277975" u="1"/>
        <s v="279999" u="1"/>
        <s v="21092020 D" u="1"/>
        <s v="4706" u="1"/>
        <s v="280093" u="1"/>
        <s v="280185" u="1"/>
        <s v="17042021" u="1"/>
        <s v="279895" u="1"/>
        <s v="279987" u="1"/>
        <s v="4716" u="1"/>
        <s v="36529" u="1"/>
        <s v="200269" u="1"/>
        <s v="280081" u="1"/>
        <s v="280173" u="1"/>
        <s v="280449" u="1"/>
        <s v="277322 21" u="1"/>
        <s v="278871" u="1"/>
        <s v="279791" u="1"/>
        <s v="279883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321" u="1"/>
        <s v="280413" u="1"/>
        <s v="280401" u="1"/>
        <s v="2795711" u="1"/>
        <s v="2agosto" u="1"/>
        <s v="223232" u="1"/>
        <s v="26598111" u="1"/>
        <s v="4786" u="1"/>
        <s v="204325" u="1"/>
        <s v="jun   2020" u="1"/>
        <s v="060" u="1"/>
        <s v="28082020 pg9" u="1"/>
        <s v="061" u="1"/>
        <s v="062" u="1"/>
        <s v="063" u="1"/>
        <s v="064" u="1"/>
        <s v="277997" u="1"/>
        <s v="065" u="1"/>
        <s v="19042021 UNJU" u="1"/>
        <s v="280195" u="1"/>
        <s v="279997" u="1"/>
        <s v="09072020" u="1"/>
        <s v="25042021" u="1"/>
        <s v="21092020 C" u="1"/>
        <s v="280091" u="1"/>
        <s v="280183" u="1"/>
        <s v="280275" u="1"/>
        <s v="280459" u="1"/>
        <s v="279893" u="1"/>
        <s v="01042021" u="1"/>
        <s v="01062020" u="1"/>
        <s v="240449" u="1"/>
        <s v="280171" u="1"/>
        <s v="280447" u="1"/>
        <s v="280539" u="1"/>
        <s v="122020 modo" u="1"/>
        <s v="22MARZO 2021" u="1"/>
        <s v="279881" u="1"/>
        <s v="279973" u="1"/>
        <s v="277331 2" u="1"/>
        <s v="279463 1" u="1"/>
        <s v="10marzo 2021" u="1"/>
        <s v="280435" u="1"/>
        <s v="280619" u="1"/>
        <s v="279961" u="1"/>
        <s v="280423" u="1"/>
        <s v="uca mar21" u="1"/>
        <s v="280411" u="1"/>
        <s v="280503" u="1"/>
        <s v="120321" u="1"/>
        <s v="121517" u="1"/>
        <s v="AGRALE" u="1"/>
        <s v="090190 25 abril" u="1"/>
        <s v="140" u="1"/>
        <s v="1420201" u="1"/>
        <s v="ene21 distancia" u="1"/>
        <s v="141" u="1"/>
        <s v="021" u="1"/>
        <s v="142" u="1"/>
        <s v="14 jun" u="1"/>
        <s v="263" u="1"/>
        <s v="143" u="1"/>
        <s v="144" u="1"/>
        <s v="265" u="1"/>
        <s v="145" u="1"/>
        <s v="1marzo" u="1"/>
        <s v="092020 FM SOL" u="1"/>
        <s v="280297" u="1"/>
        <s v="280389" u="1"/>
        <s v="277350 12" u="1"/>
        <s v="102020 JUJUY FM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891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13diciembre" u="1"/>
        <s v="265286" u="1"/>
        <s v="280501" u="1"/>
        <s v="0310.20201" u="1"/>
        <s v="28032020 12" u="1"/>
        <s v="1020321" u="1"/>
        <s v="0420" u="1"/>
        <s v="1492020" u="1"/>
        <s v="052020 FM SOL" u="1"/>
        <s v="280295" u="1"/>
        <s v="280387" u="1"/>
        <s v="280479" u="1"/>
        <s v="00279062" u="1"/>
        <s v="09082020" u="1"/>
        <s v="25072020" u="1"/>
        <s v="280191" u="1"/>
        <s v="280467" u="1"/>
        <s v="154511 2" u="1"/>
        <s v="280455" u="1"/>
        <s v="280547" u="1"/>
        <s v="280639" u="1"/>
        <s v="279981" u="1"/>
        <s v="280443" u="1"/>
        <s v="280431" u="1"/>
        <s v="279751 456" u="1"/>
        <s v="280603" u="1"/>
        <s v="2809112 1sept" u="1"/>
        <s v="090190 18 abril" u="1"/>
        <s v="20563" u="1"/>
        <s v="07062020 w" u="1"/>
        <s v="sep1" u="1"/>
        <s v="280 1090" u="1"/>
        <s v="28965" u="1"/>
        <s v="323423" u="1"/>
        <s v="280945 112" u="1"/>
        <s v="122020 bm" u="1"/>
        <s v="081120200" u="1"/>
        <s v="28081 12" u="1"/>
        <s v="713082020" u="1"/>
        <s v="268708" u="1"/>
        <s v="4840" u="1"/>
        <s v="070612020" u="1"/>
        <s v="290901 10" u="1"/>
        <s v="277701 3004" u="1"/>
        <s v="5marzo" u="1"/>
        <s v="080321 ME" u="1"/>
        <s v="1082020" u="1"/>
        <s v="29082020" u="1"/>
        <s v="280385" u="1"/>
        <s v="280477" u="1"/>
        <s v="17082020" u="1"/>
        <s v="278674 1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81020201" u="1"/>
        <s v="290919 12" u="1"/>
        <s v="3200" u="1"/>
        <s v="26102020" u="1"/>
        <s v="269957 4" u="1"/>
        <s v="02102020" u="1"/>
        <s v="01202" u="1"/>
        <s v="268350" u="1"/>
        <s v="268718" u="1"/>
        <s v="3032021" u="1"/>
        <s v="2020" u="1"/>
        <s v="010820 p" u="1"/>
        <s v="274475 2" u="1"/>
        <s v="7MARZO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20365" u="1"/>
        <s v="12282" u="1"/>
        <s v="280451" u="1"/>
        <s v="280543" u="1"/>
        <s v="280635" u="1"/>
        <s v="280819" u="1"/>
        <s v="280623" u="1"/>
        <s v="280807" u="1"/>
        <s v="290209 36" u="1"/>
        <s v="279008" u="1"/>
        <s v="280611" u="1"/>
        <s v="140520" u="1"/>
        <s v="300420" u="1"/>
        <s v="141520" u="1"/>
        <s v="277328 123" u="1"/>
        <s v="147568" u="1"/>
        <s v="081120201" u="1"/>
        <s v="1589" u="1"/>
        <s v="20973" u="1"/>
        <s v="18112020" u="1"/>
        <s v="06112020" u="1"/>
        <s v="0001" u="1"/>
        <s v="m2021" u="1"/>
        <s v="10102020" u="1"/>
        <s v="268728" u="1"/>
        <s v="5062020" u="1"/>
        <s v="9MARZO" u="1"/>
        <s v="274454 SEPT20" u="1"/>
        <s v="2563 11" u="1"/>
        <s v="28084" u="1"/>
        <s v="280497" u="1"/>
        <s v="278674 11" u="1"/>
        <s v="4881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78137 5" u="1"/>
        <s v="280461" u="1"/>
        <s v="280645" u="1"/>
        <s v="280829" u="1"/>
        <s v="280541" u="1"/>
        <s v="280633" u="1"/>
        <s v="280817" u="1"/>
        <s v="280909" u="1"/>
        <s v="271701 2308" u="1"/>
        <s v="279018" u="1"/>
        <s v="280621" u="1"/>
        <s v="agos20 2" u="1"/>
        <s v="220520" u="1"/>
        <s v="279006" u="1"/>
        <s v="100520" u="1"/>
        <s v="274454 MAY20" u="1"/>
        <s v="4779" u="1"/>
        <s v="022021 DImp" u="1"/>
        <s v="265622" u="1"/>
        <s v="30102020" u="1"/>
        <s v="268738" u="1"/>
        <s v="268726" u="1"/>
        <s v="2021" u="1"/>
        <s v="279406 111" u="1"/>
        <s v="268714" u="1"/>
        <s v="289909" u="1"/>
        <s v="EDADAS" u="1"/>
        <s v="277959 1" u="1"/>
        <s v="280495" u="1"/>
        <s v="280679" u="1"/>
        <s v="2893211" u="1"/>
        <s v="00279063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043255" u="1"/>
        <s v="279028" u="1"/>
        <s v="280631" u="1"/>
        <s v="280907" u="1"/>
        <s v="279016" u="1"/>
        <s v="280803" u="1"/>
        <s v="125497" u="1"/>
        <s v="300520" u="1"/>
        <s v="281002020" u="1"/>
        <s v="279004" u="1"/>
        <s v="161002020" u="1"/>
        <s v="49939 1" u="1"/>
        <s v="18122020" u="1"/>
        <s v="268748" u="1"/>
        <s v="06122020" u="1"/>
        <s v="22112020" u="1"/>
        <s v="12aq" u="1"/>
        <s v="271846 20" u="1"/>
        <s v="268736" u="1"/>
        <s v="4021" u="1"/>
        <s v="21febrero" u="1"/>
        <s v="268724" u="1"/>
        <s v="271917 2" u="1"/>
        <s v="21320" u="1"/>
        <s v="268712" u="1"/>
        <s v="289907" u="1"/>
        <s v="12 julio." u="1"/>
        <s v="4872" u="1"/>
        <s v="280689" u="1"/>
        <s v="12 marzo arquitecto" u="1"/>
        <s v="280493" u="1"/>
        <s v="280677" u="1"/>
        <s v="21092020" u="1"/>
        <s v="280481" u="1"/>
        <s v="280757" u="1"/>
        <s v="280849" u="1"/>
        <s v="280745" u="1"/>
        <s v="280837" u="1"/>
        <s v="280929" u="1"/>
        <s v="27NOV" u="1"/>
        <s v="279038" u="1"/>
        <s v="280641" u="1"/>
        <s v="280825" u="1"/>
        <s v="280917" u="1"/>
        <s v="277002" u="1"/>
        <s v="279026" u="1"/>
        <s v="280813" u="1"/>
        <s v="280905" u="1"/>
        <s v="220620" u="1"/>
        <s v="279014" u="1"/>
        <s v="265390" u="1"/>
        <s v="279002" u="1"/>
        <s v="125145 1" u="1"/>
        <s v="160920N88" u="1"/>
        <s v="274454 dic20" u="1"/>
        <s v="1603" u="1"/>
        <s v="02202011" u="1"/>
        <s v="14122020" u="1"/>
        <s v="269957 5" u="1"/>
        <s v="30112020" u="1"/>
        <s v="21213" u="1"/>
        <s v="268746" u="1"/>
        <s v="001 2021" u="1"/>
        <s v="268734" u="1"/>
        <s v="268722" u="1"/>
        <s v="268710" u="1"/>
        <s v="289905" u="1"/>
        <s v="12078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79036" u="1"/>
        <s v="280823" u="1"/>
        <s v="280915" u="1"/>
        <s v="04/102020" u="1"/>
        <s v="1 SEPTIEM ALQUILA" u="1"/>
        <s v="278012" u="1"/>
        <s v="279024" u="1"/>
        <s v="279208" u="1"/>
        <s v="280903" u="1"/>
        <s v="081112020" u="1"/>
        <s v="278000" u="1"/>
        <s v="20 septiembre" u="1"/>
        <s v="06012021" u="1"/>
        <s v="268744" u="1"/>
        <s v="268732" u="1"/>
        <s v="1233" u="1"/>
        <s v="268720" u="1"/>
        <s v="278674 13" u="1"/>
        <s v="289903" u="1"/>
        <s v="277989 1" u="1"/>
        <s v="25631" u="1"/>
        <s v="072020" u="1"/>
        <s v="280697" u="1"/>
        <s v="280789" u="1"/>
        <s v="280685" u="1"/>
        <s v="280869" u="1"/>
        <s v="280359 1" u="1"/>
        <s v="29840" u="1"/>
        <s v="280765" u="1"/>
        <s v="280857" u="1"/>
        <s v="280949" u="1"/>
        <s v="279058" u="1"/>
        <s v="280845" u="1"/>
        <s v="280937" u="1"/>
        <s v="278218" u="1"/>
        <s v="280833" u="1"/>
        <s v="280925" u="1"/>
        <s v="279034" u="1"/>
        <s v="279218" u="1"/>
        <s v="280821" u="1"/>
        <s v="280913" u="1"/>
        <s v="279206" u="1"/>
        <s v="280901" u="1"/>
        <s v="279010" u="1"/>
        <s v="30122020A" u="1"/>
        <s v="14012021" u="1"/>
        <s v="25052020 1" u="1"/>
        <s v="09109 4 abril 2021" u="1"/>
        <s v="5623" u="1"/>
        <s v="290123" u="1"/>
        <s v="268730" u="1"/>
        <s v="277999 1" u="1"/>
        <s v="25632" u="1"/>
        <s v="289901" u="1"/>
        <s v="73905" u="1"/>
        <s v="280799" u="1"/>
        <s v="012021" u="1"/>
        <s v="277068" u="1"/>
        <s v="280695" u="1"/>
        <s v="280879" u="1"/>
        <s v="00279064" u="1"/>
        <s v="280683" u="1"/>
        <s v="280775" u="1"/>
        <s v="280867" u="1"/>
        <s v="280959" u="1"/>
        <s v="279068" u="1"/>
        <s v="280671" u="1"/>
        <s v="280855" u="1"/>
        <s v="280947" u="1"/>
        <s v="277308" u="1"/>
        <s v="279056" u="1"/>
        <s v="280935" u="1"/>
        <s v="278216" u="1"/>
        <s v="279044" u="1"/>
        <s v="279228" u="1"/>
        <s v="280831" u="1"/>
        <s v="280923" u="1"/>
        <s v="256082020 1" u="1"/>
        <s v="279032" u="1"/>
        <s v="279216" u="1"/>
        <s v="279308" u="1"/>
        <s v="280911" u="1"/>
        <s v="dic20" u="1"/>
        <s v="2814631" u="1"/>
        <s v="56987" u="1"/>
        <s v="204859" u="1"/>
        <s v="279020" u="1"/>
        <s v="279204" u="1"/>
        <s v="279100" u="1"/>
        <s v="2814632" u="1"/>
        <s v="232020oct" u="1"/>
        <s v="289190 01" u="1"/>
        <s v="9marzo 2021" u="1"/>
        <s v="10012021" u="1"/>
        <s v="28 MARZO 2021" u="1"/>
        <s v="269082 1" u="1"/>
        <s v="4834" u="1"/>
        <s v="jul20" u="1"/>
        <s v="268740" u="1"/>
        <s v="4844" u="1"/>
        <s v="891011" u="1"/>
        <s v="278674 14" u="1"/>
        <s v="1234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80681" u="1"/>
        <s v="280773" u="1"/>
        <s v="280865" u="1"/>
        <s v="280957" u="1"/>
        <s v="20-112020" u="1"/>
        <s v="277318" u="1"/>
        <s v="279158" u="1"/>
        <s v="280761" u="1"/>
        <s v="280853" u="1"/>
        <s v="280945" u="1"/>
        <s v="279054" u="1"/>
        <s v="279238" u="1"/>
        <s v="280841" u="1"/>
        <s v="280933" u="1"/>
        <s v="281853" u="1"/>
        <s v="263958" u="1"/>
        <s v="278214" u="1"/>
        <s v="279226" u="1"/>
        <s v="279318" u="1"/>
        <s v="280921" u="1"/>
        <s v="180920" u="1"/>
        <s v="271701 2609" u="1"/>
        <s v="279214" u="1"/>
        <s v="279306" u="1"/>
        <s v="14102002" u="1"/>
        <s v="279202" u="1"/>
        <s v="125145 2" u="1"/>
        <s v="26022021" u="1"/>
        <s v="270168" u="1"/>
        <s v="269957 6" u="1"/>
        <s v="268750" u="1"/>
        <s v="312019 W" u="1"/>
        <s v="26 julio" u="1"/>
        <s v="73631" u="1"/>
        <s v="151120" u="1"/>
        <s v="3" u="1"/>
        <s v="277088" u="1"/>
        <s v="280899" u="1"/>
        <s v="154236" u="1"/>
        <s v="23 agosto" u="1"/>
        <s v="274316" u="1"/>
        <s v="280887" u="1"/>
        <s v="280979" u="1"/>
        <s v="278168" u="1"/>
        <s v="279088" u="1"/>
        <s v="280691" u="1"/>
        <s v="280783" u="1"/>
        <s v="280875" u="1"/>
        <s v="280967" u="1"/>
        <s v="2740281" u="1"/>
        <s v="36598" u="1"/>
        <s v="277052" u="1"/>
        <s v="277328" u="1"/>
        <s v="279076" u="1"/>
        <s v="279168" u="1"/>
        <s v="280955" u="1"/>
        <s v="2814617" u="1"/>
        <s v="277316" u="1"/>
        <s v="279064" u="1"/>
        <s v="279156" u="1"/>
        <s v="279248" u="1"/>
        <s v="280851" u="1"/>
        <s v="280943" u="1"/>
        <s v="JUN20ml" u="1"/>
        <s v="277304" u="1"/>
        <s v="278132" u="1"/>
        <s v="279052" u="1"/>
        <s v="279328" u="1"/>
        <s v="280931" u="1"/>
        <s v="260920" u="1"/>
        <s v="278212" u="1"/>
        <s v="279040" u="1"/>
        <s v="279224" u="1"/>
        <s v="279316" u="1"/>
        <s v="279408" u="1"/>
        <s v="279212" u="1"/>
        <s v="279304" u="1"/>
        <s v="18032021" u="1"/>
        <s v="277658 17" u="1"/>
        <s v="21318" u="1"/>
        <s v="269876" u="1"/>
        <s v="73432" u="1"/>
        <s v="277652 DIC20" u="1"/>
        <s v="21350" u="1"/>
        <s v="277994 11" u="1"/>
        <s v="responsable taller 12 marzo" u="1"/>
        <s v="21450" u="1"/>
        <s v="25643" u="1"/>
        <s v="29071 091" u="1"/>
        <s v="274326" u="1"/>
        <s v="280897" u="1"/>
        <s v="280989" u="1"/>
        <s v="20 febrero terrenos" u="1"/>
        <s v="279098" u="1"/>
        <s v="280793" u="1"/>
        <s v="280885" u="1"/>
        <s v="280977" u="1"/>
        <s v="49951" u="1"/>
        <s v="277338" u="1"/>
        <s v="278166" u="1"/>
        <s v="279086" u="1"/>
        <s v="280873" u="1"/>
        <s v="280965" u="1"/>
        <s v="20432551" u="1"/>
        <s v="277326" u="1"/>
        <s v="279074" u="1"/>
        <s v="279166" u="1"/>
        <s v="279258" u="1"/>
        <s v="280861" u="1"/>
        <s v="280953" u="1"/>
        <s v="158246" u="1"/>
        <s v="277652 SE20" u="1"/>
        <s v="277314" u="1"/>
        <s v="279062" u="1"/>
        <s v="279154" u="1"/>
        <s v="279246" u="1"/>
        <s v="279338" u="1"/>
        <s v="280941" u="1"/>
        <s v="feb21" u="1"/>
        <s v="279234" u="1"/>
        <s v="279326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26032021" u="1"/>
        <s v="15octubre." u="1"/>
        <s v="14032021" u="1"/>
        <s v="30042020" u="1"/>
        <s v="272164" u="1"/>
        <s v="25636" u="1"/>
        <s v="270312" u="1"/>
        <s v="25644" u="1"/>
        <s v="29653" u="1"/>
        <s v="9674" u="1"/>
        <s v="277096" u="1"/>
        <s v="280999" u="1"/>
        <s v="280895" u="1"/>
        <s v="280987" u="1"/>
        <s v="00279065" u="1"/>
        <s v="277348" u="1"/>
        <s v="279096" u="1"/>
        <s v="279188" u="1"/>
        <s v="280791" u="1"/>
        <s v="280883" u="1"/>
        <s v="280975" u="1"/>
        <s v="23" u="1"/>
        <s v="290209 49" u="1"/>
        <s v="277336" u="1"/>
        <s v="279084" u="1"/>
        <s v="279176" u="1"/>
        <s v="279268" u="1"/>
        <s v="280871" u="1"/>
        <s v="280963" u="1"/>
        <s v="2750361" u="1"/>
        <s v="256313" u="1"/>
        <s v="277324" u="1"/>
        <s v="279072" u="1"/>
        <s v="279164" u="1"/>
        <s v="279256" u="1"/>
        <s v="279348" u="1"/>
        <s v="280951" u="1"/>
        <s v="277312" u="1"/>
        <s v="279060" u="1"/>
        <s v="279152" u="1"/>
        <s v="279244" u="1"/>
        <s v="279336" u="1"/>
        <s v="279428" u="1"/>
        <s v="2750362" u="1"/>
        <s v="271846 16" u="1"/>
        <s v="279232" u="1"/>
        <s v="279324" u="1"/>
        <s v="279416" u="1"/>
        <s v="279508" u="1"/>
        <s v="279220" u="1"/>
        <s v="279312" u="1"/>
        <s v="279404" u="1"/>
        <s v="190421 LT" u="1"/>
        <s v="279300" u="1"/>
        <s v="CM1304" u="1"/>
        <s v="072020 JUJUY FM" u="1"/>
        <s v="204851" u="1"/>
        <s v="04032021 UNJU" u="1"/>
        <s v="18042021" u="1"/>
        <s v="21144" u="1"/>
        <s v="06042021" u="1"/>
        <s v="06062020" u="1"/>
        <s v="122020nov" u="1"/>
        <s v="2809893 124" u="1"/>
        <s v="26feb" u="1"/>
        <s v="111220" u="1"/>
        <s v="131403" u="1"/>
        <s v="280997" u="1"/>
        <s v="276438" u="1"/>
        <s v="279198" u="1"/>
        <s v="280893" u="1"/>
        <s v="280985" u="1"/>
        <s v="277346" u="1"/>
        <s v="278266" u="1"/>
        <s v="279094" u="1"/>
        <s v="279186" u="1"/>
        <s v="280881" u="1"/>
        <s v="280973" u="1"/>
        <s v="159456 m" u="1"/>
        <s v="15985172" u="1"/>
        <s v="277334" u="1"/>
        <s v="279082" u="1"/>
        <s v="279174" u="1"/>
        <s v="279266" u="1"/>
        <s v="279358" u="1"/>
        <s v="280961" u="1"/>
        <s v="277322" u="1"/>
        <s v="279070" u="1"/>
        <s v="279162" u="1"/>
        <s v="279254" u="1"/>
        <s v="279346" u="1"/>
        <s v="19 marzo resp carpint.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EFDS" u="1"/>
        <s v="141520 1" u="1"/>
        <s v="279310" u="1"/>
        <s v="279402" u="1"/>
        <s v="24 feb" u="1"/>
        <s v="012021 JUJUY FM" u="1"/>
        <s v="032020 JUJUY FM" u="1"/>
        <s v="125145 3" u="1"/>
        <s v="26042021" u="1"/>
        <s v="26062020" u="1"/>
        <s v="14042021" u="1"/>
        <s v="14062020" u="1"/>
        <s v="02042021" u="1"/>
        <s v="02062020" u="1"/>
        <s v="30122020cmj" u="1"/>
        <s v="01082020 1" u="1"/>
        <s v="25638" u="1"/>
        <s v="29563" u="1"/>
        <s v="28noviembre" u="1"/>
        <s v="29863" u="1"/>
        <s v="280995" u="1"/>
        <s v="279196" u="1"/>
        <s v="279288" u="1"/>
        <s v="280891" u="1"/>
        <s v="280983" u="1"/>
        <s v="280930 1octubre" u="1"/>
        <s v="277344" u="1"/>
        <s v="279092" u="1"/>
        <s v="279276" u="1"/>
        <s v="279368" u="1"/>
        <s v="280971" u="1"/>
        <s v="secr ejec. 25 feb" u="1"/>
        <s v="277332" u="1"/>
        <s v="279172" u="1"/>
        <s v="279264" u="1"/>
        <s v="279356" u="1"/>
        <s v="152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516" u="1"/>
        <s v="279608" u="1"/>
        <s v="154" u="1"/>
        <s v="279320" u="1"/>
        <s v="279412" u="1"/>
        <s v="279504" u="1"/>
        <s v="279400" u="1"/>
        <s v="1992020" u="1"/>
        <s v="112020 JUJUY FM" u="1"/>
        <s v="22042021" u="1"/>
        <s v="25639" u="1"/>
        <s v="CFA010721" u="1"/>
        <s v="49939" u="1"/>
        <s v="29856" u="1"/>
        <s v="280938 4agosto" u="1"/>
        <s v="4867" u="1"/>
        <s v="PAUTA 2021" u="1"/>
        <s v="275170" u="1"/>
        <s v="280495 1" u="1"/>
        <s v="279298" u="1"/>
        <s v="280993" u="1"/>
        <s v="280667 1" u="1"/>
        <s v="279194" u="1"/>
        <s v="279286" u="1"/>
        <s v="280981" u="1"/>
        <s v="230" u="1"/>
        <s v="277342" u="1"/>
        <s v="278170" u="1"/>
        <s v="278538" u="1"/>
        <s v="279090" u="1"/>
        <s v="279274" u="1"/>
        <s v="279366" u="1"/>
        <s v="279458" u="1"/>
        <s v="1040521 abril" u="1"/>
        <s v="277330" u="1"/>
        <s v="278526" u="1"/>
        <s v="278618" u="1"/>
        <s v="279170" u="1"/>
        <s v="279262" u="1"/>
        <s v="280907 1" u="1"/>
        <s v="30122020OP" u="1"/>
        <s v="278514" u="1"/>
        <s v="278606" u="1"/>
        <s v="279250" u="1"/>
        <s v="279342" u="1"/>
        <s v="279526" u="1"/>
        <s v="279618" u="1"/>
        <s v="23AG020820" u="1"/>
        <s v="278502" u="1"/>
        <s v="279330" u="1"/>
        <s v="279422" u="1"/>
        <s v="279514" u="1"/>
        <s v="279606" u="1"/>
        <s v="279410" u="1"/>
        <s v="279502" u="1"/>
        <s v="062020 FM SOL" u="1"/>
        <s v="236" u="1"/>
        <s v="26072020" u="1"/>
        <s v="30062020" u="1"/>
        <s v="02072020" u="1"/>
        <s v="280930 1sept" u="1"/>
        <s v="010421" u="1"/>
        <s v="29865" u="1"/>
        <s v="172431" u="1"/>
        <s v="154628" u="1"/>
        <s v="00279066" u="1"/>
        <s v="1210.20201" u="1"/>
        <s v="25964" u="1"/>
        <s v="280818 12" u="1"/>
        <s v="275708" u="1"/>
        <s v="279296" u="1"/>
        <s v="279388" u="1"/>
        <s v="280991" u="1"/>
        <s v="1511201" u="1"/>
        <s v="256341" u="1"/>
        <s v="278180" u="1"/>
        <s v="278548" u="1"/>
        <s v="279192" u="1"/>
        <s v="279284" u="1"/>
        <s v="279376" u="1"/>
        <s v="279468" u="1"/>
        <s v="07102020" u="1"/>
        <s v="158456" u="1"/>
        <s v="280926 10" u="1"/>
        <s v="278536" u="1"/>
        <s v="278628" u="1"/>
        <s v="279272" u="1"/>
        <s v="279364" u="1"/>
        <s v="279456" u="1"/>
        <s v="279548" u="1"/>
        <s v="159456" u="1"/>
        <s v="277604" u="1"/>
        <s v="278524" u="1"/>
        <s v="278708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4950" u="1"/>
        <s v="279512" u="1"/>
        <s v="279604" u="1"/>
        <s v="2382020" u="1"/>
        <s v="279500" u="1"/>
        <s v="22072020" u="1"/>
        <s v="4818" u="1"/>
        <s v="10072020" u="1"/>
      </sharedItems>
    </cacheField>
    <cacheField name="Referencia" numFmtId="0">
      <sharedItems/>
    </cacheField>
    <cacheField name="Comentario" numFmtId="0">
      <sharedItems containsBlank="1" count="1718">
        <s v="Gabiota Sport"/>
        <s v="VENDO CAMION Mercedes 710 Mod 94"/>
        <s v="HYUNDAI TUCSON  4X2, L/N L16, añ"/>
        <s v="OPORTUNIDAD  TOYOTA HILUX 4x4, a"/>
        <s v="GNC MYN GRAN PROMOCION..."/>
        <s v="NORTE GNC"/>
        <s v="RENAULT KWID  2018- 27.000km Due"/>
        <s v="RQ VENTA DE TERRENOS"/>
        <s v="IMPORTANTE  TERRENO *ESQUINA* 1."/>
        <s v="PERICO  VENDO 2 TERRENOS juntos "/>
        <s v="ATENCIÓN VENDO TERRENO  * 600 m2"/>
        <s v="SEVERINO  *VENDO*  100 HAS. COMU"/>
        <s v="VENDO TERRENOS  Alto Comedero (a"/>
        <s v="Bº LOS CLAROS VENDO TERRENO GRAN"/>
        <s v="URGENTE VENDO  TERRENO 50x50 En "/>
        <s v="LÒPEZ  INMOBILIARIA  ESTAMOS EN "/>
        <s v="PERICO                          "/>
        <s v="SALTA CAPITAL  Macrocentro vende"/>
        <s v="DUEÑO VENDE  PROPIEDAD 2 PLANTAS"/>
        <s v="ALTO LA VIÑA Vendo  casa importa"/>
        <s v="PARQUE SAN MARTIN vendo dpto. gr"/>
        <s v="B° CHIJRA, vendo casa  (A medio "/>
        <s v="B°560 VIVIENDAS  Sobre Pje 3 dor"/>
        <s v="SALTA CAPITAL VDO. O PERMUTO B° "/>
        <s v="EN PERICO QUIQUE MOGRO VENDE CAS"/>
        <s v="CAÑAS VENTA *Excluisiva propieda"/>
        <s v="CARMOTO FERRETERIA INDUSTRIAL"/>
        <s v="DERGAM"/>
        <s v="FERRETERIA CARBAJAL"/>
        <s v="SRES. INGENIEROS, ARQUITECTOS  g"/>
        <s v="GRUPO EMPRESARIAL INCORPORA A SU"/>
        <s v="BUSCAMOS ASESORES DE VENTA"/>
        <s v="Empresa Constructora necesita OF"/>
        <s v="SE SELECCIONARÁ  INGENIERO EN SI"/>
        <s v="SE BUSCA CARPINTERO  EN MELAMINA"/>
        <s v="Necesito empleada domestica"/>
        <s v="OFREZCO  MI TRABAJO:  Técnico en"/>
        <s v="METALNOR-METALES-CHATARRA"/>
        <s v="ALQUILO MAQUINA RETROPALA -Nivel"/>
        <s v="CONTENEDORES   EL HORNERO CAMION"/>
        <s v="MOTONIVELADORA ZANELLO RU13200 a"/>
        <s v="TRAILER VIVIENDA, 12 X2.40, reve"/>
        <s v="CENTO DE ESTIMULACION  DEL APREN"/>
        <s v="HORMIGONERA + DE 20 AÑOS"/>
        <s v="HORMIGONERA -VENTA DE HORMIGON E"/>
        <s v="HORMIGONERA  JUJUY S.R.L. VENTA "/>
        <s v="---E D I C T O S--  Ref. Expte. "/>
        <s v="EDICTO  - - - DRA. LIS M. VALDEC"/>
        <s v="EDICTO DE CITACION   LA DIRECCIO"/>
        <s v="EFECTIVO EN EL ACTO SOLO CON TU "/>
        <s v="DINERO T&amp;T PRESTAMOS - EMPEÑOS  "/>
        <s v="JULIO PANERO"/>
        <s v="TASACIONES CASAS- TERRENOS- FINC"/>
        <s v="MARTILLERO TASADOR   CRISTIAN L."/>
        <s v="Bº CDAD DE NIEVA  VENDO CASA  Ca"/>
        <s v="VALVERDI PROPIEDADES  VENTA - AL"/>
        <s v="Convocase a los señores Accionis"/>
        <s v="Llamado a Asamblea- Club Deporti"/>
        <s v="Asamblea de Asociación Civil de "/>
        <s v="Se alquilan locales y oficinas e"/>
        <s v="ALQUILO DEPTO CATEGORIA"/>
        <s v="/////////////////JESUS TAROT////"/>
        <s v="COSEJERO y HECHICERO JAIRO  Nuev"/>
        <s v="MAS LUZ - JUJUY FM"/>
        <s v="COLEGIO DE ABOGADOS - RESOLUCION"/>
        <s v="LA COCHERIA SRL"/>
        <s v="SERIVICIO SOCIALES FUTURO..."/>
        <s v="LOPEZ PIERRE FARMACIA"/>
        <s v="WERCHOW"/>
        <s v="IITA - PROPUESTA EDUCATIVA (boni"/>
        <s v="AGROFER..."/>
        <s v="APACHETA ORELLANA LUCCA"/>
        <s v="COLEGIO FARMACEUTICOS DE JUJUY C"/>
        <s v="Norte Servicios Sociales"/>
        <s v="CLASIFICADOS WEB"/>
        <s v="EL MATUTINO"/>
        <s v="TOMBOSUERTE..."/>
        <s v="FUTBOL FM SOL"/>
        <s v="GOBIERNO  27 DE ABRIL DIA GRANDE"/>
        <s v="EJESA CORTE...."/>
        <s v="OREJA ELIAS DEPORTES"/>
        <s v="PSICOPEDAGOGIA  Lic. DOLORES JUA"/>
        <s v="Dra. Claudia M. Bianco OTORRINOL"/>
        <s v="ESTARSIENDO  LIC. MARIA LAURA RO"/>
        <s v="PROBLEMAS DE COLUMNA Y EXTREMIDA"/>
        <s v="Consultorios AV"/>
        <s v="ESTUDIO CONTABLE CM (logo carp. "/>
        <s v=" TERRAZAS Y ORCE REMIS ESTUDIO J"/>
        <s v="ABOGADOS - CAUSAS PENALES   ///A"/>
        <s v="MARIA A. CARRETERO M.P. 3103  Fa"/>
        <s v="////LOGO///// Familia- Sucerio- "/>
        <s v="Dr. Alejandro Daniel Copa Dra. V"/>
        <s v="Samuel J. Cruz -Joel Hermes Cruz"/>
        <s v="SEPELIOS SAN JOSE S.R.L. SERVICI"/>
        <s v="+ CARMEN MERCEDES VEGA DE GASPAR"/>
        <s v="+ TEVES ARMANDO GUILLERMO Fallec"/>
        <s v="CARGAR CUENTA DE WERCHOW  MOD 1X"/>
        <s v="CENTRO VOLKSWAGEN-SUP. AUTOMOTOR"/>
        <s v="HAFID"/>
        <s v="CENTRO AUTOMOTOR"/>
        <s v="LUBRINOR"/>
        <s v="D.F.D REPUESTOS"/>
        <s v="Xtreme Neumáticos"/>
        <s v="El Lobito Repuestos"/>
        <s v="Neumatone"/>
        <s v="Motonoa"/>
        <s v="Toyojuy-Chevrojuy"/>
        <s v="Warnes Repuestos"/>
        <s v="Ortega Automotores"/>
        <s v="CAR PRO"/>
        <s v="INDECAR"/>
        <s v="MELLI AUTOMOTORES"/>
        <s v="CINE ALFA..."/>
        <s v="AGRO RURAL" u="1"/>
        <m u="1"/>
        <s v="BIBLIOTECA POPULAR “ROSARIO TOLA" u="1"/>
        <s v="RUBEN RIVAROLA" u="1"/>
        <s v="EL RASTRO S.A. -  INFORMA - A to" u="1"/>
        <s v="FIN DE SEMANA DE ABRIL APACHETA" u="1"/>
        <s v="LICITACION PUBLICA Nº 03/2021" u="1"/>
        <s v="IMPORTANTE EMPRESA  Busca:  Cont" u="1"/>
        <s v="AGRIMENSOR BLANCO.." u="1"/>
        <s v="EDICTO SUCESORIO -  -  -  JUZGAD" u="1"/>
        <s v="SEBASTIAN LUCERO  ESP C.C. EXT." u="1"/>
        <s v="ASAMBLEA GENERAL ORDINARIA La as" u="1"/>
        <s v="con imagen de la virgen Santa Ana a color aviso para renovar" u="1"/>
        <s v="NUMANCIA - PAGINA ESPECIAL" u="1"/>
        <s v="El Centro Jubilados y pensionado" u="1"/>
        <s v="APACHETA - la mansion" u="1"/>
        <s v="Vendo o permuto por vehículo ter" u="1"/>
        <s v="CON IMAGEN" u="1"/>
        <s v="SUSANA MARINO" u="1"/>
        <s v="EDICTO SUCESORIO  Ref. Expte. N°" u="1"/>
        <s v="EDICTO-- --------EN EL EXPTE. N°" u="1"/>
        <s v="JUJUY ES PRODUCCION  FM JUJUY..." u="1"/>
        <s v="La Rotonda Lacteos - San jose pa" u="1"/>
        <s v="FARMACIA SAN RAFAEL" u="1"/>
        <s v="CABALLERO ALQUILA SAN MARTIN AL " u="1"/>
        <s v="a color aviso para repetir  idem1451755" u="1"/>
        <s v="TALLER DE MUSICA Acelerados al m" u="1"/>
        <s v="ASAMBLEA GENERAL ORDINARIA La Co" u="1"/>
        <s v="aviso en carpeta notables de la fecha" u="1"/>
        <s v="EDICTO SUCESORIO  - - -EL JUZGAD" u="1"/>
        <s v="*  MODIFICO TEXTO_x000d__x000a__x000d__x000a_*  MISMO DIBUJO" u="1"/>
        <s v="aviso idem publi. anterior color rojo 1428468 con imagen de san jose" u="1"/>
        <s v="E    D    I    C     T    O    S" u="1"/>
        <s v="MUNI JUJUY - SEMANA DE LA FUNDAC" u="1"/>
        <s v="MESA DE ORGANIZACION NACIONAL" u="1"/>
        <s v="CONVOCATORIA La Comisión Normali" u="1"/>
        <s v="fany saravia werchow  1x3" u="1"/>
        <s v="CLUB ATL. TALLERES" u="1"/>
        <s v="+ AMARILLA NICOLAS  (Q.E.P.D.)" u="1"/>
        <s v="BRUJA PACTADA “DEYSY”   Especial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ESTRA PAOLA TAROTISTA" u="1"/>
        <s v="PASEO LA RIVERA" u="1"/>
        <s v="BINGO CLUB EL CARMEN" u="1"/>
        <s v="UN DIA PERFECTO... 1" u="1"/>
        <s v="CLUB GIMNASIA Y ESGRIMA 19 DE AB" u="1"/>
        <s v="repite (MES DE DICIEMBRE)" u="1"/>
        <s v="+ JULIA RAMOS DE APAZA  Q.E.P.D." u="1"/>
        <s v="5 GOBIERNO DE JUJUY" u="1"/>
        <s v="CON IMAGEN Y ORACION COMPLETA A SAN EXPEDITO" u="1"/>
        <s v="MOTORTRAC" u="1"/>
        <s v="Dr. Roque Lorenzo Rodriguez" u="1"/>
        <s v="EDICTO SUCESORIO  -----JUZGADO D" u="1"/>
        <s v="EDICTO SUCESORIO:  === JUZGADO D" u="1"/>
        <s v="NUEVO PROFESIONAL RICARDO DANIEL" u="1"/>
        <s v="COLEGIO DE PROFESIONALES EN CRIM" u="1"/>
        <s v="Dn ERAZO ASUNCION  CARGAR CUENTA" u="1"/>
        <s v="JUZGADO FEDERAL DE JUJUY 1  2189" u="1"/>
        <s v="fondo verde letras blancas _x000d__x000a_en lugar asterisco ( fhechita)" u="1"/>
        <s v="color con foto carp- 30-03" u="1"/>
        <s v="MIN. DE DES. Y HABITA. BID. IVUJ" u="1"/>
        <s v="EMPRESA DEL MEDIO ING ELECTRICO" u="1"/>
        <s v="EDICTO DE CITACION  ------------" u="1"/>
        <s v="EDICTO DE CITACION -------------" u="1"/>
        <s v="EDICTO DE CITACIÓN  ------------" u="1"/>
        <s v="EDICTO SUCESORIO  --------------" u="1"/>
        <s v="MARTILLERA LAURA BLANCO BAJO LA " u="1"/>
        <s v="EDICTO   = = = Dra.  Maria Del H" u="1"/>
        <s v="CON FOTO COLOR CARP.31-03" u="1"/>
        <s v="UTEDYC DIA DE LA MUJER" u="1"/>
        <s v="aviso para renonar a color" u="1"/>
        <s v="aviso para renovar a color" u="1"/>
        <s v="TARJETA SOL - FELICES PASCUAS" u="1"/>
        <s v="pag. Jujuy" u="1"/>
        <s v="EJES CORTE..." u="1"/>
        <s v="AGRIMENSOR SANCHEZ..." u="1"/>
        <s v="solicitada PJ" u="1"/>
        <s v="+ GLORIA BEATRIZ MANSILLA       " u="1"/>
        <s v="VENDO RENAULT CLIO 2008  impecab" u="1"/>
        <s v="ALQUILO DPTO  de categoría 1 dor" u="1"/>
        <s v="IMPORTANTE EMPRESA COMERCIAL Bus" u="1"/>
        <s v="----EDICTO --- - - - Juzgado de " u="1"/>
        <s v="EL CUMPITA NECESITA Vendedores e" u="1"/>
        <s v="COLEGIO DE BIOQUIMICOS" u="1"/>
        <s v="CON FOTO 04-03" u="1"/>
        <s v="EDICTOS  Ref. Expte. N° D-034001" u="1"/>
        <s v="CONVOCATORIA COMISION DIRECTIVA " u="1"/>
        <s v="CLINICA SOL" u="1"/>
        <s v="EDICTO DRA. NORMA BEATRIZ ISSA, " u="1"/>
        <s v="EDITOS  DRA. MARISA ELIANA RONDO" u="1"/>
        <s v="ITALIA NEUMATICOS" u="1"/>
        <s v="EDICTO SUCESORIO  JUZGADO DE PRI" u="1"/>
        <s v="EDICTO SUCESORIO: JUZGADO DE PRI" u="1"/>
        <s v="CORREGIR AVISO, LLAMO LA SEÑORA Y QUIERE QUE SALGA_x000d__x000a_CON RECUADRO COLOR AMARILO Y LETRA NEGRA" u="1"/>
        <s v="ALQUILO DEPARTAMENTO SEMIPISO- 4" u="1"/>
        <s v="Club Amigos del Tango CONVOCATOR" u="1"/>
        <s v="+ HECTOR ALFREDO APAZA Falleció " u="1"/>
        <s v="IMPORTANTE DISTRIBUIDORA DE PROD" u="1"/>
        <s v="+  LUIS ENRIQUE VILTE    (Q.E.P." u="1"/>
        <s v="LA CASA DEL RIEGO ESP CAMARA TAB" u="1"/>
        <s v="TODO IKA - DIA DEL REPUESTERO" u="1"/>
        <s v="UNJU 2 DE ABRIL" u="1"/>
        <s v="GOBIERNO 24 DE MARZO ..." u="1"/>
        <s v="CULTIVO LAS PETUÑAS ...." u="1"/>
        <s v="VDO. TOYOTA HILUX.. SRV. 2.8. 4 " u="1"/>
        <s v="COLOR AMARILLO LETRA NEGRA" u="1"/>
        <s v="TUCUMAN VENDO DPTO. 3 dorm-calle" u="1"/>
        <s v="NUMANCIA" u="1"/>
        <s v="+ RENE OCTAVIO PEREIRA Falleció " u="1"/>
        <s v="CINE TEATRO ALTOS HORNOS ZAPLA  " u="1"/>
        <s v="EDICTO  = = = Dra. LIS VALDECANT" u="1"/>
        <s v="UOCRA DIA DEL OBRERO DE LA CONST" u="1"/>
        <s v="CANAL  4  PROGRAMACION..." u="1"/>
        <s v="GOBIERNO  COL CENTER COVID 0800 " u="1"/>
        <s v="cargar a cuenta werchow  + PAULA" u="1"/>
        <s v="MEDINA MARGARITA. FLIA MEDINA Y " u="1"/>
        <s v="PERSONAL ADMINISTRATIVO ESTUDIAN" u="1"/>
        <s v="Sandra Correa" u="1"/>
        <s v="+ GUZMAN, Horacio Martin  Q.E.P." u="1"/>
        <s v="CANAL  2  PERICO PROGRAMACION..." u="1"/>
        <s v="Empadronamiento Club Kocolandia " u="1"/>
        <s v="DUEÑO VENDE casa San Pedrito zon" u="1"/>
        <s v="BYN SIN FOTO" u="1"/>
        <s v="GMG LUBRICENTRO ADHESION..." u="1"/>
        <s v="Hábitat-Car vende impecable casa" u="1"/>
        <s v="4- T E   GOBIERNO" u="1"/>
        <s v="CLUB ATLETICO ARGENTINO  CONVOCA" u="1"/>
        <s v="ACERO FIGUEROA" u="1"/>
        <s v="CABALLERO ALQUILA DPTOS" u="1"/>
        <s v="FOTO GUARDAD EN LA CARPETA DE LA FECHA DE AT. AL CLIENTE_x000d__x000a__x000d__x000a_CON EL MARCO DEL RECUADRO CON ALGUN DETALLE LINDO A COLOR... GRACIAS" u="1"/>
        <s v="ROLCAR BUSQUEDA LABORAL" u="1"/>
        <s v="+ FEDERICO CLAPIER (Q.E.P.D.) Se" u="1"/>
        <s v="+ TERESA MELO DE CRUZ      Q.E.P" u="1"/>
        <s v="REUNION COOPERATIVA" u="1"/>
        <s v="SUTIAGA - PAGINA ESPECIAL" u="1"/>
        <s v="                          E D I " u="1"/>
        <s v="Centro Vecinal Cultural Y Deport" u="1"/>
        <s v="PRODUGAS  GNC  - NAFTA..." u="1"/>
        <s v="TALLER DE LOCUCION" u="1"/>
        <s v="ARGENCROPS ESP C.C. EXT" u="1"/>
        <s v="   CAMARA EN LO CIVIL Y COMERCIA" u="1"/>
        <s v="S.N.S -V.G.P-A.N.S.-S.T.S GRACIA" u="1"/>
        <s v="con foto color carp. 21-03" u="1"/>
        <s v="con foto color carp. 31-03" u="1"/>
        <s v="+ ZAPANA DE CRUZ, Elena Aurora Q" u="1"/>
        <s v="TARJETA NOA - DIA DE LA MUJER" u="1"/>
        <s v="AG AGRO GALLEGO  - ESP CAMARA TA" u="1"/>
        <s v="COMUNIDAD ABORIGEN DEL VALLE DE " u="1"/>
        <s v="EDICTO SUCESORIO   --EL  JUZGADO" u="1"/>
        <s v="FOTO GUARDAD EN LA CARPETA DE LA FECHA DE AT. AL CLIENTE_x000d__x000a__x000d__x000a_CON EL MARCO DEL RECUADRO CON ALGUN DETALLE A COLOR PERO DIFERENTE AL ANTERIOR. GRACIAS" u="1"/>
        <s v="AGRADECIMIENTO CENTENARIO DE LA " u="1"/>
        <s v="+ FUNES, Alvaro Gonzalo  QEPD  F" u="1"/>
        <s v="INFOMERCIAL UCSE - ¿Qué es el Mo" u="1"/>
        <s v="CONVOCATORIA  La Comisión Direct" u="1"/>
        <s v="TEXTO CARP. 08-03 WORD" u="1"/>
        <s v="FM PUNTO DE VISTA..." u="1"/>
        <s v="IMPORTANTE EMPRESA INCORPORA: As" u="1"/>
        <s v="Perdón Mamita SANTA ANITA por la" u="1"/>
        <s v="AVISO ENVIADO" u="1"/>
        <s v="NAHUEL PENISI" u="1"/>
        <s v="+ ELVA CRISTINA CABEZAS  (Q.E.P." u="1"/>
        <s v="+ ELÍAS, Herman Silvano  (Q.E.P." u="1"/>
        <s v="EDICTO En la ciudad de San Salva" u="1"/>
        <s v="GOMEZ ROCO ..." u="1"/>
        <s v="AVISO ARMADO GUARDADO CARP. 22-04 COLOR-_x000d__x000a_*******POR FAVOR AGREGAR CUPOS LIMITADOS************" u="1"/>
        <s v="EDICTO Dr. JORGE DANIEL ALSINA  " u="1"/>
        <s v="BINGO LOBO  ...." u="1"/>
        <s v="EMP DEL MEDIO .- PROMOTORAS" u="1"/>
        <s v="MUTUAL SAN VALENTIN CONVOCATORIA" u="1"/>
        <s v="FRIAR" u="1"/>
        <s v="CARGAR CUENTA WERCHOW + RAUL MAR" u="1"/>
        <s v="BONAFIDE ESP LA MANSION" u="1"/>
        <s v="SEOM  8 ANIVERASRIO FALLECIMEINT" u="1"/>
        <s v="ASAMBLEA GENERAL ORDINARIA CONVO" u="1"/>
        <s v="LIAL MAYORISTA" u="1"/>
        <s v="CARDOSO VENDE ALTE BROWM" u="1"/>
        <s v="EDJESA  CONVOCATORIA ASAMBLEA OR" u="1"/>
        <s v="CON COLOR" u="1"/>
        <s v="  --EL  JUZGADO DE PRIMERA INSTA" u="1"/>
        <s v="INFORMACIÓN DE PRENSA MES DE ENE" u="1"/>
        <s v="Hábitat-Car vende Dpto. amplio, " u="1"/>
        <s v="MARTILLERA LAURA BLANCO ALQUILER" u="1"/>
        <s v="MADERERA EL TREBOL" u="1"/>
        <s v="ASOCIACION “TODOS JUNTOS” CONVOC" u="1"/>
        <s v="EDICTOS  - -Dra. ELBA RITA CABEZ" u="1"/>
        <s v="+CARMEN ROSA CARRAZANA DE CACERE" u="1"/>
        <s v="FOTO GUARDAD EN LA CARPETA DE LA FECHA DE AT. AL CLIENTE_x000d__x000a__x000d__x000a_CON EL MARCO DEL RECUADRO A COLOR Y CON FLORES COLORES DE DETALLE." u="1"/>
        <s v="+ AMARILLA, Nicolas Elizardo    " u="1"/>
        <s v="CENTRO VECINAL DEL BARRIO 19 DE " u="1"/>
        <s v="COOPERATIVA SIN  FRONTERAS      " u="1"/>
        <s v="---------EDICTO------ ---JUZGADO" u="1"/>
        <s v="Marta Mendoza" u="1"/>
        <s v="+ CARRANZA, Irma    q.e.p.d." u="1"/>
        <s v="OPTICA EL GALLO - 19 DE ABRIL" u="1"/>
        <s v="aviso nuevo a color iden modelo  aviso 1451760" u="1"/>
        <s v="EDICTO SUCESORIO  ---EL JUZGADO " u="1"/>
        <s v="EDICTO SUCESORIO  --EL  JUZGADO " u="1"/>
        <s v="EDICTO SUCESORIO  = = = JUZGADO " u="1"/>
        <s v="EDICTO SUCESORIO  ===El JUZGADO " u="1"/>
        <s v="EDICTO SUCESORIO: = = = JUZGADO " u="1"/>
        <s v="AUTONOA MULTIMARCAS 0KM Y USADOS" u="1"/>
        <s v="                                " u="1"/>
        <s v="EDICTO  EN EL EXPTE N°: B-07110/" u="1"/>
        <s v="CLUB UNION DEPORTIVA MAIMARÁ  CO" u="1"/>
        <s v="TASADOR   CRISTIAN L. VILAR Tel " u="1"/>
        <s v="BUSQUEDA LABORAL SUPERVISOR" u="1"/>
        <s v="edicto de citación    LA DIRECCI" u="1"/>
        <s v="HILUX SR 2017, 2.4, D/Cab. 4x2 ." u="1"/>
        <s v="KANGOO 2017, 1.6 nafta, 54.000km" u="1"/>
        <s v="GASISTA MATRICULADO Y PLOMERO MA" u="1"/>
        <s v="con foto sr. Aparcio René" u="1"/>
        <s v="CONVOCATORIA DESOCUPADOS SAN FRA" u="1"/>
        <s v="NUEVAS AUTORIDADES DEL PARTIDO K" u="1"/>
        <s v="VENDEDOR IMPORTANTE EMPRESA DEL " u="1"/>
        <s v="ALQUILO GALPÓN EN San Pedrito fr" u="1"/>
        <s v="YOLY POLLERIA - ANUARIO" u="1"/>
        <s v="NGA" u="1"/>
        <s v="  1-  EXPTE. Nº 0400-2021 DECRET" u="1"/>
        <s v="NICO" u="1"/>
        <s v="EXPTE. Nº 0400-2021 DECRETO 2870" u="1"/>
        <s v="COOP DE TABACALEROS" u="1"/>
        <s v="Tia Carola" u="1"/>
        <s v="COLEGIO MÉDICO - DIA DEL KINESIO" u="1"/>
        <s v="ELSA BEATRIZ GALIAN DE SILISQUE " u="1"/>
        <s v="JAIRO JEREMIAS TINTE  cargar cue" u="1"/>
        <s v="Extintores EMSA" u="1"/>
        <s v="VENDO TOYOTA Land Cruiser Prado " u="1"/>
        <s v="COMODIN" u="1"/>
        <s v="GRACIAS SANTA RITA POR LOS FAVOR" u="1"/>
        <s v="OSPE...." u="1"/>
        <s v="NESCAR - DIA DEL MECANICO" u="1"/>
        <s v="RESALTAR TITULO X FVOR" u="1"/>
        <s v="CENTRO VECINAL &quot;LOS PERALES&quot; CON" u="1"/>
        <s v="+ PABLO MENDEZ 26/06/51 - 13/04/" u="1"/>
        <s v="VIRGEN DEL ROSARIO DE RIO BLANCO" u="1"/>
        <s v="EDICTO --------El Tribunal Elect" u="1"/>
        <s v="CON IMAGEN DE EL GAUCHITO GIL a color" u="1"/>
        <s v="+ FERNANDEZ, Damiana Margarita (" u="1"/>
        <s v="AGROQUIMICA SAN JOSE ESP CAMARA " u="1"/>
        <s v="LUISIÑO - ESP LENARDUZZI" u="1"/>
        <s v="instituto superior emdei" u="1"/>
        <s v="REPITE ANUNCIO" u="1"/>
        <s v="ALQUILO CASA  A ESTRENAR Ceramic" u="1"/>
        <s v="J.R.A.C. GRACIAS GLORIOSA Y BIEN" u="1"/>
        <s v="----EDICTO----                 -" u="1"/>
        <s v="CON LOGO DE AVISO Nº 1424468" u="1"/>
        <s v="con foto mcarpeta dia 14 de marzo" u="1"/>
        <s v="+ TEJERINA, Lidia Beatriz  (Q.E." u="1"/>
        <s v="CORRALON EL AMIGO" u="1"/>
        <s v="BINGO HOSPITAL DE NIÑOS GANADORE" u="1"/>
        <s v="EDICTOS  El Juzgado de PRIMERA I" u="1"/>
        <s v="EDICTOS ----JUZGADO DE PRIMERA I" u="1"/>
        <s v="INOCENCIO LAMAS  CARGAR CTA CTE " u="1"/>
        <s v="ROUTE 66" u="1"/>
        <s v="CABALLERO VENDE LOS PERALES HERM" u="1"/>
        <s v="CLUB SOCIAL Y DEPO. SANTO DOMING" u="1"/>
        <s v="con foto color carp. 03-03" u="1"/>
        <s v="REPITE AVISO DE OP 279306" u="1"/>
        <s v="COLOR CON FOTO 04-03" u="1"/>
        <s v="con foto color carp. 23-03" u="1"/>
        <s v="COMPRO CASA O DPTO  DE 2 O 3 DOR" u="1"/>
        <s v="IMPORTANTE EMPRESA DEL MEDIO SEL" u="1"/>
        <s v="CONSEJO DE FARMACEUTICOS - CONVO" u="1"/>
        <s v="WERCHOW dia de la mujer" u="1"/>
        <s v="EDICTO ----Dra. ELBA RITA CABEZA" u="1"/>
        <s v="PODEROSA NOVENA A LA VIRGEN DE G" u="1"/>
        <s v="* MARCO AZUL FRANCIA _x000d__x000a_* INSTITUTO DE IDIOMAS AZUL FRANCIA_x000d__x000a_* INGLES Y FRANCES EN AZUL" u="1"/>
        <s v="VENDO AMAROK 2017, Comforline 40" u="1"/>
        <s v="GOMEZ ROCO...." u="1"/>
        <s v="CARDOSO VENDE CENTRO..." u="1"/>
        <s v="ASOCIACION MUTUAL ORGANISMO REGI" u="1"/>
        <s v="EMPRESA CONSTRUCTORA BUSCA URGEN" u="1"/>
        <s v="CONVOCATORIA La Comisión Reorgan" u="1"/>
        <s v="EL PULSO" u="1"/>
        <s v="CAMARA DE TABACO" u="1"/>
        <s v="CANAL 7" u="1"/>
        <s v="TARJETA SOL" u="1"/>
        <s v="Asociación Nuevo Horizonte CONVO" u="1"/>
        <s v="Raúl Goitea" u="1"/>
        <s v="IITA" u="1"/>
        <s v="Busco empleada doméstica para Al" u="1"/>
        <s v="repite de ultimo aviso" u="1"/>
        <s v="+ ALEJANDRO GONZALEZ MUÑOZ    Q." u="1"/>
        <s v="GOBIERNO XUMA ..." u="1"/>
        <s v="REPITE AVISO DE OP 279304" u="1"/>
        <s v="YOLY POLLERIA - ESP CAMARA TABAC" u="1"/>
        <s v="PROYAJO S.A." u="1"/>
        <s v="EDICTO SUCESORIO - - - - - - - J" u="1"/>
        <s v="C O N V O C A T O R I A  Coopera" u="1"/>
        <s v="SALES DE JUJUY - DIA CAMARA DE C" u="1"/>
        <s v="ANDREA FABIANA ORTIZ EXPTE C0557" u="1"/>
        <s v="VENDO EQUIPOS DE RAYOS X 1-TOSHI" u="1"/>
        <s v="    EDICTO SUCESORIO:  -- -JUZGA" u="1"/>
        <s v="BURGOS VIDRIOS" u="1"/>
        <s v="EDICTO   JUZGADO DE PRIMERA INST" u="1"/>
        <s v="EDICTOS  Juzgado de Primera Inst" u="1"/>
        <s v="texto guardado carp. 19-04" u="1"/>
        <s v="CENTRO RESIDENTES DE RINCONADA  " u="1"/>
        <s v="2-TAN...GOBIERNO" u="1"/>
        <s v="PROTOCOLO INICIO DE CLASES - GOB" u="1"/>
        <s v="LOS LAPACHOS DIA DE LA MUJER" u="1"/>
        <s v="“San José Patrono de ciudad Peri" u="1"/>
        <s v="AUTOMOTORES PEREZ" u="1"/>
        <s v="EN MEDIO COLOCAR IMAGEN DE JESUS DE LA DIVINA MISERICORDIA_x000d__x000a__x000d__x000a_MARCO EN DORADO_x000d__x000a__x000d__x000a_EJEMPLO EN CARPETA DE LA FECHA" u="1"/>
        <s v="PROYAJO S.A. ESP CAMARA TABACO" u="1"/>
        <s v="E D I C T O === El Juzgado de 1e" u="1"/>
        <s v="Agrupación Política: &quot;PARTIDO DE" u="1"/>
        <s v="SEÑOR GOBERNADOR" u="1"/>
        <s v="+ PAREDES CATALINO Q.E.P.D. Fall" u="1"/>
        <s v="= = = = = = = = = = = = = = = = " u="1"/>
        <s v="ALTOS DEL ZAPLA" u="1"/>
        <s v=" + NIRICH, Darío Fabricio  Q.E.P" u="1"/>
        <s v="NISSAN FRONTIER 2.5 4x4 cuero-Ca" u="1"/>
        <s v="DERGAM - DIA DEL MECANICO" u="1"/>
        <s v="AUDIOS INSTITUCIONALES MUNICIPAL" u="1"/>
        <s v="ORACION COMPLETA A SAN EXPEDITO CON IMAGEN DE SAN EXPEDITO TAMBIEN" u="1"/>
        <s v="E D I C T O   EN EL  EXPTE. N° C" u="1"/>
        <s v="EMPRESA SOLICITA EMPLEADO" u="1"/>
        <s v="ASOCIACIÓN  PEQUEÑOS PRODUCTORES" u="1"/>
        <s v="RENO" u="1"/>
        <s v="ASOCIACION CIVIL VIRGEN DE COPAC" u="1"/>
        <s v="HUMAHUACA VENDO propiedad sobe c" u="1"/>
        <s v="PAEZ S.R.L. ESP CLUB TALLERES DE" u="1"/>
        <s v="IITA - PROPUESTA EDUCATIVA" u="1"/>
        <s v="MYN INYECCION" u="1"/>
        <s v="GUARDIAS COLEGIO ESCRIBANOS...." u="1"/>
        <s v="SE ALQUILAN LOCALES, OFICINAS" u="1"/>
        <s v="+ FIGUEROA MIRTA NOEMI     Q.E.P" u="1"/>
        <s v="BANCO MACRO  PEDIDO: 4500118246 " u="1"/>
        <s v="JUAN MIGUEL ALABI   Abogado en M" u="1"/>
        <s v="fondo negro por favor !!" u="1"/>
        <s v="CLUB ATLETICO GORRITI" u="1"/>
        <s v="E    D    I    C    T    O   S  " u="1"/>
        <s v="DESARROLLO INMOBILIARIO Y COMERC" u="1"/>
        <s v="EDICTO SUCESORIO = = = = = = = =" u="1"/>
        <s v="APACHETA" u="1"/>
        <s v="VENDO KTM DUKE 200  MOD 2016. IM" u="1"/>
        <s v=" CENTRO DE RESIDENTES DE CIENEGU" u="1"/>
        <s v="IMP EMP INCORPORA EJECUTIVA..." u="1"/>
        <s v="GLORIOSO SAN EXPEDITO GRACIAS PO" u="1"/>
        <s v="Transporte Marghetti" u="1"/>
        <s v="+ TOLABA, Lucas Martin   (Q.E.P." u="1"/>
        <s v="-EDICTOS--  Ref. Expte. N° D - 0" u="1"/>
        <s v="CANAL 7 PROGRAMACION..." u="1"/>
        <s v="ELECTROMAT" u="1"/>
        <s v="DUEÑOS VENDEN 3 DEPARTAMENTOS Y " u="1"/>
        <s v="EDICTO EL Tribunal Electoral de " u="1"/>
        <s v="E D I C T O  S U C E S O R I O  " u="1"/>
        <s v="RUTA 9" u="1"/>
        <s v="CENTRO EMP. DE COMERCIO  dia de " u="1"/>
        <s v="CONVOCATORIA A ASAMBLEA ORDINARI" u="1"/>
        <s v="UNJU DIA DE LA MEMORIA" u="1"/>
        <s v="fondo blanco  vendo y alquilo (solo difrente color y resto letras negras)_x000d__x000a_EDIFICIO APACHETA (UNA SOLA LINEA" u="1"/>
        <s v="CARMOTO" u="1"/>
        <s v="ALQUILO LOCALES Y OFICINAS EN PE" u="1"/>
        <s v="E D I C T O S U C E S O R I O- -" u="1"/>
        <s v="NAZARENA BARREIRO ALQUILA..." u="1"/>
        <s v="Agregar logo a color de la Union Cañeros Independientes" u="1"/>
        <s v="      EDICTO SUCESORIO:  -- -JUZ" u="1"/>
        <s v="HAFID - DIA DEL MECANICO" u="1"/>
        <s v="Buscamos ASESOR DE VENTAS con Ex" u="1"/>
        <s v="ISJ  CIRCULAR Nº 013/2021 ..." u="1"/>
        <s v="Nanci Galian" u="1"/>
        <s v=" -----EDICTO--- ------EN EL EXPT" u="1"/>
        <s v="MUNI JUJUY - cine select" u="1"/>
        <s v="Estamos en busqueda de Personal " u="1"/>
        <s v="CONVOCATORIA A ASAMBLEA ANUAL OR" u="1"/>
        <s v="LA COCHERIA - FIESTA PATRONAL DE" u="1"/>
        <s v="ABANS RECURSOS HUMANOS" u="1"/>
        <s v="CONVOCATORIA ASAMBLEA ORDINARIA " u="1"/>
        <s v="CLUB SOCIAL Y DEPORTIVO “EL CRUC" u="1"/>
        <s v="AMOS-BRUJOS- SEÑORES DE LOS AMAN" u="1"/>
        <s v="SOCIEDAD VECINAL DEL BARRIO CUYA" u="1"/>
        <s v="+ BURGOS, Jose Eduardo      Q.E." u="1"/>
        <s v="TECNOHIDRAULICA - DIA DEL MECANI" u="1"/>
        <s v="CON FOTO EN CARPETA DE LA FECHA 27/04 CARMEN VEGA DE GASPAR" u="1"/>
        <s v="LA CASA DEL PEUGEOT - DIA DEL ME" u="1"/>
        <s v="CLUB ATLÉTICO INDEPENDENCIA HUMA" u="1"/>
        <s v="EMP DEL MEDIO - PREVENTISTAS" u="1"/>
        <s v="CONVOCATORIA A ASAMBLEA  La Comi" u="1"/>
        <s v="+ DENETT CARLOS 1X3 CARGAR CUENT" u="1"/>
        <s v="MARTILLERA LAURA BLANCO VENTA DE" u="1"/>
        <s v="+ Dra. JUANA ALCIRA ARANCIBIA (q" u="1"/>
        <s v="VENDO TERRENO detrás de Kolor, l" u="1"/>
        <s v="importante empresa gastronomica" u="1"/>
        <s v="+ GUSTAVO MANUEL ROJAS      Q.E." u="1"/>
        <s v="INSTITUTO DE IDIOMAS  Reconocido" u="1"/>
        <s v="VENDO DPTO. EDIFICIO GALERIA IMP" u="1"/>
        <s v="AVISO EN CARPETA DE NOTABLES DE LA FECHA" u="1"/>
        <s v="LA MANSION ESP CAM TABACO" u="1"/>
        <s v="ME OFREZCO  COMO CHOFER (pick up" u="1"/>
        <s v="SIRIO LIBANESA" u="1"/>
        <s v="VENDO PEUGEOT 206 1.9 mod 2008, " u="1"/>
        <s v="GOBIERNO COVID 19 ..." u="1"/>
        <s v="CABALLERO VENDE LOTE TUMBAYA" u="1"/>
        <s v="D.R.D GRACIAS SAN EXPEDITO POR L" u="1"/>
        <s v="FOTO GUARDAD EN LA CARPETA DE LA FECHA DE AT. AL CLIENTE_x000d__x000a__x000d__x000a_CON EL MARCO DEL RECUADRO A COLOR Y CON UN LINDO DETALLE QUE RESALTE... GRACIAS" u="1"/>
        <s v="KOLOR LA MANSION" u="1"/>
        <s v="PROFE DE CIENCIAS POLITICAS prep" u="1"/>
        <s v="con foto carp. 27-02" u="1"/>
        <s v="CON IMAGEN DE SAN EXPEDITO a color" u="1"/>
        <s v="CONCEJO DELIBERANTE - DIA DE LA " u="1"/>
        <s v="NECESITO PROMOTOR/A Presentarse " u="1"/>
        <s v=" EDICTO SUCESORIO  ===JUZGADO DE" u="1"/>
        <s v="E   D   I   C   T   O   S - - - " u="1"/>
        <s v="aviso carp. 08-03" u="1"/>
        <s v="EDICTOS  Ref. Expte. Nº D-035484" u="1"/>
        <s v="LA RABIOLA - CHOCOLATTE" u="1"/>
        <s v="                    ------------" u="1"/>
        <s v="TAVERNITI" u="1"/>
        <s v="GMG LUBRICENTRO - ESP GIMNASIA" u="1"/>
        <s v="   +REINALDI, ESTEBAN ANTONIO   " u="1"/>
        <s v="ASOCIACION DE LA PUNA La Comisió" u="1"/>
        <s v="CONSEJO PROF DE CS ECON DIA DE L" u="1"/>
        <s v="TEXTO NUEVO_x000d__x000a_SE AUMENTO:    &quot;VENTA EXCLUSIVA DE PRODUCTOS PARA PODOLOGOS&quot;." u="1"/>
        <s v="DOVIS DIESEL - DIA DEL MECANICO" u="1"/>
        <s v="E  D  I  C  T  O:  El DR. Esteba" u="1"/>
        <s v="(pag deportes) - DERGAM(publica " u="1"/>
        <s v="EJESA CORTE.. 2" u="1"/>
        <s v="NECESITO CHOFER  Carnet Nacional" u="1"/>
        <s v="CONVOCATORIA A ELECCIONES  La Ju" u="1"/>
        <s v="==EDICTO=== En el Expte. N° D-03" u="1"/>
        <s v="VENDO PIANO COLA C BECHSTEIN Ale" u="1"/>
        <s v="EDICTO - - - El Tribunal Elector" u="1"/>
        <s v="San Pedro de Jujuy, 24 de mayo d" u="1"/>
        <s v="bonif plan 3x1" u="1"/>
        <s v=" EDICTO SUCESORIO El Juzgado de " u="1"/>
        <s v="GALERIA IMPULSO  VENDO Y ALQUILO" u="1"/>
        <s v="SAN EXPEDITO TE PIDO POR LA SALU" u="1"/>
        <s v="VDO. CAMION M. BENZ. 16/34. Mod." u="1"/>
        <s v="E  D  I  C  T  O:  = = = DRA. MA" u="1"/>
        <s v="+  ELVA RODRIGUEZ “Elvita”  (Q.E" u="1"/>
        <s v="CARGAR CUENTA WERCHOW MAGDALENA " u="1"/>
        <s v="CAMARA PYME" u="1"/>
        <s v="Alquilo dpto mono ambiente amobl" u="1"/>
        <s v="MARTILLERA LAURA BLANCO VENTA TE" u="1"/>
        <s v=" + MAZA, JOSE RAUL             Q" u="1"/>
        <s v="CRISTALES JUJUY" u="1"/>
        <s v="SANATORIO LAVALLE" u="1"/>
        <s v="DISTRIBUIDORA  E.C. RIVAROLA  DI" u="1"/>
        <s v="SAN JOSÉ PATRONO DE NUESTRA GENT" u="1"/>
        <s v="SE  BUSCA MEDICO /A para turno d" u="1"/>
        <s v="CARUSO SEGUROS ESP SAN SALVADOR" u="1"/>
        <s v="Ledesma REspuestos y accesorios" u="1"/>
        <s v="TODO IGUAL REPITE ANUNCIO 1189851" u="1"/>
        <s v="OSPIDA - DIA DEL MECANICO" u="1"/>
        <s v="GUZMAN..." u="1"/>
        <s v="EJESA CORTE..2" u="1"/>
        <s v="JUJUY MADERAS" u="1"/>
        <s v="Stella Maris Ayala Kineseologa" u="1"/>
        <s v="MIRTA ADRIANA NELSON (q.e.p.d.) " u="1"/>
        <s v="con foto color carp. 07-03" u="1"/>
        <s v="GOBIERNO INFRAESTRUCTURA...." u="1"/>
        <s v="+ CAPOBIANCO, Ruben Oreste (q.e." u="1"/>
        <s v=" + OSCAR RINALDO ARROYO  (Q.E.P." u="1"/>
        <s v="AVISO ENVIA POR MAIL" u="1"/>
        <s v="con foto color carp. 17-03" u="1"/>
        <s v="BLIMOP" u="1"/>
        <s v="Veterinaria Bartolini" u="1"/>
        <s v="VDO. CAMION M. BENZ. 16/14. Mod." u="1"/>
        <s v="OFICIAL ½ OFICIAL Empresa constr" u="1"/>
        <s v="WAHASAP DIARIO ..." u="1"/>
        <s v="ADICEM..." u="1"/>
        <s v="ALQUILO DEPARTAMENTO EN BS AS. -" u="1"/>
        <s v="CON FOTO CARP 25-02" u="1"/>
        <s v="PALACIO DE LAS GOLOSINAS" u="1"/>
        <s v="GESPO_x000d__x000a_INMOBILIARIA ****FONDO NARAJA TENUE Y LETRA NEGRITA****_x000d__x000a__x000d__x000a_Salta Nº1031-Tel. 3885203654 / 388517750  ****FONDO NARAJA TENUE Y LETRA NEGRITA****" u="1"/>
        <s v="EDICTO JUJUY AVANZA" u="1"/>
        <s v="cargar cuenta Werchow RAFAEL CAL" u="1"/>
        <s v="CONICET El &quot;Centro Interdiscipli" u="1"/>
        <s v="EDICTO DE CITACIÓN  LA DIRECCIÓN" u="1"/>
        <s v="SW4 3.0  automat. 4x4 mod. 2007 " u="1"/>
        <s v="TIEMPO DE COLORES - ANIV. GIMNAS" u="1"/>
        <s v="Asociacion Civil, Social, Cultur" u="1"/>
        <s v="ASOCIACIÓN CIVIL, SOCIAL, CULTUR" u="1"/>
        <s v="INCRIPCIONES 2021 VACANTES PARA " u="1"/>
        <s v="agregar el logo a color de la Union Cañeros en un extremo abajo del aviso." u="1"/>
        <s v="CAMARA DE TABACO ESP C.C. EXT." u="1"/>
        <s v="EFECTIVO EN EL ACTO CON TARJETA " u="1"/>
        <s v="ALEJANDRO ZABALA. GRACIAS SAN EX" u="1"/>
        <s v="La Dra. ORDOÑEZ MARIA LUISA,  IN" u="1"/>
        <s v="-  -  -  “JUZGADO DE PRIMERA INS" u="1"/>
        <s v="GOMEZ ROCO PUBLINOTA 40 AñOS...." u="1"/>
        <s v="PANADERIA SANTO ANTONIO - patron" u="1"/>
        <s v="CARLITOS REPUESTOS" u="1"/>
        <s v="Municipalidad de Calilegua" u="1"/>
        <s v="CENTRO VECINAL DE UQUIA Domicili" u="1"/>
        <s v="EDICTO SUCESORIO  = = = = = JUZG" u="1"/>
        <s v="YAMAHA VIRAGO 535C.C MOD/1993-MU" u="1"/>
        <s v="DR.  GUSTAVO MANUEL ROJAS       " u="1"/>
        <s v="San Pedro de Jujuy + SARA M. DE " u="1"/>
        <s v="                 EDICTO  SUCESOR" u="1"/>
        <s v="+ APARICIO, Rene Asunción  Falle" u="1"/>
        <s v="EXPTE C94065/17 CABRERA BRUNO8  " u="1"/>
        <s v="AVISO ARMADO _x000d__x000a__x000d__x000a_GUARDADO EN LA CARPETA DE LA FECHA DE AT. AL CLIENTE..." u="1"/>
        <s v="CONVOCATORIA  La Comisión Reorga" u="1"/>
        <s v="avisos en carpeta de notables" u="1"/>
        <s v="EDICTO  ==== El Juzgado de 1ra. " u="1"/>
        <s v="EDICTO SUCESORIO ---JUZGADO DE P" u="1"/>
        <s v="EDICTO SUCESORIO EL Juzgado de P" u="1"/>
        <s v="ANIVERSARIO GINMASIA ING. ULLOA" u="1"/>
        <s v="+ACHO, PEDRO        Q.E.P.D  Fal" u="1"/>
        <s v="LIC.PUB. 05/2021 MINISTERIO DESA" u="1"/>
        <s v="ASOCIACIONM DE GESTORES DEL AUTO" u="1"/>
        <s v="E D I C T O    = = = = =El Juzga" u="1"/>
        <s v="ACOSTA MUEBLES - DIA DE LA MUJER" u="1"/>
        <s v="/// CLUB DE AMIGOS ///" u="1"/>
        <s v="TRANSPORTE ALIANZA" u="1"/>
        <s v="LIGA DE FUTBOL DE VETERANOS  SAN" u="1"/>
        <s v="CRAJUY-DIA DEL REPUESTERO" u="1"/>
        <s v="Bº GORRITI DUEÑO VENDE  casa 3 d" u="1"/>
        <s v="EDICTO ----JUZGADO DE PRIMERA IN" u="1"/>
        <s v="ELECTROMAT ANIV CLUB GIMNASIA" u="1"/>
        <s v="GOBIERNO TURISMO DESTINOS" u="1"/>
        <s v="CON FOTO COLOR CARP. 28-03" u="1"/>
        <s v="IDECAR" u="1"/>
        <s v="IMP EMP. EN CREC. BUSCA COMMUNIT" u="1"/>
        <s v="EDICTO JUZGADO DE PRIMERA INSTAN" u="1"/>
        <s v="AGREGA TELEFONO CELU" u="1"/>
        <s v="PARRILLADA EL PARADOR  AVISO ARM" u="1"/>
        <s v="UTA UNION TRANVIARIOS AUTOMOTOR " u="1"/>
        <s v="Ferreteria Ferrelec de Torino hn" u="1"/>
        <s v="SUEÑO MISTICO" u="1"/>
        <s v="CABALLERO VENDE CASA LOS PERALES" u="1"/>
        <s v="+ JORGE LINO AUCAPIÑA         Q." u="1"/>
        <s v="ATENCION JUJUY-SALTA  Obtene tu " u="1"/>
        <s v="MUEBLES CHAÑAR ESP GIMNASIA" u="1"/>
        <s v="Ante la circulación en los medio" u="1"/>
        <s v="SANATORIO LOS LAPACHOS  ADHESION" u="1"/>
        <s v="IMANTA - busqueda" u="1"/>
        <s v="CLUB ATLETICO VILLA SAN MARTIN  " u="1"/>
        <s v="COLOR CON FOTO CARP- 09-04" u="1"/>
        <s v="FUND. PRO JUJUY AGROPECUAR." u="1"/>
        <s v="AGROQUIMICA SAN JOSE" u="1"/>
        <s v="ACOSTA MUEBLES" u="1"/>
        <s v="LOS TILIANES - dia de la mujer" u="1"/>
        <s v="SECRETARIA ADMINISTRATIVA medio " u="1"/>
        <s v="SANATORIO LOS LAPACHOS" u="1"/>
        <s v="aviso armado carpeta de la fecha" u="1"/>
        <s v="PERICO - DOVIS DIESEL" u="1"/>
        <s v="SEPELIOS SAN JOSE S.R.L. Saludam" u="1"/>
        <s v="a color Pag. Esp ADHESIÓN FIESTA PATRONAL SAN JOSE MISMO MODELO Y COLOR (LILA) PREVIA VISTA DE ORIGINALES_x000d__x000a_Modif.  NUEVO SALUDO A SAN JOSE" u="1"/>
        <s v="Estudio Contable El Mercantil" u="1"/>
        <s v="APACHETA - NINO FUENTES" u="1"/>
        <s v="GOBIERNO DISTANCIATE ..." u="1"/>
        <s v="ANGEL LUBRICANTES ESP TALLERES D" u="1"/>
        <s v="Aviso de prórroga de la fecha de" u="1"/>
        <s v="AÑOS LUZ  HORIZONTE ESP LENARDUZ" u="1"/>
        <s v="ADRIAN MERCADO" u="1"/>
        <s v="+ ESTANISLAO LIQUITAY Falleció e" u="1"/>
        <s v="ASOCIACION DE JUBILADOS Y PENSIO" u="1"/>
        <s v="CLINICA NTRA. SRA. DE FATIMA  DI" u="1"/>
        <s v="Los Naranjos (aviso armado)" u="1"/>
        <s v="+ CAPOBIANCO, Ruben Oreste  (Q.E" u="1"/>
        <s v="EDICTO SUCESORIO  -- -- -- EL JU" u="1"/>
        <s v="MARKAS AUTOMOTORES" u="1"/>
        <s v="NUEVO PROFESIONAL DR. LEONARDO R" u="1"/>
        <s v="CON IMAGEN san expedito" u="1"/>
        <s v="ASOCIACION DE ENFERMERIA - CONVO" u="1"/>
        <s v="Nuestra Provincia, el país y el " u="1"/>
        <s v="Ing. GUSTAVO PEUSER Q.E.P.D. Fal" u="1"/>
        <s v="SATSAID - 19 DE ABRIL" u="1"/>
        <s v="CLINICA SOL - ODONTOLOGIA - PUBL" u="1"/>
        <s v="CAMARA MINERA - DIA DE LA MUJER" u="1"/>
        <s v="NECESITO OFICIAL Y AYUDANTE ALBA" u="1"/>
        <s v="ESCRIBANIA GRANARA" u="1"/>
        <s v="SANTOS “TUCO” PEÑARRIETA       Q" u="1"/>
        <s v="DOVIS DIESEL ESP TALLERES DE PER" u="1"/>
        <s v="JL GURRIERI LEGUMBRES - ESP. C.C" u="1"/>
        <s v="GMG LUBRICENTRO - ESP SAN SALV." u="1"/>
        <s v="EXAR - DIA DE LA MUJER" u="1"/>
        <s v="PERICO - GARELY SACI" u="1"/>
        <s v="INSTRUMENTACION QUIRURIGA M.C. -" u="1"/>
        <s v="LATITUD SUR S.A." u="1"/>
        <s v="MOD 2X2 COLOR CON FOTO EN CARPETA DE LA FECHA _x000d__x000a__x000d__x000a_RECUADRO CON FLORES ROJAS Y BLANCAS" u="1"/>
        <s v="COLEGIO DE ABOGADOS" u="1"/>
        <s v="ENVIA AVISOS PARA INTERCALAR" u="1"/>
        <s v="AGRIMENSOR VILCA..." u="1"/>
        <s v="ATENCION PELUQUEROS VENDO LAVACA" u="1"/>
        <s v="CONSEJO PROVINIAL PARA LA INTEGR" u="1"/>
        <s v="MUNI JUJUY - DÍA DE LA MEMORIA" u="1"/>
        <s v="JUZGADO DE  PRIMERA INSTANCIA EN" u="1"/>
        <s v="EMP DE BEBIDAS SOMMELIER" u="1"/>
        <s v="FM JUJUY PATEANDO EL TABLERO ..." u="1"/>
        <s v="======EDICTO===== JUZGADO DE 1° " u="1"/>
        <s v="CON IMAGEN CARP- 01-04" u="1"/>
        <s v="INFOMERCIAL UCSE - Día Internaci" u="1"/>
        <s v="BINGO LOBO....." u="1"/>
        <s v="UTEDYC" u="1"/>
        <s v="LA MANSION" u="1"/>
        <s v="MARKAS" u="1"/>
        <s v="+ ELENA TORREZAGA DE ZELAYA  (Q." u="1"/>
        <s v="+ GIMENEZ, PABLO (q.e.p.d.) Fall" u="1"/>
        <s v="EMPRESA CONSTRUCTORA NECESITA AR" u="1"/>
        <s v="FOTO GUARDAD EN LA CARPETA DE LA FECHA DE AT. AL CLIENTE_x000d__x000a__x000d__x000a_CON EL MARCO DEL RECUADRO CON FLORES DE DISTINTOS COLORES.... GRACIAS" u="1"/>
        <s v="CIRCULO MEDICO VETERINARIO" u="1"/>
        <s v="CONVOCATORIA A REEMPADRONARSE La" u="1"/>
        <s v="ORACION MILAGROSA  Confío en ti " u="1"/>
        <s v="ASOC.COOP.CEA INTA ABRA PAMPA CO" u="1"/>
        <s v="DISTRIBUIDORA TIRAXI SRL NECESIT" u="1"/>
        <s v="COVID DISTANCIAMIENTO SOCIAL" u="1"/>
        <s v="CLUB ATLETICO ARGENTINO La Comis" u="1"/>
        <s v="UPCN" u="1"/>
        <s v="UCSE  CONTADOR" u="1"/>
        <s v="MUNI. de PALPALA  41º aniversari" u="1"/>
        <s v="PARRILLADA 9 EL PARADOR  AVISO A" u="1"/>
        <s v="CLUB SOCIAL Y CULTURAL ISLAS MAL" u="1"/>
        <s v="con  foto" u="1"/>
        <s v="ERNESTO FRANCISCO MAX AGUERO  1X" u="1"/>
        <s v="JUJUY MATERIALES..." u="1"/>
        <s v="Geo-Topo A.Jose L. Noguera" u="1"/>
        <s v="+ JOSE ANTONIO PALOMO  Falleció " u="1"/>
        <s v="VENDO TERRENO C/GALPON" u="1"/>
        <s v="MUNI JUJUY - 19 de abril FUNDACI" u="1"/>
        <s v="FARMAR" u="1"/>
        <s v="SUPERIOR TRIBUNO DE JUSTICIA...." u="1"/>
        <s v="WERCHOW SAN JOSE" u="1"/>
        <s v="GRUPO LEDESMA" u="1"/>
        <s v="+ FUNES, Alvaro Gonzalo  (q.e.p." u="1"/>
        <s v="ALTO LA VIÑA Vendo casa importan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AGUIRRE, ADELAIDA DEL CARMEN  " u="1"/>
        <s v="+ ALVAREZ, OSVALDO MARTIN       " u="1"/>
        <s v="BONILLO ORGANIZACION DE SEGUROS " u="1"/>
        <s v="ASOCIACION CIVIL PERIQUEÑA DE TA" u="1"/>
        <s v="SAN EXPEDITO  TE PIDO POR LA SAL" u="1"/>
        <s v="IMP EMP DE SERVICIOS BUSCA AUXIL" u="1"/>
        <s v="EL MUNDO DEL PLOMERO - FIESTA PA" u="1"/>
        <s v="fondo amarrillo letras negras  l y cel. numero mas notable" u="1"/>
        <s v="COLEGIO DE ARQUITECTOS - DIA DE " u="1"/>
        <s v="COLEGIO DE BIOQUIMICOS - DIA DE " u="1"/>
        <s v="SATSAID - DIA DE LA MEMORIA" u="1"/>
        <s v="EDTUDIO JURÍDICO DR. SEGOVIA Cas" u="1"/>
        <s v="OPTICA AYORA" u="1"/>
        <s v="EMPRESA SOLICITA OFICIAL CARPINT" u="1"/>
        <s v="+ BAZAN, José &quot;Sapo Q.E.P.D. Fal" u="1"/>
        <s v="ACADEMIA DE DANZAS ARABES AAMAL 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CARGAR CUENTA WERCHOW VARGAS JOS" u="1"/>
        <s v="+ CARDOZO, Oscar  Q.E.P.D. Falle" u="1"/>
        <s v="GOBIERNO 19 DE ABRIL FUNDACION D" u="1"/>
        <s v="MANAGER Coach" u="1"/>
        <s v=" EXPTE. C-167588/2020  =========" u="1"/>
        <s v="CARGAR CUENTA WERCHOW  MOD X3 BY" u="1"/>
        <s v="JOSE MADDALLENO MARTILLERO JUDIC" u="1"/>
        <s v="COLEGIO JEAN piaget" u="1"/>
        <s v="EJESA CORTE..." u="1"/>
        <s v="UNION CAÑEROS INDEP." u="1"/>
        <s v="CARTELERA CINE ALTOS HORNOS ZAPL" u="1"/>
        <s v="EMPRESA CONSTRUCURA SOLICITA: ME" u="1"/>
        <s v="+ CECILIA MENDEZ MEALLA        (" u="1"/>
        <s v="                         “CENTRO" u="1"/>
        <s v="   + GIRON, MARIA LILIANA       " u="1"/>
        <s v="E D I C T O    S U C E S O R I O" u="1"/>
        <s v="BONILLO ORG. DE SEGUROS" u="1"/>
        <s v="+ ANGELA ALARCON DE GALIAN (avis" u="1"/>
        <s v="ARGENCROPS S.A.  En conformidad " u="1"/>
        <s v="con foto en carpeta de la fecha  17/04/2021  + CHOQUEVILCA CECILIA" u="1"/>
        <s v="SIN DE LUZ Y FUERZA ESP SAN SALV" u="1"/>
        <s v="CARMOTO  FERRETERIA INDUSTRIAL ." u="1"/>
        <s v="destacra titulo" u="1"/>
        <s v="AVISO ENVIAN POR MAIL" u="1"/>
        <s v="NUEVO PROFESIONAL EVANGELINA G. " u="1"/>
        <s v="+ ALCIRA SAIQUITA DE BURGOS     " u="1"/>
        <s v="+ SALCEDO, Jairo  Q.E.P.D. Falle" u="1"/>
        <s v="===EDICTO== JUZGADO DE PRIMERA I" u="1"/>
        <s v="CONVOCATORIA   ASAMBLEA GENERAL " u="1"/>
        <s v="CONVOCATORIA A ASAMBLEA GENERAL " u="1"/>
        <s v="COMITE SINDICALISTA SAUL U" u="1"/>
        <s v="     EDICTO SUCESORIO   - JUZGAD" u="1"/>
        <s v="CONVOCATORIA San Salvador de Juj" u="1"/>
        <s v="fondo amarrillo letras negras" u="1"/>
        <s v="CON FOTO EN CARPETA DE LA FECHA 14/11/2020 + ESTANISLAO ALBERTO LIQUITAY COLOR 3X3" u="1"/>
        <s v="MUNI JUJUY - LA FLOR MAS BELLA" u="1"/>
        <s v="BUSCO CASA O LOCAL COMERCIAL  CO" u="1"/>
        <s v="IMP EMPRESA DE SERVICIOS BUSCA A" u="1"/>
        <s v="B° CHIJRA, vendo casa  a 50 mtrs" u="1"/>
        <s v="COLEGIO FARMACEUTICO ANIVERSARIO" u="1"/>
        <s v="CON IMAGEN DE LA VIRGEN" u="1"/>
        <s v="con foto color carpeta de la fecha jose antonio palomo" u="1"/>
        <s v="SERVICIOS INTEGRALES  PARA EL HO" u="1"/>
        <s v="EDICTO Dra Mirta del V. Vega, Ju" u="1"/>
        <s v="CON IMAGEN DE SAN ROQUE a color" u="1"/>
        <s v="Leandro Rodríguez. Gracias Virge" u="1"/>
        <s v="SE BUSCA MEDICO_x000d__x000a_***RESALTADO****" u="1"/>
        <s v="GRACIAS GAUCHITO GIL Por los Fav" u="1"/>
        <s v="GRACIAS SAN EXPEDITO POR LOS FAV" u="1"/>
        <s v="FOTO GUARDAD EN LA CARPETA DE LA FECHA DE AT. AL CLIENTE_x000d__x000a__x000d__x000a_CON EL MARCO DEL RECUADRO CON ALGUN LINDO DETALLE A COLOR" u="1"/>
        <s v="JUBILACIONES - PENSION por falle" u="1"/>
        <s v="- - - E D I C T O   S U C E S O " u="1"/>
        <s v="EDICTOS El Tribunal Electoral de" u="1"/>
        <s v="OPORTUNIDADA DE TRABAJO SE BUSCA" u="1"/>
        <s v="+ BAZAN, José  Q.E.P.D. Falleció" u="1"/>
        <s v="+ JULIA ANTONIA COLQUI          " u="1"/>
        <s v="+ ROSA PRIMITIVA RODRIGUEZ (Q.E." u="1"/>
        <s v="EDICTO SUCESORIO ---------JUZGAD" u="1"/>
        <s v="BIO GNC ENERGIA “Siempre más GAS" u="1"/>
        <s v="TODO GOMA ..." u="1"/>
        <s v="ASOCIACION JUJEÑA DE CIRUGIA  CO" u="1"/>
        <s v="COLEGIO DE ABOGADOS - ESP KINESI" u="1"/>
        <s v="El Dr. Esteban Arias Cau Vocal P" u="1"/>
        <s v="GRACIAS ESPIRITU SANTO POR LOS F" u="1"/>
        <s v="EDICTO SUCESORIO Juzgado de Prim" u="1"/>
        <s v="ABOGADOS - CAUSAS PENALES _x000d__x000a__x000d__x000a_///AVISO ARMADO EN CARPETA DE LA FECHA" u="1"/>
        <s v="+ LEONOR REGUERIN GUERRERO (Avis" u="1"/>
        <s v="JMS MAQUINAS AGROVIAL" u="1"/>
        <s v="EMPRESA GASTRONOMICA incorpora e" u="1"/>
        <s v="BUSCO CAMIONES, SEMIACOPLADOS-CA" u="1"/>
        <s v="PERICO VENDO CASAS  Bº JM DE ROS" u="1"/>
        <s v="ASAMBLEA GENERAL ORDINARIA  La C" u="1"/>
        <s v="DUEÑO VENDE EDIFICIO DE 14 DEPAR" u="1"/>
        <s v="EDICTO La Sra. Juez del Tribunal" u="1"/>
        <s v="Familia Fachini ADHESION" u="1"/>
        <s v="ASAMBLEA GENERAL ORDINARIA El CL" u="1"/>
        <s v="CLUB GIMNASIA Y ESGRIMA DE JUJUY" u="1"/>
        <s v="FINCA DON ARMANDO" u="1"/>
        <s v="PUNA DE ATACAMA SRL adhesion LEN" u="1"/>
        <s v="MUEBLES CHAÑAR" u="1"/>
        <s v="SERVIFIAT-DIA DEL MECANICO" u="1"/>
        <s v="CONVOCATORIA   La Comisión Direc" u="1"/>
        <s v="MADERERA TIERRA COLORADA" u="1"/>
        <s v="con foto color carp 13-03" u="1"/>
        <s v="CORONAVIRUS TELAM 2021...." u="1"/>
        <s v="Ref. Expte. Nº C-138299/2019 car" u="1"/>
        <s v="CON FOTO COLOR CARP 17-03" u="1"/>
        <s v="AGOSTINI DES. INMOBILIARIA" u="1"/>
        <s v="LIC.PUB. Nº 04/2021 MINISTERIO D" u="1"/>
        <s v=" + ZACARIAS P. CUEVAS “SACO”    " u="1"/>
        <s v="OSPIDA - DIA DE LA MUJER" u="1"/>
        <s v="color con foto para 05-03" u="1"/>
        <s v="UCASAL JUJUY OFERTA EDUCATIVA" u="1"/>
        <s v="         E  D  I  C  T  O  S  - " u="1"/>
        <s v="SALVA CABANA" u="1"/>
        <s v="VENDO FIAT 500" u="1"/>
        <s v="EDICTOS  Ref. Expte. Nº D-034815" u="1"/>
        <s v="_CONVOCATORIA_ La Comisión Direc" u="1"/>
        <s v="+ IVANA JAQUELINA TEVES DE ZUÑIG" u="1"/>
        <s v="GRACIAS SAN EXPEDITO Por todos l" u="1"/>
        <s v="CENTRO REGIONAL DE HEMOTERAPIA- " u="1"/>
        <s v="DESARROLLO INMOBILIARIA SANTA MA" u="1"/>
        <s v="SUTIAGA - DIA DE LA MUJER" u="1"/>
        <s v="IDEAL INVERSORES Galería Impulso" u="1"/>
        <s v="CONVOCATORIA           El Centro" u="1"/>
        <s v=" Sindicato de Taximetristas Quia" u="1"/>
        <s v="con foto color (enviado correo de Pablo  (obituario _x000d__x000a_foto notable" u="1"/>
        <s v="XTREME NEUMATICOS" u="1"/>
        <s v="RECORDATORIO   + LAVAYÉN, Javier" u="1"/>
        <s v="APJ FEBRERO 2021" u="1"/>
        <s v="TIEMPO DE COLORES" u="1"/>
        <s v="federacion gaucha jujeÑa convoca" u="1"/>
        <s v="=  E D I C T O  S U C E S O R I " u="1"/>
        <s v="PLAN BÁSICO UNIVERSAL" u="1"/>
        <s v="COVID DISTANCIAMIENTO SOCIAL - C" u="1"/>
        <s v="Julieta Caorlín - Medica, especi" u="1"/>
        <s v="E    D    I    C    T    O    S " u="1"/>
        <s v="Bertotto Boglione S.A." u="1"/>
        <s v="SE CAMBIO EL NUMERO DE CELULAR" u="1"/>
        <s v="EDICTO  Juzgado de primera Insta" u="1"/>
        <s v="EDICTOS JUZGADO DE PRIMERA INSTA" u="1"/>
        <s v="IMPORTANTE EMPRESA CONSTRUCTORA " u="1"/>
        <s v="TAVERNITI ESP TALLERES DE PERICO" u="1"/>
        <s v="FUNDACION BARCELO" u="1"/>
        <s v="E D I C T O ===El Juzgado de 1ra" u="1"/>
        <s v="JMS MAQUINAS AGROVIALES ESP TALL" u="1"/>
        <s v="--------------- EDICTO ---------" u="1"/>
        <s v="--------------------------------" u="1"/>
        <s v="RECORDATORIO GUILLERMO SNOPECK" u="1"/>
        <s v=" + PABLO CANCHI Q.E.P.D. Falleci" u="1"/>
        <s v="EMPRESA CONSTRUCTORA SOLICITA : " u="1"/>
        <s v="MUNI JUJUY - APERTURA CONCEJO DE" u="1"/>
        <s v=" HOSPITAL MATERNO INFANTIL DR. H" u="1"/>
        <s v="EMPRESA CONSTRUCTORA DEL MEDIO S" u="1"/>
        <s v="BOTON LAMINA" u="1"/>
        <s v="fondo blanco  vendo y alquilo (solo difrente color y resto letras negras)" u="1"/>
        <s v="CLUB PARQUE ROCA - 70 AÑOS" u="1"/>
        <s v="PORKMAN - 15 años la mansión" u="1"/>
        <s v="ASMABLEA ORDINARIA  La Asociació" u="1"/>
        <s v="con foto en carpeta de la fecha 27/04 + TEVES ARMANDO GUILLERMO" u="1"/>
        <s v="E D I C T O  Dr. Alejandro Domín" u="1"/>
        <s v=" CLINICA NUESTRA SEÑORA DE  FATI" u="1"/>
        <s v="+ VILLEGA, Luis Adrian (q.e.p.d)" u="1"/>
        <s v="+ VILLEGA,LUIS ADRIAN  (q.e.p.d)" u="1"/>
        <s v="LIQUIDACION DE SUELDOS...." u="1"/>
        <s v="bien remarcado tasaciones" u="1"/>
        <s v="EFECTIVO EN 1 MINUTO..." u="1"/>
        <s v="            E   D   I   C   T   " u="1"/>
        <s v="cargar cuenta cte. werchow  1x3 " u="1"/>
        <s v="PJ JUJUY - RIVAROLA- fernandez" u="1"/>
        <s v="NECESITO OFICIALES Y 1/2 OFI. AL" u="1"/>
        <s v="Anuncio vinculado con: 1455052 2 ." u="1"/>
        <s v="FARMACIA DEL BARRIO" u="1"/>
        <s v="CONSEJO PROF CS ECON - KINESIO" u="1"/>
        <s v="MUNI JUJUY - 2 DE ABRIL DIA DE L" u="1"/>
        <s v="NUEVO PROFESIONAL GABRIEL ALEJAN" u="1"/>
        <s v="VENDO TERRENO 15x40, DIQUE La Ci" u="1"/>
        <s v="E  D  I  C  T  O S  - - - El Dr." u="1"/>
        <s v="Ledesma S.A.A.I." u="1"/>
        <s v="E  D  I  C  T  O:   = = = DR. JU" u="1"/>
        <s v="EDICTO EL DIRECTOR DE LA DIRECCO" u="1"/>
        <s v="PAEZ S.R.L." u="1"/>
        <s v="CONCEJAL. FABIAN RODRIGUEZ  DIA " u="1"/>
        <s v="SUTIAGA" u="1"/>
        <s v="repite ultimo aviso" u="1"/>
        <s v="EDICTO    El Tribunal Electoral " u="1"/>
        <s v="EDICTO  . El Tribunal Electoral " u="1"/>
        <s v="EDICTO ---------JUZGADO DE PRIME" u="1"/>
        <s v="EDICTO ---El Tribunal Electoral " u="1"/>
        <s v="GOBIERNO LA SEGURIDAD DE LOS JUJ" u="1"/>
        <s v="MUNI JUJUY - PASCUAS" u="1"/>
        <s v="ISJ  COVID 19 .... GOBIERNO" u="1"/>
        <s v="COTEJU CONVOCATORIA GRAL ORDINAR" u="1"/>
        <s v="SE NECESITA COCINERO/A CON EXPER" u="1"/>
        <s v="ELECTROMAT ..." u="1"/>
        <s v="con 2 fotos color" u="1"/>
        <s v="LUISIÑO - ESP LA MANSION" u="1"/>
        <s v="BINGO LOBO..." u="1"/>
        <s v="Juntas con Essen - publica estil" u="1"/>
        <s v="OFICIAL TORNERO" u="1"/>
        <s v="+ HUGO DEL VALLE ORTEGA  Q.E.P.D" u="1"/>
        <s v="AVISO ARMADO EN CARPETA DE LA FE" u="1"/>
        <s v="AUTOSERVICIO EL ALMACEN" u="1"/>
        <s v="IMPORTANTE EMPRESA ONSTRUCTORA  " u="1"/>
        <s v="EJESA   CORTE..." u="1"/>
        <s v="HOTEL OHASIS-ANIV. GYE JUJUY" u="1"/>
        <s v="CONVOCATORIA  ASAMBLEA GENERAL O" u="1"/>
        <s v="con foto (blanco y negro ) Adelaida Del Carmen Zerpa" u="1"/>
        <s v="JUNTA ELECTORAL DEL B° CAMPO VER" u="1"/>
        <s v="fondo amarrillo lentras negras_x000d__x000a_Bº municipal 2 D (2 dorm.)misma linea    ALQUILER COMERCIAL MISMA LINEA_x000d__x000a_oFICINAS EN LA MISMA LINEA -- OFICINAS CON 4 OFICINAS JUNTO _x000d__x000a_Direcion y tel. mas norable" u="1"/>
        <s v="FIESTA PATRONAL SAN JOSE_x000d__x000a__x000d__x000a_Iogo enviadao correo de Sonia Huanuco" u="1"/>
        <s v="COLEGIO FARMACEUTICO DIA MUNDIAL" u="1"/>
        <s v="VENDO CACHORROS  Rotweiler, 40 d" u="1"/>
        <s v="MUNIC. LICITACION N° 07/2021" u="1"/>
        <s v="EDICTOS El Juzgado de Primera 1r" u="1"/>
        <s v="TOYOTA SW4 full,  mod/2016, 76.0" u="1"/>
        <s v="ELECTROMAT ESP CAMARA TABACO" u="1"/>
        <s v="INMOBILIARIA SONIA FLORES.  TILC" u="1"/>
        <s v="SECRETARIO/A NECESITO DE 20 a 27" u="1"/>
        <s v="LATITUD SUR ESP CAMARA TABACO" u="1"/>
        <s v="EDICTO SUCESORIO  ---DR. DIEGO A" u="1"/>
        <s v="LUBRINOR-DIA DEL MECANICO" u="1"/>
        <s v="DOVIS DIESEL - PATRONAL DE PERIC" u="1"/>
        <s v="COLEGIO MÉDICO - DIA DE LA SALUD" u="1"/>
        <s v="color_x000d__x000a__x000d__x000a_sin foto" u="1"/>
        <s v="CEMER" u="1"/>
        <s v="GRACIAS SAN ROQUE Por los Favore" u="1"/>
        <s v="+ JOSE OSCAR RODRIGUEZ “NEGRO” Q" u="1"/>
        <s v="UNION CAÑEROS INDEPEND. ESP CAMA" u="1"/>
        <s v="+GRAMAJO NESTOR JAVIER (AVISO AR" u="1"/>
        <s v="aviso para renovar" u="1"/>
        <s v="RUBEN RIVAROLA .... MALVINAS" u="1"/>
        <s v="EDICTOS JUDICIALES ---DRA. NORMA" u="1"/>
        <s v="Patricia Patiño  Kinesiologa" u="1"/>
        <s v="EDICTO ==== El Juzgado de Primer" u="1"/>
        <s v="EDICTOS  = = = JUZGADO DE PRIMER" u="1"/>
        <s v="REMARCAR TITULO DEL AVISO _x000d__x000a_Modificaciones" u="1"/>
        <s v="--EDICTO--  = = =Dra. LIS VALDEC" u="1"/>
        <s v="ACADEMIA DE DANZAS ARABES AAMAL" u="1"/>
        <s v="PAREDES CATALINO 2X3 COLOR FOTO EN CARPETA DE LA FECHA 14/04/2021" u="1"/>
        <s v="LIC. DIEGO CRUZ QUIROPRAXIA" u="1"/>
        <s v="FAMILIA SOSA. GRACIAS SAN EXPEDI" u="1"/>
        <s v="PJ JUJUY - RIVAROLA" u="1"/>
        <s v="INGENIO RIO GRANDE  INVITA ...." u="1"/>
        <s v="E D I C T O  EL JUZGADO DE PRIME" u="1"/>
        <s v="VENDO CACHORROS  Rotweiler, 45 d" u="1"/>
        <s v="Club PerBAS CONVOCATORIA A ASAMB" u="1"/>
        <s v="PROPIETARIO ALQUILA IMPORTANTE P" u="1"/>
        <s v="+ CIRO CALIXTO DIAZ (Q.E.P.D.) S" u="1"/>
        <s v="con foto color carpeta dia 10 de noviembre" u="1"/>
        <s v="PROPIETARIO VENDE DUPLEX TIPO CH" u="1"/>
        <s v="UCSE  PSICOPEDAGOGIA" u="1"/>
        <s v="DOVIS DIESEL - ESP CAMARA TABACO" u="1"/>
        <s v="SOTO CORNEJO CARLOS H. EXPTE C-0" u="1"/>
        <s v="con foto color -foto carpeta del dia 24-02" u="1"/>
        <s v="GOMEZ ROCO - BUSQUEDA PERSONAL" u="1"/>
        <s v=" EDICTO SUCESORIO  Juzgado de Pr" u="1"/>
        <s v="Asociación de Bomberos Voluntari" u="1"/>
        <s v="LA BULONERA" u="1"/>
        <s v="CENTRO VECINAL B° 9 DE JULIO - P" u="1"/>
        <s v="EDICTO DE CITACION  LA DIRECCION" u="1"/>
        <s v="ASOCIACION CIVIL CLUB ATLETICO E" u="1"/>
        <s v="BOTON DIA DE LA MUJER" u="1"/>
        <s v="TARJETA NOA - 19 DE ABRIL" u="1"/>
        <s v="buscar aviso 3 diciembre de 2019 y modificar texto" u="1"/>
        <s v="VINERIA S.JUAN" u="1"/>
        <s v="+ ESTER VILLAFAÑE DE SERAPIO ALV" u="1"/>
        <s v="SEVERINO  VENDO  100 HAS PERICO " u="1"/>
        <s v="CENTRO VECINAL BARRIO SAN ROQUE " u="1"/>
        <s v="Produgas GNC-Nafta" u="1"/>
        <s v="TRAME - FATIMA" u="1"/>
        <s v="adhesión día de los agricultores" u="1"/>
        <s v="LIGA DE VETERANOS DE FUTBOL DE P" u="1"/>
        <s v=" FIAT ARGO  FULL modelo HGT moto" u="1"/>
        <s v="MARTILLERA LAURA BLANCO VENDO TE" u="1"/>
        <s v="“La Comunidad de Perico honra ho" u="1"/>
        <s v="LCB POLARIZADOS ..." u="1"/>
        <s v="el primer profesional mas grande el nombre que el segundo" u="1"/>
        <s v="EDICTO JUZGADO DE PRIMERA ISNTAN" u="1"/>
        <s v="ASOC. DE SANMARINENS,." u="1"/>
        <s v="---EDICTOS- Ref. Expte. N° D- 34" u="1"/>
        <s v="AGOSTINI INMOBILIARIO" u="1"/>
        <s v="NEWSPORT ADHESION CLUB GIMNASIA " u="1"/>
        <s v="EMP DEL MEDIO SOLICITA VENDEDOR" u="1"/>
        <s v="relaes humberto" u="1"/>
        <s v="BUSQUEDA LABORAL" u="1"/>
        <s v="GUERRERO INMOBILIARIA" u="1"/>
        <s v="“Centro Vecinal Bartolomé Mitre”" u="1"/>
        <s v="con foto  (MAS VISIBLE) enviado a correo de pablo (obituario) a color" u="1"/>
        <s v="+ VALE, Maximiliano “Chacho” Q.E" u="1"/>
        <s v="TEL NET SRL" u="1"/>
        <s v="-EDICTO -  JUZGADO DE PRIMERA IN" u="1"/>
        <s v="CAMARA MINERA - ANIVERSARIO CAMA" u="1"/>
        <s v="CLINICA NUESTRA SRA. DE FATIMA.." u="1"/>
        <s v="Neuquén + MEDINA, Cesar Orlando " u="1"/>
        <s v="CAMARA MINERA - 19 DE ABRIL" u="1"/>
        <s v="SE VENDE DUPLEX Bº LOS P." u="1"/>
        <s v="+ MIRTA GRICELDA MACHACA        " u="1"/>
        <s v="CONSTRUCTORA BUSCA OFICIAL ALBAÑ" u="1"/>
        <s v="VENDO EN TUCUMÁN,  CASA ESQUINA " u="1"/>
        <s v="CONSORCIO DEL LOTEO RESIDENCIAL " u="1"/>
        <s v="“EL LLAMADO FINAL DE DIOS PARA T" u="1"/>
        <s v="BINGO HOSPITAL ..." u="1"/>
        <s v="ECHENIQUE Analía" u="1"/>
        <s v="+CHOQUEVILCA, Cecilia Q.E.P.D. F" u="1"/>
        <s v="VERTIENTES DE YALA" u="1"/>
        <s v="MUNI JUJUY - MARIANO MORENO" u="1"/>
        <s v="EDICTOS SUCESORIOS  DRA. MARISA " u="1"/>
        <s v="SEL SRL - ANIVERSARIO GYE JUJUY" u="1"/>
        <s v="VENDO TERRENO  15x40, DIQUE La C" u="1"/>
        <s v="COLEGIO DE ABOGADOS - ESP MUJER" u="1"/>
        <s v="CENTRO VECINAL Y DE FOMENTO CENT" u="1"/>
        <s v="+ CRUZ, LUIS RICARDO         Q.E" u="1"/>
        <s v="AVISO ARMADO CARP. 16-04" u="1"/>
        <s v="JUZGADO DE PRIMERA INSTANCIA EN " u="1"/>
        <s v="MUNI JUJUY - ANIVERSARIO EL TRIB" u="1"/>
        <s v="SELECCIONA MEDICOS" u="1"/>
        <s v="+  FERIGUTTI MARIO  Q.E. P. D.  " u="1"/>
        <s v="E  D  I  C  T  O  ---El Tribunal" u="1"/>
        <s v="ING. RAMON RUSSO" u="1"/>
        <s v="TIEMPO SALUDABLE FM SOL" u="1"/>
        <s v="= E D I C T O =    = = = El Dr. " u="1"/>
        <s v="GOMEZ ROCO COMUNICADO...." u="1"/>
        <s v="Alliance One ESP CAMARA TABACO" u="1"/>
        <s v="0800 DENUNCIAR IRREGULARIDADES" u="1"/>
        <s v="DISTRIBUIDORA VICTORIA" u="1"/>
        <s v="GOBIERNO CALL CENTER 0800-..." u="1"/>
        <s v="EL MUNDO DEL PLOMERO ANIV CLUB G" u="1"/>
        <s v="UCASAL JUJUY - oferta marzo 2021" u="1"/>
        <s v="AVISO EN CARPETA DE NOTABLES" u="1"/>
        <s v="CONSULTORIO DE PODOLOGIA GABRIEL" u="1"/>
        <s v="LA CASA DEL PEUGEOT - ESP GIMNAS" u="1"/>
        <s v="PEDRO ACHO  CARGAR CTA CTE WERCH" u="1"/>
        <s v="a color los dias de color ( renovación) JAIRO NUEVO NUMERO DE CEL 0388154648931" u="1"/>
        <s v="GENERAL MOTORS recall tracker" u="1"/>
        <s v="ALVARO C. PERALTA TANCO EXPTE C " u="1"/>
        <s v="GESTORIA DEL AUTOMOTOR REALIZAMO" u="1"/>
        <s v="COLOR SIN FOTO" u="1"/>
        <s v="OSDE ADHESION SUP." u="1"/>
        <s v="EDICTO EN EL EXPTE. N°D-035189/2" u="1"/>
        <s v="CLUB ATLETICO SANTA ROSA CONVOCA" u="1"/>
        <s v="CONVOCATORIA La Comision elector" u="1"/>
        <s v="ISJ   MEDIDAS DE PREVENSION ..." u="1"/>
        <s v="Carballo María" u="1"/>
        <s v="LOS TILIANES - 19 de abril" u="1"/>
        <s v="CUADRO TARIFARIO EJESA..." u="1"/>
        <s v="AGRADECIMIENTO   LA FAMILIA DE A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E   D   I   C   T   O:   - - - D" u="1"/>
        <s v="ASAMBLEA GENERAL ORDINARIA  EL C" u="1"/>
        <s v="Comparsa La Unión de la Ciudad d" u="1"/>
        <s v="CREDIS CRECER  Solicita vendedor" u="1"/>
        <s v="Hábitat-Car vende departamento a" u="1"/>
        <s v="resaltar jubilacion-pension con fondo negro y nombre del profesional y numero de telefono" u="1"/>
        <s v="resaltar el titulo y los contactos. gracias" u="1"/>
        <s v="+MAURICIO JOSE HUANCO       (q.e" u="1"/>
        <s v="+ APAZA, Ramón del Milagro (Q.E." u="1"/>
        <s v="EDICTOS Ref. Expte Nº D-034230/2" u="1"/>
        <s v="VENDO AUTO  GOLF 2016 1.4, TSI. " u="1"/>
        <s v="EDICTO SUCESORIO   El JUZGADO DE" u="1"/>
        <s v="EDICTO SUCESORIO  - - JUZGADO DE" u="1"/>
        <s v="EDICTO SUCESORIO  ----JUZGADO DE" u="1"/>
        <s v="EDICTO SUCESORIO - - -JUZGADO DE" u="1"/>
        <s v="EDICTO SUCESORIO ---- Juzgado de" u="1"/>
        <s v="EDICTO SUCESORIO -----JUZGADO DE" u="1"/>
        <s v="con foto color dia 15-04" u="1"/>
        <s v="CON IMAGEN SAN EXPEDITO color" u="1"/>
        <s v="MUNI PALPALA - DIA DE LA MUJER" u="1"/>
        <s v="COLEGIO DE LIC EN OBSTETRICIA" u="1"/>
        <s v="FE DE ERRATAS  SOCIEDAD MUTUAL C" u="1"/>
        <s v="TASADORA MATRICULADA MP 304 Peri" u="1"/>
        <s v="SOCIEDAD RURAL ESP. C.C. EXT." u="1"/>
        <s v="BLANCO Y NEGRO AVISO CARP. 10-03" u="1"/>
        <s v="PEUGEOT PATAGONICA  FULL-2016- G" u="1"/>
        <s v="SUBTE - delivery" u="1"/>
        <s v="TRAME - DIA DEL MECANICO" u="1"/>
        <s v="CON IMAGEN CARP. 31-03" u="1"/>
        <s v="LA CASA DEL RIEGO ESP TALLERES D" u="1"/>
        <s v="+ HORACIO VICTOR ALVAREZ GARCIA " u="1"/>
        <s v="EDICTO SUCESORIO   - JUZGADO DE " u="1"/>
        <s v="EDICTO SUCESORIO  ---JUZGADO DE " u="1"/>
        <s v="EDICTO SUCESORIO  ===JUZGADO DE " u="1"/>
        <s v="EDICTO SUCESORIO  El Juzgado de " u="1"/>
        <s v="EDICTO SUCESORIO ----JUZGADO DE " u="1"/>
        <s v="EDICTO SUCESORIO = = JUZGADO DE " u="1"/>
        <s v="EDICTO SUCESORIO:    JUZGADO DE " u="1"/>
        <s v="EDICTO SUCESORIO: ===JUZGADO DE " u="1"/>
        <s v="EDICTO- -------------JUZGADO DE " u="1"/>
        <s v="aviso nuevo a armar en carpeta de notables" u="1"/>
        <s v="                        EDICTO D" u="1"/>
        <s v="= =  =  =  =  =  =  =  EDICTOS S" u="1"/>
        <s v="+MIGUEL CARLOS       Q.E.P.D." u="1"/>
        <s v="FIDEICOMISO HIPOTECARIO" u="1"/>
        <s v="CUBIERTAS Y LLANTAS  ORIGINALES" u="1"/>
        <s v="JESÚS HIJO DE DIOS TIENE PODER. " u="1"/>
        <s v="               ASOCIACION PAN DE" u="1"/>
        <s v="CLUB DE CAMPO “LA POSTA”  VENDO " u="1"/>
        <s v="ASAMBLEA BARRIO LOS PERALES" u="1"/>
        <s v="                    E D I C T O " u="1"/>
        <s v="CONVOCATORIA EL CONSEJO DE ADMIN" u="1"/>
        <s v="FAMILIA BONOMI AGRADECE AL PERSO" u="1"/>
        <s v="AYHRE" u="1"/>
        <s v="---EDICTO SUCESORIO--  ---JUZGAD" u="1"/>
        <s v="BARBARITA QUIROGA Q.E.P.D.  WERH" u="1"/>
        <s v=" ESTUDIO JURIDICO LOPEZ SALGADO " u="1"/>
        <s v="BANCO MACRO  PEDIDO: 45000102879" u="1"/>
        <s v="ALQUILO PLENO CENTRO Dptos y hab" u="1"/>
        <s v="ALQUILO CASA A estrenar a Empres" u="1"/>
        <s v="CONCEJO DELIBERANTE - aniversari" u="1"/>
        <s v="a color aviso para renovar" u="1"/>
        <s v="a color" u="1"/>
        <s v="ENTER SERVICE S.A. ESP SAN SALVA" u="1"/>
        <s v="ISJ  CUIDA TU FAMILIA CONTRATA T" u="1"/>
        <s v="GIGANTO GRAFICA" u="1"/>
        <s v="PREMANANDI" u="1"/>
        <s v="Genaro Gimenez Q. E. P. D. Se du" u="1"/>
        <s v="Gerardo Urban" u="1"/>
        <s v="CARGAR CUENTA WERCHOW JUAN CARLO" u="1"/>
        <s v="CONVOCATORIA ASAMBLEA EXTRAORDIN" u="1"/>
        <s v="SE CONVOCA A LA PRESENTACIÓN DE " u="1"/>
        <s v="CLUB ATLETICO SANTA  CONVOCATORI" u="1"/>
        <s v="EDICTOS Ref. EXPTE Nº D-035387/2" u="1"/>
        <s v="color con foto carp. 23-04" u="1"/>
        <s v="    EDICTO SUCESORIO  ----JUZGAD" u="1"/>
        <s v="30 AVISOS (450 MODULOS) TARJETA " u="1"/>
        <s v="MADERERA DENIS" u="1"/>
        <s v="EMP DEL MEDIO INCORPORA PROMOT" u="1"/>
        <s v="+ FANNY SORIA            + ZULMA" u="1"/>
        <s v="¡¡¡URGENTE BUSCAMOS A VALENTINA!" u="1"/>
        <s v="PERICO - ASOCIAC. DE SANMARINENS" u="1"/>
        <s v="FONDO NEGRO EL TITULO DEL AVISO_x000d__x000a_Y BIEN REMARCADO EL CONTACTO" u="1"/>
        <s v="CENTRO VECINAL DE RODERO CONVOCA" u="1"/>
        <s v="fondo negro titulo" u="1"/>
        <s v="E D I C T O  ==== El Juzgado de " u="1"/>
        <s v="PONER EL TITULO Y LOS TELEFONOS CON FONDO NEGRO POR FAVOR" u="1"/>
        <s v="(pag deportes) - DERGAM" u="1"/>
        <s v="ASOCIACIÓN CIVIL CENTRO VECINAL " u="1"/>
        <s v="Duty Center" u="1"/>
        <s v="CARGAR A LA CUENTA DE WERCHOW  1" u="1"/>
        <s v="ANGEL LUBRICANTES . ..." u="1"/>
        <s v="MARTILLERA LAURA BLANCO LOCALES " u="1"/>
        <s v="CON FOTO" u="1"/>
        <s v="Club Deportivo Social Parapeti C" u="1"/>
        <s v="+ PEUSER, Gustavo Alberto   Q.E." u="1"/>
        <s v="+ ESTANISLAO ALBERTO LIQUITAY  q" u="1"/>
        <s v="ASOCIACÍON CIVIL EMPRENDER CONVO" u="1"/>
        <s v="CENTRO DE JUBILADOS, PENSIONADOS" u="1"/>
        <s v="con imagen (a color)" u="1"/>
        <s v="FE DE ERRATAS El &quot;Centro Interdi" u="1"/>
        <s v="TARJETA SOL - PROMOS ESCOLARES" u="1"/>
        <s v="CARGAR CUENTA DE WERCHOW MOD 1X3" u="1"/>
        <s v="dia vierne leyenda &quot;hoy&quot;" u="1"/>
        <s v="- PAGINA 2- INSTITUTO DE ESTUDIO" u="1"/>
        <s v="envio por correo el texto y foto de Analia Echenique" u="1"/>
        <s v="CARGAR CUENTA DE WERCHOW MOD 2X3" u="1"/>
        <s v="DUEÑO VENDE EDIFICIO  con 2 Dpto" u="1"/>
        <s v="INSTITUTO TECNOLOG. MERCANTIL AN" u="1"/>
        <s v="ACUERDO ESCOLAR - COVID LAVADO D" u="1"/>
        <s v="SONIA FLORES MARTILLERA ALQUILA " u="1"/>
        <s v="- - El Tribunal Electoral de la " u="1"/>
        <s v="ALFREDO ANDRES Y FAMILIA SALUDAN" u="1"/>
        <s v="EDICTO DE CITACIÓN   LA DIRECCIO" u="1"/>
        <s v="EDICTOS DE CITACION  LA DIRECCIO" u="1"/>
        <s v="NECESITO RECUPERAR CON URGENCIA." u="1"/>
        <s v="CLINICA VETERINARIA MEDI VET" u="1"/>
        <s v="CENTRO EMPLEADOS DE FARMACIA DIA" u="1"/>
        <s v="EDICTOS Ref. Expte Nº D-035486/2" u="1"/>
        <s v="DUEÑO ALQUILA Dpto. 3er piso, 3 " u="1"/>
        <s v="CATEDRAL BASÍLICA - Jujuy - Parr" u="1"/>
        <s v="FIAMBRERIA GRAN MONARCA ..." u="1"/>
        <s v="IMANTA - VENDEDORES" u="1"/>
        <s v="Corralon Gareca" u="1"/>
        <s v="EDICTO FDO: DRA. MARISA RONDÓN -" u="1"/>
        <s v="color con foto carp. 14-04" u="1"/>
        <s v="UTHGRA - DIA DE LA MUJER" u="1"/>
        <s v="con foto color" u="1"/>
        <s v="E  D  I  C  T  O:  = = = JUZGADO" u="1"/>
        <s v="PROYAJO S.A. ESP TALLERES DE PER" u="1"/>
        <s v="AVISO ARMADO CARP  2-03" u="1"/>
        <s v="+ SERAFIN CRUZ          Q.E.P.D " u="1"/>
        <s v="CENTRO VECINAL B° 23 DE AGOSTO -" u="1"/>
        <s v="ORACION A SAN EXPEDITO M i San E" u="1"/>
        <s v="gobierno continuamos con los ras" u="1"/>
        <s v="COOPERATIVA DE TABACALEROS" u="1"/>
        <s v="GOBIERNO DISTANCIATE..." u="1"/>
        <s v="FUND. PROJUJUY AGROPECUA." u="1"/>
        <s v="AYLLU" u="1"/>
        <s v="EDICTO SUCESORIO DR. JUAN PABLO " u="1"/>
        <s v="SALUDO DE CUMPLEAÑOS  OLIVER JES" u="1"/>
        <s v="ADICEM ...." u="1"/>
        <s v="IMPORTANTE EMPRESA DE SERVICOS M" u="1"/>
        <s v="+ DI PIETRO  ANGEL DANIEL “CHING" u="1"/>
        <s v="LOGO AVISO PARA RENOVAR CON COLOR" u="1"/>
        <s v="EDICTO EN EL EXPTE. N° D-35529/2" u="1"/>
        <s v="APACHETA - - gaby morales" u="1"/>
        <s v=" ALTOS HORNOS ZAPLA  CARTELERA" u="1"/>
        <s v="Estamos buscando *ARQUITECTO  Co" u="1"/>
        <s v=" EDICTO DE CITACION  -----------" u="1"/>
        <s v="BINGO CLUB EL CARMEN - publicado" u="1"/>
        <s v="CONSORCIO DE RIEGO ESP CAMARA TA" u="1"/>
        <s v="con foto color carp 20-03" u="1"/>
        <s v="¡PERICO!! VENDO  CASA 2 Dorm. en" u="1"/>
        <s v="VDO. TRES LOTES. De 40 de ancho " u="1"/>
        <s v="TASADORA MATRICULADA  MARTILLERA" u="1"/>
        <s v=": Hábitat-Car vende impecable ca" u="1"/>
        <s v="EDICTO: - - - Dra. MARISA E. RON" u="1"/>
        <s v="fondo verde lectras blancas" u="1"/>
        <s v="CENTRO VECINAL B° ALTO  PALPALÁ " u="1"/>
        <s v="+ MAMANI SANCHEZ, Ruben Daniel “" u="1"/>
        <s v="+ MAMANÍ SANCHEZ, Rubén Daniel “" u="1"/>
        <s v="RENUEVA IMAGEN A PARTIR DEL 5/01" u="1"/>
        <s v="BINDA" u="1"/>
        <s v="IDEAL INVERSORES vendo oficinas " u="1"/>
        <s v="CON FOTO EN CARPETA DE LA FECHA  2X3 COLOR ELSA  GALIAN DE SILISQUE" u="1"/>
        <s v="I.V.U.J. GOBIERNO DE JUJUY ..." u="1"/>
        <s v="EDICTO SUCESORIO .-.-.-.-JUZGADO" u="1"/>
        <s v="COOPERATIVA HORTÍCOLA LA NUEVA F" u="1"/>
        <s v="COVID LAVADO DE MANOS- GOBIERNO" u="1"/>
        <s v="FIAMBRERIA IRENE" u="1"/>
        <s v="E  D  I  C  T  O  S - - - - - - " u="1"/>
        <s v="AGOSTINI DES. INMOBILIARIOS" u="1"/>
        <s v="UNION CAÑEROS INDEPEND." u="1"/>
        <s v="ZONA FRANCA CONSTRUCCION  DE LA " u="1"/>
        <s v="Infomercial Oficina anticorrupci" u="1"/>
        <s v="+ KOTAS" u="1"/>
        <s v="MARIA GABRIELA LABARTA        AB" u="1"/>
        <s v="JUJUY FM PIZPIRETA" u="1"/>
        <s v="ABRIMOS EN LA TERMINAL" u="1"/>
        <s v="LLAMADO A RESIDENCIA DE CLINICA " u="1"/>
        <s v="POLIEDRO  VENDE DEPTOS Y DUPLEX " u="1"/>
        <s v="GRACIAS  SEÑOR DE LA DIVINA MISE" u="1"/>
        <s v="PERICO VENDO TERRENO 10x33 frent" u="1"/>
        <s v="EMPRESA CONSTRUCURA SOLICITA : M" u="1"/>
        <s v="EDICTO  INSCRIPCION DE MARTILLER" u="1"/>
        <s v="Los Nietos de Carlos Sanchez" u="1"/>
        <s v="= EDICTO SUCESORIO =  Juzgado de" u="1"/>
        <s v="PERMUTO-VENDO CASA CHALET EN S.M" u="1"/>
        <s v="CAPSAP COMUNICADO WSP" u="1"/>
        <s v="GOBIERNO SALUDO DIARIO TRIBUNO D" u="1"/>
        <s v="SINDICATO DE TRABAJADORES DE LA " u="1"/>
        <s v="Alliance One" u="1"/>
        <s v="CLUB SOCIAL Y DEPORTIVO VIAL 6 L" u="1"/>
        <s v="SAN EXPEDITO  TE PIDO POR LOS ES" u="1"/>
        <s v="CANAL 2 PERICO TECNOVISION..." u="1"/>
        <s v="+ PRUDENCIO VILTE  Q.E.P.D. Fall" u="1"/>
        <s v="PERICO  VENDO CASAS: *CLUB de ca" u="1"/>
        <s v="TILCARA NUEVO PROFESIONAL Dr. GE" u="1"/>
        <s v="CLASIFICADOS ON LINE" u="1"/>
        <s v="19 de abril  RIVAROLA-" u="1"/>
        <s v="LATITUD SUR" u="1"/>
        <s v="EXPTE C048048/15 OVANDO GREGORIO" u="1"/>
        <s v="- EDICTO DE NOTIFICACION - El Tr" u="1"/>
        <s v="ASOCIACION REGIONAL JUJEÑA DE HO" u="1"/>
        <s v="ADRIAN MERCADO2" u="1"/>
        <s v="CONCURSO DE JUECES" u="1"/>
        <s v="CABALLERO VENDE LOTE PREMIUM 900" u="1"/>
        <s v="ESTUDIE ITALIANO ASOC. DANTE ALI" u="1"/>
        <s v="  E  D  I  C  T  O   EN EL EXPTE" u="1"/>
        <s v="TOYOTA HILUX SRV 2013 3.0 full, " u="1"/>
        <s v="TANQUES 16.000LTS MARCA Bertotto" u="1"/>
        <s v="PERICO - GIGANTO GRAFICA" u="1"/>
        <s v="E   D   I   C   T   O      S   U" u="1"/>
        <s v="COMUNICADO ADECCO RECURSOS HUMAN" u="1"/>
        <s v="          CONVOCATORIA  El centr" u="1"/>
        <s v="+ GARCIA, Natividad Flora Q.E.P." u="1"/>
        <s v="PERICO - ELECTROSTAR" u="1"/>
        <s v="UNION INDUSTRIAL DE JUJUY ahesio" u="1"/>
        <s v="Miguel Angel Toconás  MAT Ingeni" u="1"/>
        <s v="Villanueva BUSQUEDA LABORAL" u="1"/>
        <s v="SANTOS VERA   ///  AVISO ARMADO " u="1"/>
        <s v="FM SOL" u="1"/>
        <s v="UNJU DIA DE LA MUJER" u="1"/>
        <s v="EJESA CONVOCATORIA ASAMBLEA ORDI" u="1"/>
        <s v="MARINARO  DIA DEL TRABAJADOR DE " u="1"/>
        <s v="TOTALGAS - LLAMAGAS" u="1"/>
        <s v="Ing. GUSTAVO PEUSER     (q.e.p.d" u="1"/>
        <s v="con imagen San Expedito a color" u="1"/>
        <s v="EDICTO  El Dr. Matías Leonardo N" u="1"/>
        <s v="SAN EXPEDITO  GRACIAS POR LOS FA" u="1"/>
        <s v="AVISO CON RECUARDO ROJO" u="1"/>
        <s v="CONVOCATORIA DE ASAMBLEA.  La Co" u="1"/>
        <s v="MUTUAL DE AGUA Y ENERGIA ELECTRI" u="1"/>
        <s v="MOTONIVELADORA ZANELLO AÑO 2015 " u="1"/>
        <s v="MARTILLERA LAURA BLANCO VENTAS C" u="1"/>
        <s v="a color aviso para repetir idem 1451760" u="1"/>
        <s v="        EDICTO SUCESORIO  JUZGAD" u="1"/>
        <s v="E D I C T O   - - - CÁMARA DE AP" u="1"/>
        <s v="aviso armado" u="1"/>
        <s v="CENTRO VECINAL BARRIO EL CADILLA" u="1"/>
        <s v="Vendo cachorros  Raza salchichas" u="1"/>
        <s v="CARLOS QUIROGA" u="1"/>
        <s v="= = = = = = = = = = EDICTO SUCES" u="1"/>
        <s v="Vendo clio II Impecable. Modelo " u="1"/>
        <s v="a color los días correspondientes ( aviso para renovación )_x000d__x000a_Idem aviso 1450476" u="1"/>
        <s v="JUJUY FM PIZPIRETA." u="1"/>
        <s v="VENDO AUTO  GOLF 2016 1.4, TSI.c" u="1"/>
        <s v="NUEVO PROFESIONAL ABOGADO DR. RO" u="1"/>
        <s v="            EDICTO SUCESORIO  JU" u="1"/>
        <s v="VENDO HERMOSO Y ECONOMICO VW UP." u="1"/>
        <s v="Instituto Tecnico Ing Herminio A" u="1"/>
        <s v="CARGAR CUENTA WERCHOW JORGE SAUL" u="1"/>
        <s v="DYMEC...." u="1"/>
        <s v="Municipalidad de LGSM" u="1"/>
        <s v="E   D   I   C   T   O   S ====El" u="1"/>
        <s v="LIGA QUEBRADEÑA DE FUTBOL   CONV" u="1"/>
        <s v="TOYOTA HILUX SRV 4x4, automatica" u="1"/>
        <s v="GIARDI Tino (Q.E.P.D.) Falleció " u="1"/>
        <s v="LOS NOMBRADORES APACHETA" u="1"/>
        <s v="NECESITO CARNICERO  para zona Sa" u="1"/>
        <s v="PROYAJO S.A. ESP C.C. EXT." u="1"/>
        <s v="con color FONDO AMARRILO LETRAS NEGRAS" u="1"/>
        <s v="EDICTO   SUCESORIO ---EL JUZGADO" u="1"/>
        <s v="EDICTO SUCESORIO  === El Juzgado" u="1"/>
        <s v="EDICTO SUCESORIO  ====El Juzgado" u="1"/>
        <s v="EDICTO SUCESORIO. ====El Juzgado" u="1"/>
        <s v="con foto en carpeta dia 5" u="1"/>
        <s v="CLUB DEF. de FRAILE PINTADO Pers" u="1"/>
        <s v="color con foto carp. 17-04" u="1"/>
        <s v="LA COMISION DEL  CTRO. V. CASABI" u="1"/>
        <s v="GRACIAS SAGRADO CORAZÓN DE JESÚS" u="1"/>
        <s v="CONVOCATORIA                La C" u="1"/>
        <s v="RESALTAR NEGRITAS" u="1"/>
        <s v="GARELY SACI" u="1"/>
        <s v="= = = = = = = = = EDICTO SUCESOR" u="1"/>
        <s v="COLEGIO DE KINES - ASAMB GRAL OR" u="1"/>
        <s v="  EDICTO --- Juzgado de Primera " u="1"/>
        <s v="////LOGO///// DERECHO DE FAMILIA" u="1"/>
        <s v="CHEVROLET CRUZE 2014 5P LTZ IMPE" u="1"/>
        <s v="Buscamos gomero con conocimiento" u="1"/>
        <s v="EDICTO La Cámara Civil y Comerci" u="1"/>
        <s v="ARIES S.A." u="1"/>
        <s v="Vendo citroen c3 1.4 I SX (sedan" u="1"/>
        <s v="CONVOCATORIA LA COMISION DIRECTI" u="1"/>
        <s v="CONVOCATORIA La Comisión Directi" u="1"/>
        <s v="CONVOVATORIA La Comisión Directi" u="1"/>
        <s v="SUPER GOYO - PAGINA ESPECIAL" u="1"/>
        <s v="BINGO HODPITSL...." u="1"/>
        <s v="OSDE" u="1"/>
        <s v="EL MILAGRO MARMOLES" u="1"/>
        <s v="SOLIC. REPOSITOR EXT. Part Time." u="1"/>
        <s v="SE NECESITA SECRETARIA  CON EXPE" u="1"/>
        <s v=": Hábitat-Car vende casa 3 dormi" u="1"/>
        <s v="MUNI JUJUY - 90 AÑOS GIMNASIA" u="1"/>
        <s v="SE BUSCA MATRIMONIO PARA TRABAJO" u="1"/>
        <s v="AG AGRO GALLEGO" u="1"/>
        <s v="COL. DE ESCRIBANOS..." u="1"/>
        <s v="Centro Vecinal “El Toro” Convoca" u="1"/>
        <s v="EDICTO  Dra. LIS M. VALDECANTOS," u="1"/>
        <s v="AGUAS PERICO" u="1"/>
        <s v="EDICTOS  - - - EXCMA. CAMARA EN " u="1"/>
        <s v="CONCEJAL P.J. DR. HUGO SOSA   DI" u="1"/>
        <s v="ELECTRICIDAD PERICO" u="1"/>
        <s v="E  D  I  C  T  O:  = = = DR. DIE" u="1"/>
        <s v="(LOGO)HASSA CONSTRUCCIONES ALBAÑ" u="1"/>
        <s v="CARGAR CUENTA WERCHOW ROSALINDA " u="1"/>
        <s v="Adrilucfe" u="1"/>
        <s v="EL AMIGO BUSCAMOS VENDEDOR COMER" u="1"/>
        <s v="AVISO ARMADO CON DIEGO" u="1"/>
        <s v="VENDO URGENTE  RENAULT MASTER CO" u="1"/>
        <s v="CON IMAGEN GUARDAD CARP- 24-02" u="1"/>
        <s v="EDICTO - - - Dra. Marisa E. Rond" u="1"/>
        <s v="EMPRESA SOLICITA EMPLEADO PARA C" u="1"/>
        <s v="EJESA CORTE ...." u="1"/>
        <s v="JUAN PEDRO HUMACATA  1X3 CARGAR " u="1"/>
        <s v="BLOTTING" u="1"/>
        <s v="+ RAMON DEL M. APAZA            " u="1"/>
        <s v="DFD Repuestos" u="1"/>
        <s v="CONOCIENDO A MI GENTE" u="1"/>
        <s v="ASOCIACION JUJEÑA DE JUGADORES D" u="1"/>
        <s v="ORACION A SAN EXPEDITO  GRACIAS " u="1"/>
        <s v="RECEPCIONISTA  PARA CONSULTORIO " u="1"/>
        <s v="3- CIA  GOBIERNO" u="1"/>
        <s v="FERRETERIA CARVAJAL-SUP. CONSTRU" u="1"/>
        <s v="ATSA" u="1"/>
        <s v="M.M.  GRACIAS SAN EXPEDITO por l" u="1"/>
        <s v="CORONAVIRUS  MARZO 2021..." u="1"/>
        <s v="ISJ GOBIERNO COVID" u="1"/>
        <s v="ELECTROSTAR" u="1"/>
        <s v="+ HECTOR ABELARDO ALANIZ        " u="1"/>
        <s v="+ SEVERICH, Mariano Rubén (q.e.p" u="1"/>
        <s v="DUEÑO  VENDE O PERMUTA  DPTO ENT" u="1"/>
        <s v="UNJU - 19 de abril" u="1"/>
        <s v="Cámara en lo Civil y Comercial S" u="1"/>
        <s v="GOBIERNO  08008883368" u="1"/>
        <s v="FOTO GUARDAD EN LA CARPETA DE LA FECHA DE AT. AL CLIENTE_x000d__x000a__x000d__x000a_CON EL MARCO DEL RECUADRO A COLOR Y CON FLORES DE COLORES DE DETALLE.... GRACIAS" u="1"/>
        <s v="+ FRANCISCA NÉLYDA ZAMBONI (Q.E." u="1"/>
        <s v="COLEGIO DE KINESIOLOGOS PAG. ESP" u="1"/>
        <s v="MEMBRETE EN CARP. 14-04" u="1"/>
        <s v="COOTEJU" u="1"/>
        <s v="PORKMAN" u="1"/>
        <s v="CONSORCIO DE RIEGO" u="1"/>
        <s v="GIGANTO GRAFICA ESP TALLERES DE " u="1"/>
        <s v="        COMPRO  A DUEÑO DIRECTO " u="1"/>
        <s v="DUEÑO VENDE DUPLEX a estrenar, 2" u="1"/>
        <s v="MARTILLERA LAURA BLANCO Terrenos" u="1"/>
        <s v="CON FONDO NEGRO." u="1"/>
        <s v="LENARDUZZI AUTOMOTORES" u="1"/>
        <s v="+ VICTOR HUGO MAIDANA “BICHO”   " u="1"/>
        <s v="APACHETA - NACHO Y DANIEL CAMPOS" u="1"/>
        <s v="AVISO EN MAIL" u="1"/>
        <s v="INMOBILIARIA BARCENA VENDE (LOGO" u="1"/>
        <s v="color con foto carpeta 24-02" u="1"/>
        <s v="COLEGIO MÉDICO - DIA DE LA MUJER" u="1"/>
        <s v="CONSEJO PROFESIONAL DE AGRIMENSO" u="1"/>
        <s v="- COVID BARBIJO - GOBIERNO" u="1"/>
        <s v="EDICTO SUCESORIO --------------J" u="1"/>
        <s v="LIMSA 19 DE ABRIL" u="1"/>
        <s v="EDICTO SUCESORIO  = = = El JUZGA" u="1"/>
        <s v="MELLI AUTOMOTORES - DÍA DEL MECÁ" u="1"/>
        <s v="UNION DE EMPRESARIOS DE JUJUY ES" u="1"/>
        <s v="CON IMAGEN DE SAN EXPEDITO" u="1"/>
        <s v="fondo negro el titulo y el celular x favor." u="1"/>
        <s v="UNIVERSIDAD BLAS PASCAL" u="1"/>
        <s v="color con foto carp. 19-03" u="1"/>
        <s v="ASOC. DE PRODUCT. DE PLANTAS ORN" u="1"/>
        <s v="PANADERÍA PRONTO ESP LA MANSION" u="1"/>
        <s v="EXPTE C103.008/17 BUSTAMANTE HEC" u="1"/>
        <s v="PROGRAMA A TODO O NADA. MES: ABR" u="1"/>
        <s v="====EDICTO====  DR. JORGE DANIEL" u="1"/>
        <s v="FEDERECION DE FUTBOL DE VETERANO" u="1"/>
        <s v="FRANCISCA NELYDA ZAMBONI        " u="1"/>
        <s v="Convocatoria  La asociación de B" u="1"/>
        <s v="CAMARA ARGENTINA Y JUJEÑA DE LA " u="1"/>
        <s v="NUEVO PROFESIONAL  INGENIERA QUI" u="1"/>
        <s v="GOMEZ ROCO.." u="1"/>
        <s v="JUJUY MATERIALES - SAN SALV" u="1"/>
        <s v="SMATA JUJUY - DIA DE LA MUJER" u="1"/>
        <s v="BINGO HOSPITAL  FUNDACION HOSPIT" u="1"/>
        <s v="SE BUSCA PREVENTISTA  CON EXPERI" u="1"/>
        <s v="FOTO GUARDADA EN LA CARPETA DE LA FECHA DE AT. AL CLIENTE_x000d__x000a__x000d__x000a_CON EL MARCO DEL RECUADRO CON ALGUN LINDO DETALLE A COLOR" u="1"/>
        <s v="SUBTE" u="1"/>
        <s v="Familia Zapatero" u="1"/>
        <s v="&quot;BUSCO MAESTRO PASTELERO CON DIS" u="1"/>
        <s v="  ----------------- E  D  I  C  " u="1"/>
        <s v="GOBIERNO DIA INTERNACIONAL DE SA" u="1"/>
        <s v="FONDO NEGRO TITULO Y CONTACTO" u="1"/>
        <s v="ASOCIACION JUDICIAL ESP SAN SALV" u="1"/>
        <s v="MARIA TERESA LLAMPA CTA CTE WERC" u="1"/>
        <s v="MUNI JUJUY - DIA DE LA MUER" u="1"/>
        <s v="CABALLERO VENDE PALPALA Bº ANTAR" u="1"/>
        <s v="COLEGIO DE PROFESIONALES  DE SER" u="1"/>
        <s v="Ldor. Gral. San Martin. + VELAZC" u="1"/>
        <s v="UNION DE JUBILADOS Y PENSIONADOS" u="1"/>
        <s v="I.V.U.J.    GOBIERNO DE JUJUY DE" u="1"/>
        <s v="GARELY SACI ESP CAMARA TABACO" u="1"/>
        <s v="fondo amarrillo lentras negras _x000d__x000a_en lugar asterisco ( fhechita)_x000d__x000a_Bº municipal 2 D (2 dorm.)misma linea_x000d__x000a_Direcion y tel. mas norable" u="1"/>
        <s v="ADIÓS, COMPAÑERO “PUMPI” ELEIT  " u="1"/>
        <s v="CRILLON" u="1"/>
        <s v="SMATA JUJUY - DIA DEL MECANICO" u="1"/>
        <s v="ANTONIA GERONIMA SUBIA 1X3" u="1"/>
        <s v="COOPERATIVA SIN FRONTERAS CONVOC" u="1"/>
        <s v="En el Centenario de la Escuela N" u="1"/>
        <s v="TERROR AVENTURA ESPECIAL + ONLIN" u="1"/>
        <s v="GRACIAS SAN EXPEDITO Y VIRGENCIT" u="1"/>
        <s v="CLUB ATLETICO BELGRANO ABRA BPAM" u="1"/>
        <s v="INSTITUTO DE ESTUDIOS HISTORICOS" u="1"/>
        <s v="TERESA RAMONA AQUINO CARGAR CTA " u="1"/>
        <s v="PAEZ S.R.L. ESP CAMARA DEL TABAC" u="1"/>
        <s v="AVISO ENVIADO POR MAIL" u="1"/>
        <s v="REMARCAR BIEN EL TITULO" u="1"/>
        <s v="EDICTO DE CITACION LA DIRECCION " u="1"/>
        <s v="EDICTO DE CITACIÓN LA DIRECCION " u="1"/>
        <s v="CANAL 2 PERICO TECNOVISION... ES" u="1"/>
        <s v="ADICEM" u="1"/>
        <s v="E D I C T O S ----- Dr. DIEGO PU" u="1"/>
        <s v="VERTIENTES DE YALA ESP TRAB. GAS" u="1"/>
        <s v="FONDO AMARILLO" u="1"/>
        <s v="CLUB SPORTIVO SANIDAD LA QUIACA " u="1"/>
        <s v="DERGAM - ESP LA MANSION" u="1"/>
        <s v="CABALLERO ALQUILA 2 LOCALES" u="1"/>
        <s v="EJESA  CORTE..." u="1"/>
        <s v="DÑO. VDE. LOTE. PALPALÁ. B° Virg" u="1"/>
        <s v="CON FOTO COLOR******AGREGAR FOTO******" u="1"/>
        <s v="EMPRESA NECESITA" u="1"/>
        <s v="LAS PIRCAS" u="1"/>
        <s v="SATSAID - DIA DE LA MUJER" u="1"/>
        <s v="ARNEDO INMOBILIARIA  VENDE 2 Dpt" u="1"/>
        <s v="EDICTO  EN EL EXPTE. Nº C-151059" u="1"/>
        <s v="     EDICTO  Ref. Expte. Nº D-03" u="1"/>
        <s v="SUPER VEA" u="1"/>
        <s v="VINERIA SAN JUAN" u="1"/>
        <s v="SEX SHOP ///AVISO ARMADO////" u="1"/>
        <s v="a color fondo verde letras negras" u="1"/>
        <s v="PERICO - TAVERNITI" u="1"/>
        <s v="HELAPANNA ESP C.C. EXT." u="1"/>
        <s v="Empresa Constructora del Medio, " u="1"/>
        <s v="URGENTE VENDO  CASA EN EL CARMEN" u="1"/>
        <s v="nuevo logo  a color y modif- enviado al correro de Sonia y claudio" u="1"/>
        <s v="AGRADECIMIENTO  ANAHI ARAMAYO ex" u="1"/>
        <s v="IMPRENTA ALBERDI - FIESTA PATRON" u="1"/>
        <s v="EXAR - aniversario camara comerc" u="1"/>
        <s v="Consejo de Integración y Desarro" u="1"/>
        <s v="JMS MAQUINAS AGROVIA...." u="1"/>
        <s v="EJESA ADHESION 19 DE ABRIL..." u="1"/>
        <s v="CONCEJO DELIBERANTE - 19 DE ABRI" u="1"/>
        <s v="SUPER NICO" u="1"/>
        <s v="TURBOS SALUZZO - DIA DEL MECANIC" u="1"/>
        <s v="4 FECHAS TENTATIVAS" u="1"/>
        <s v="APAZA, Héctor Alfredo (q.e.p.d.)" u="1"/>
        <s v="COLEGIO DE KINES - ASAMB GRAL EX" u="1"/>
        <s v="+ PABLO ROBERTO NOBLEGA  Q.E.P.D" u="1"/>
        <s v="Jujuy Andino Club de Montaña - A" u="1"/>
        <s v=" -------------------------------" u="1"/>
        <s v="Edicto El Tribunal  de la Provin" u="1"/>
        <s v="TRAME - 19 de abril" u="1"/>
        <s v="CONVOCATORIA   La Asociación Cam" u="1"/>
        <s v="VENDO TERRENOS en el pueblo de S" u="1"/>
        <s v="SIND. DE LUZ Y FUERZA" u="1"/>
        <s v="GRUPO CENOA - DIA DEL MECANICO" u="1"/>
        <s v="BINGO LOBO ....." u="1"/>
        <s v="---EDICTO--- DRA. LIS VALDECANTO" u="1"/>
        <s v="SABRINA-MAXI-LUCAS-FACUNDO-PAO-A" u="1"/>
        <s v="FOTO EN CARPETA DE LA FECHA 01-04_x000d__x000a_CARMEN ROSA CARRAZANA 2X4" u="1"/>
        <s v="EDICTO SUCESORIO   JUZGADO DE PR" u="1"/>
        <s v="VALVERDI PROPIEDADES VENTA - ALQ" u="1"/>
        <s v="CON FOTO CARP. 12-03" u="1"/>
        <s v="BINGO LOBO  ... CONTRATAPA ..." u="1"/>
        <s v="IMPORTANTE EMPRESA  DEL MEDIO SO" u="1"/>
        <s v="CON FOTO EN CARPETA DE LA FECHA _x000d__x000a__x000d__x000a_CAMBIAR TEXTO" u="1"/>
        <s v="CONSULTORA GIACOPPO ANIV C.C. EX" u="1"/>
        <s v="CENTRO DE JUBILADOS, RETIRADOS Y" u="1"/>
        <s v="Biblioteca Popular de Susques Co" u="1"/>
        <s v="TROPEA..." u="1"/>
        <s v="CAMARA DEL TABACO" u="1"/>
        <s v="Dra. BELEN YAPUR Mi agradecimien" u="1"/>
        <s v="+ LAUREANO, Guillermo Román     " u="1"/>
        <s v="VENDO CASA  Bº Alto Comedero. Co" u="1"/>
        <s v="SE NECESITA SANSWICHERO / PLANCH" u="1"/>
        <s v="C.V. GRACIAS SAN EXPEDITO POR LO" u="1"/>
        <s v="EXPTE C107.299/18 VARGAS CARLOS" u="1"/>
        <s v="ACCES SYSTEMS" u="1"/>
        <s v="INGENIO “RIO GRANDE” S.A.C.A.A.é" u="1"/>
        <s v="ESC. PCIAL Nº 7 AGROT. ING R. J " u="1"/>
        <s v="EMPRESA DE TRANSPORTE TRADELOG S" u="1"/>
        <s v="NISSAN FIANI" u="1"/>
        <s v="PORKMAN - ANIVERSARIO CAMARA DEL" u="1"/>
        <s v="PERSONAL FIBERTEL" u="1"/>
        <s v="SAVEIRO  mod. 2012 full,  125.00" u="1"/>
        <s v="arviso armado" u="1"/>
        <s v="ZEPPELIN ...." u="1"/>
        <s v="IMPORTANTE EMPRESA INCORPORA: ve" u="1"/>
        <s v="EDICTO DE CITACIÓN  ---------LA " u="1"/>
        <s v="MANAGER COACH INSCRIPCIONES ABIE" u="1"/>
        <s v="1-DIS...GOBIERNO" u="1"/>
        <s v="ING. CAPOBIANCO Rubén O. (Q.E.P." u="1"/>
        <s v="Bº CUYAYA VENDO  CASA GRANDE Cal" u="1"/>
        <s v="DUEÑO VENDE O PERMUTA en Tucumán" u="1"/>
        <s v="EMPRESA DE SERVICIOS MINEROS  SE" u="1"/>
        <s v="AA2000" u="1"/>
        <s v="SEMED ESPECIAL + web" u="1"/>
        <s v="CENTRO VECINAL CONSTITUCION DE P" u="1"/>
        <s v="EJESA CORTE.." u="1"/>
        <s v="REMATE HUGO R. GUTIERREZ Martill" u="1"/>
        <s v="EDICTO SUCESORIO                " u="1"/>
        <s v="EDICTO SUCUESORIO               " u="1"/>
        <s v="BUSCO PAREJA DE CACEROS P/ CAMPO" u="1"/>
        <s v="NICO FIAMBRES  ESP LA MANSION" u="1"/>
        <s v="CONVOCATORIA CENTRO JUBILADOS LO" u="1"/>
        <s v="-- EDICTO SUCESORIO-       --- J" u="1"/>
        <s v="SUPER GOYO" u="1"/>
        <s v="AGOSTINI DES. INMOBILIARIO..." u="1"/>
        <s v="FARMACIA GRAL. BELGRANO" u="1"/>
        <s v="CARGAR CUENTA WERCHOW GLADIS GAS" u="1"/>
        <s v="MUNI JUJUY - DISCURSO DEL INTEND" u="1"/>
        <s v="CONSEJO DE MEDICOS..." u="1"/>
        <s v="ESPER  MATERIALES..." u="1"/>
        <s v="COLEGIO DE PSICOLOGOS 1" u="1"/>
        <s v="COLEGIO DE ESCRIBANOS ADHESION 1" u="1"/>
        <s v="Inst. de Seguros de Jujuy el COV" u="1"/>
        <s v="AVISO EN CORREO" u="1"/>
        <s v="OPTICA EL GALLO - GIMNASIA Y ESG" u="1"/>
        <s v="Fernando Pereyra" u="1"/>
        <s v="+ BELTRÁN, MARIO PASTOR (q.e.p.d" u="1"/>
        <s v="COUNTRY LAS DELICIAS  Vendo terr" u="1"/>
        <s v="CENTRO VECINAL DE UQUIA  CONVOCA" u="1"/>
        <s v="CONSEJO DE MEDICOS D ELA PCIA. D" u="1"/>
        <s v="MAGNA CONSTRUCCIONES ES C.C. EXT" u="1"/>
        <s v="PERICO + JOSE ALBERTO JAQUET “Fa" u="1"/>
        <s v="CARLOS ALEJANDRO SCHMERBACH (Q.E" u="1"/>
        <s v="PERICO - FUND. PROJUJUY AGROPECU" u="1"/>
        <s v="CARGAR CUENTA WERCHOW NELDA MARI" u="1"/>
        <s v="C.E.D.E.M.S. CENTRO DE ENSEÑANZA" u="1"/>
        <s v="Se vende camioneta Mitsubishi L2" u="1"/>
        <s v="UNICABLE CANAL 4" u="1"/>
        <s v="LA CUBANA ESP C.C. EXT." u="1"/>
        <s v=" JOSE MADDALLENO      Martillero" u="1"/>
        <s v="Juan de la Cruz Ud. Busco ayuda " u="1"/>
        <s v="CENTRO VECINAL B° 25 DE MAYO  PÁ" u="1"/>
        <s v="CIRCULO MEDICO VETERINARIO - DIA" u="1"/>
        <s v="TEMPLO BIBLICO MARANATHA Convoca" u="1"/>
        <s v="+ VICTOR HUGO MAIDANA Q.E.P.D. (" u="1"/>
        <s v="ARRIENDO FINCA  PARA TABACO  24 " u="1"/>
        <s v="EDICTO SUCESORIO    - - -  JUZGA" u="1"/>
        <s v="color con foto" u="1"/>
        <s v="con foto color carp 31-03" u="1"/>
        <s v="aviso armado en el correo" u="1"/>
        <s v="AGRADECIMIENTO LAURA MARTINEZ DE" u="1"/>
        <s v="foto carp. 23-03" u="1"/>
        <s v="BINGO LOBO ..." u="1"/>
        <s v="CRILLON ESP COOP." u="1"/>
        <s v="BALDI FIAMBRES DIA DE LA MUJER" u="1"/>
        <s v="GESPO INMOBILIARIA  ALQUILERES -" u="1"/>
        <s v="+ FLORES, Guido  (Q.E.P.D.).  Fa" u="1"/>
        <s v="La Comisión Directiva del Centro" u="1"/>
        <s v="color con foto carp 19-03" u="1"/>
        <s v="Federación Solidaria Jujeña  CON" u="1"/>
        <s v="UCSE -INGRESO 2021" u="1"/>
        <s v="EXTINTORES Y SERV. EMSA ESP TALL" u="1"/>
        <s v="         ASOCIACION ATLETICA LA " u="1"/>
        <s v="GOBIERNO  02 DE ABRIL CAIDOS DE " u="1"/>
        <s v="NOVEDADES LA UNICA" u="1"/>
        <s v="El Consorcio Formación II Soc. C" u="1"/>
        <s v="FUTBOL FM SOL 2" u="1"/>
        <s v="L.O. Y M.C. GRACIAS SAN EXPEDITO" u="1"/>
        <s v="idem aviso anterior 1428315" u="1"/>
        <s v="N.F.S. GRACIAS SAN EXPEDITO POR " u="1"/>
        <s v="URGENTE UQUÍA Zona turística VEN" u="1"/>
        <s v="con foto de ambas personas" u="1"/>
        <s v="+ GUSTAVO PEUSER     (q.e.p.d.) " u="1"/>
        <s v="Empresa constructora, radicada e" u="1"/>
        <s v="COLEGIO DE PSICOLOGOS 2" u="1"/>
        <s v="CONSEJO PROF. DE CS ECON" u="1"/>
        <s v="MAXICONSUMO OFERTAS..." u="1"/>
        <s v="GOBIERNO FELICES PASCUAS...." u="1"/>
        <s v="+ ANDRES  “PUMPI”  ELEIT (Q.E.P." u="1"/>
        <s v="CENTRO VECINA Bº ALTO GORRITI CO" u="1"/>
        <s v="AVISO ARMADO CARP 26-02" u="1"/>
        <s v="GOBIERNO DE JUJUY SALUDA A GIMNA" u="1"/>
        <s v="DFD REPUESTOS - DIA DEL MECANICO" u="1"/>
        <s v=" ACEROS ZAPLA S.A.  Seleccionará" u="1"/>
        <s v=" EDUARDO JOSE ROMEO            A" u="1"/>
        <s v="NATANIA" u="1"/>
        <s v="EL TRIBUNO DE JUJUY INFORMA .." u="1"/>
        <s v="+ PAULO CASTRO       Q.E.P.D. Fa" u="1"/>
        <s v="LOS PERALES Dueño Vende TERRENO " u="1"/>
        <s v="- - - - - - - - - - - -E D I C T" u="1"/>
        <s v="E D I C T O   La DRA. NORMA AMAL" u="1"/>
        <s v="fondo amarrillo lectras negras (para renovar)" u="1"/>
        <s v="CREDIS CRECER  fondo nrgro _x000d__x000a__x000d__x000a_Para entrevista mandar SMS O WSPP Cel.3884147760_x000d__x000a_se ofrece comición y (premio fondo negro)" u="1"/>
        <s v="------------- E D I C T O ------" u="1"/>
        <s v="Alquiler Temporario en Bs As-  (" u="1"/>
        <s v="con foto carpeta 26-02" u="1"/>
        <s v="COLEGIO NUEVO HORIZONTE N° 1  TE" u="1"/>
        <s v="IMPORTANTE DISTRIBUIDORA  INCORP" u="1"/>
        <s v="-------- EDICTOS ----- El Dr. Es" u="1"/>
        <s v="SANTOS VERA _x000d__x000a__x000d__x000a_///  AVISO ARMADO EN CARPETA DE LA FECHA /////" u="1"/>
        <s v="CONVOCATORIA ASAMBLEA GENERAL OR" u="1"/>
        <s v="LIC.PUB. 01-2021 AGUA POTABLE..." u="1"/>
        <s v="CAMARA ARGENTINA DE COMERCIO" u="1"/>
        <s v=" CENTRO VECINAL B° PASO DE JAMA." u="1"/>
        <s v="+ ALCIDES ANTONIO CHARAVIGLIO  (" u="1"/>
        <s v="GNC NORTE" u="1"/>
        <s v="EDICTO CELESTE PARA JUJUY" u="1"/>
        <s v="PERICO - LATITUD SUR S.A." u="1"/>
        <s v="SINGH, Teresa del Valle Q.E.P.D." u="1"/>
        <s v="CAMARA DE COMERCIO EXTERIOR ESP " u="1"/>
        <s v="LABORATORIO SIUFI" u="1"/>
        <s v="EDICTO SUCESORIO   --------JUZGA" u="1"/>
        <s v="EDICTO  --------EN EL EXPTE. Nº " u="1"/>
        <s v="+ BENITA FIDELMA GUANCA  Q.E.P.D" u="1"/>
        <s v="+ANA ISABEL BRIZUELA     Q.E.P.D" u="1"/>
        <s v="E   D   I   C   T   O   S       " u="1"/>
        <s v="+ FELIPE FIDEL AMANTE (aviso arm" u="1"/>
        <s v="PEUGEOT 2008 ALLURE  TIP TRONIC-" u="1"/>
        <s v="APACHETA diableros" u="1"/>
        <s v="EDICTO   EN EL EXPTE. N° D-03499" u="1"/>
        <s v="TARJETA SOL -" u="1"/>
        <s v="VENDO TOYOTA HILUX SR 4x4, blanc" u="1"/>
        <s v="SUPLEMENTO LA QUIACA (12 PAGINAS" u="1"/>
        <s v="ESCUCHA TU SALUD... FM JUJUY" u="1"/>
        <s v="VENDO CANICHE MINI TOY hembra ne" u="1"/>
        <s v="CONVOCATRIA  FEDERACIÓN DE ENTID" u="1"/>
        <s v="LICITACION PUBLICA Nº 02/2021" u="1"/>
        <s v="BINGO LOBO...." u="1"/>
        <s v="+ NIEVA, NELIDA OLGA      Q.E.P." u="1"/>
        <s v="TITULAR VENDE FRONTIER  2010-4x4" u="1"/>
        <s v="CABALLERO PROPIEDADES..........." u="1"/>
        <s v="LA CASA DEL RIEGO" u="1"/>
        <s v="GOBIERNO SOLICITADA...." u="1"/>
        <s v="con logo enviado de la coop. tel. reenvio correro" u="1"/>
        <s v="LUIS MIGUEL" u="1"/>
        <s v="con foto carp. 05-03" u="1"/>
        <s v="RFOBERTO INES CALIZAYA 1X3 WERCH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65497.7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0">
        <s v="JVEN08"/>
        <s v="JVEN07"/>
        <s v="JVEN06"/>
        <s v="JVEN02"/>
        <s v="JVEN01"/>
        <s v="JPINTF"/>
        <s v="JPEDID"/>
        <s v="JOFREC"/>
        <s v="JMATCO"/>
        <s v="JMAQCO"/>
        <s v="JINSPR"/>
        <s v="JEMPCO"/>
        <s v="JEDICT"/>
        <s v="JDINER"/>
        <s v="JCOM01"/>
        <s v="JASAMB"/>
        <s v="JALO04"/>
        <s v="JALO01"/>
        <s v="JAGRUP"/>
        <s v="SUDC"/>
        <s v="SU"/>
        <s v="SER"/>
        <s v="PES"/>
        <s v="PAC"/>
        <s v="OBI"/>
        <s v="IDC"/>
        <s v="IAC"/>
        <s v="DEP"/>
        <s v="JGPSICPE"/>
        <s v="JGOTRPRO"/>
        <s v="JGKINES"/>
        <s v="JGESTET"/>
        <s v="JGCONT"/>
        <s v="JGABOGA"/>
        <s v="OBIMOD"/>
        <m u="1"/>
        <s v="CTAPA" u="1"/>
        <s v="JARRIE" u="1"/>
        <s v="PAG19" u="1"/>
        <s v="JGECOGR" u="1"/>
        <s v="JREPYA" u="1"/>
        <s v="PAG9" u="1"/>
        <s v="JALP01" u="1"/>
        <s v="JVEN03" u="1"/>
        <s v="JPDOME" u="1"/>
        <s v="PDC" u="1"/>
        <s v="JVEN04" u="1"/>
        <s v="LOC" u="1"/>
        <s v="OreDer" u="1"/>
        <s v="JVEN05" u="1"/>
        <s v="TAPA" u="1"/>
        <s v="JGARQUI" u="1"/>
        <s v="JGORTOP" u="1"/>
        <s v="JALO05" u="1"/>
        <s v="JGPSICO" u="1"/>
        <s v="OREIZQ" u="1"/>
        <s v="JALMI" u="1"/>
        <s v="PAG5" u="1"/>
        <s v="JEXTRA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COM08" u="1"/>
        <s v="JOPORT" u="1"/>
        <s v="JOTRSE" u="1"/>
        <s v="JREMAT" u="1"/>
        <s v="JGPODOL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1">
        <n v="0"/>
        <n v="26"/>
        <n v="20"/>
        <n v="31"/>
        <n v="24"/>
        <n v="21"/>
        <n v="10"/>
        <n v="5"/>
        <n v="30"/>
        <n v="23"/>
        <n v="17"/>
        <n v="27"/>
        <n v="3"/>
        <n v="25"/>
        <n v="7"/>
        <n v="6"/>
        <n v="4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15" u="1"/>
        <n v="44" u="1"/>
        <n v="46" u="1"/>
        <n v="16" u="1"/>
        <n v="50" u="1"/>
        <n v="18" u="1"/>
        <n v="52" u="1"/>
        <n v="19" u="1"/>
        <n v="54" u="1"/>
        <n v="56" u="1"/>
        <n v="33" u="1"/>
        <n v="58" u="1"/>
        <n v="35" u="1"/>
        <n v="22" u="1"/>
        <n v="60" u="1"/>
        <n v="37" u="1"/>
        <n v="1" u="1"/>
        <n v="62" u="1"/>
        <n v="8" u="1"/>
        <n v="39" u="1"/>
        <n v="64" u="1"/>
        <n v="41" u="1"/>
        <n v="9" u="1"/>
        <n v="43" u="1"/>
        <n v="45" u="1"/>
        <n v="28" u="1"/>
        <n v="49" u="1"/>
        <n v="29" u="1"/>
        <n v="11" u="1"/>
        <n v="51" u="1"/>
        <n v="53" u="1"/>
        <n v="12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13">
        <s v="1x06"/>
        <s v="1x02"/>
        <s v="1x05"/>
        <s v="1x04"/>
        <s v="1x03"/>
        <s v="1x07"/>
        <s v="1x12"/>
        <s v="1x11"/>
        <s v="1x14"/>
        <s v="1x15"/>
        <s v="1x10"/>
        <s v="1x09"/>
        <s v="1x08"/>
        <s v="2x15"/>
        <s v="2x10"/>
        <s v="2x07"/>
        <s v="3x05"/>
        <s v="2x13"/>
        <s v="3x35"/>
        <s v="3x03"/>
        <s v="5x03"/>
        <s v="2x03"/>
        <s v="5x10"/>
        <s v="3x13"/>
        <s v="3x28"/>
        <s v="4x17"/>
        <s v="5x17"/>
        <s v="5x35"/>
        <s v="2x02"/>
        <s v="2x06"/>
        <s v="2x04"/>
        <s v="2x05"/>
        <s v="3x10"/>
        <s v="3x06"/>
        <s v="4x06"/>
        <s v="1x17"/>
        <s v="5x13"/>
        <s v="2x17" u="1"/>
        <s v="3x11" u="1"/>
        <s v="7x18" u="1"/>
        <s v="1x33" u="1"/>
        <s v="3x21" u="1"/>
        <s v="7x28" u="1"/>
        <s v="3x31" u="1"/>
        <s v="1x22" u="1"/>
        <s v="2x16" u="1"/>
        <s v="5x29" u="1"/>
        <s v="3x20" u="1"/>
        <s v="4x14" u="1"/>
        <s v="7x27" u="1"/>
        <s v="5x18" u="1"/>
        <s v="1x21" u="1"/>
        <s v="5x28" u="1"/>
        <s v="3x19" u="1"/>
        <s v="4x13" u="1"/>
        <s v="7x26" u="1"/>
        <s v="2x35" u="1"/>
        <s v="3x29" u="1"/>
        <s v="4x23" u="1"/>
        <s v="7x05" u="1"/>
        <s v="1x20" u="1"/>
        <s v="2x14" u="1"/>
        <s v="3x08" u="1"/>
        <s v="2x24" u="1"/>
        <s v="3x18" u="1"/>
        <s v="5x06" u="1"/>
        <s v="7x25" u="1"/>
        <s v="4x22" u="1"/>
        <s v="3x07" u="1"/>
        <s v="3x17" u="1"/>
        <s v="4x21" u="1"/>
        <s v="5x15" u="1"/>
        <s v="1x18" u="1"/>
        <s v="2x12" u="1"/>
        <s v="4x31" u="1"/>
        <s v="2x22" u="1"/>
        <s v="3x16" u="1"/>
        <s v="4x10" u="1"/>
        <s v="7x23" u="1"/>
        <s v="3x26" u="1"/>
        <s v="4x20" u="1"/>
        <s v="2x11" u="1"/>
        <s v="5x24" u="1"/>
        <s v="2x21" u="1"/>
        <s v="3x15" u="1"/>
        <s v="7x22" u="1"/>
        <s v="3x25" u="1"/>
        <s v="4x19" u="1"/>
        <s v="7x11" u="1"/>
        <s v="2x20" u="1"/>
        <s v="3x14" u="1"/>
        <s v="7x21" u="1"/>
        <s v="3x24" u="1"/>
        <s v="5x12" u="1"/>
        <s v="2x09" u="1"/>
        <s v="4x28" u="1"/>
        <s v="5x22" u="1"/>
        <s v="7x10" u="1"/>
        <s v="1x35" u="1"/>
        <s v="7x20" u="1"/>
        <s v="3x23" u="1"/>
        <s v="7x30" u="1"/>
        <s v="2x08" u="1"/>
        <s v="5x21" u="1"/>
        <s v="1x24" u="1"/>
        <s v="2x18" u="1"/>
        <s v="3x12" u="1"/>
        <s v="7x19" u="1"/>
        <s v="2x28" u="1"/>
        <s v="3x22" u="1"/>
        <s v="1x13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s v="Obachi Gabriela Cecilia"/>
    <x v="0"/>
    <s v="Gabiota Sport"/>
    <x v="0"/>
    <s v="Notables - Jujuy 1 Col"/>
    <x v="0"/>
    <n v="131.10833333333332"/>
    <x v="0"/>
    <x v="0"/>
    <m/>
    <x v="0"/>
    <x v="0"/>
    <n v="1"/>
    <n v="6.0000000015000001"/>
    <x v="0"/>
    <n v="6"/>
    <x v="0"/>
  </r>
  <r>
    <x v="0"/>
    <x v="1"/>
    <s v="Doria Medina Federico"/>
    <x v="1"/>
    <s v="VENDO CAMION Mercedes 710 Mod 94, con RTO. Cel 388-42557598 4255759"/>
    <x v="1"/>
    <s v="Notables - Jujuy 1 Col"/>
    <x v="1"/>
    <n v="44.594285714285718"/>
    <x v="0"/>
    <x v="1"/>
    <m/>
    <x v="0"/>
    <x v="0"/>
    <n v="1"/>
    <n v="2.0000000005"/>
    <x v="0"/>
    <n v="2"/>
    <x v="1"/>
  </r>
  <r>
    <x v="0"/>
    <x v="2"/>
    <s v="Carmen Gaby Leyton"/>
    <x v="1"/>
    <s v="HYUNDAI TUCSON  4X2, L/N L16, año/2017 Gris-Exc. estado.  Tel. 3884784771."/>
    <x v="2"/>
    <s v="Notables - Jujuy 1 Col"/>
    <x v="1"/>
    <n v="44.594285714285718"/>
    <x v="0"/>
    <x v="1"/>
    <m/>
    <x v="0"/>
    <x v="0"/>
    <n v="1"/>
    <n v="2.0000000005"/>
    <x v="0"/>
    <n v="2"/>
    <x v="1"/>
  </r>
  <r>
    <x v="0"/>
    <x v="3"/>
    <s v="Cardozo Teresa"/>
    <x v="1"/>
    <s v="OPORTUNIDAD  TOYOTA HILUX 4x4, automatica, SRV 2015, tapizado efectivo, $3.115.000 - Monterrico. 3885844468/ 3885720516."/>
    <x v="3"/>
    <s v="Notables - Jujuy 1 Col"/>
    <x v="1"/>
    <n v="111.48714285714287"/>
    <x v="0"/>
    <x v="1"/>
    <m/>
    <x v="0"/>
    <x v="0"/>
    <n v="1"/>
    <n v="5.0000000012500001"/>
    <x v="0"/>
    <n v="5"/>
    <x v="2"/>
  </r>
  <r>
    <x v="0"/>
    <x v="4"/>
    <s v="ARMELLA CESAR DANIEL"/>
    <x v="2"/>
    <s v="GNC MYN GRAN PROMOCION..."/>
    <x v="4"/>
    <s v="Notables - Jujuy 1 Col"/>
    <x v="0"/>
    <n v="131.10833333333332"/>
    <x v="0"/>
    <x v="2"/>
    <m/>
    <x v="0"/>
    <x v="0"/>
    <n v="1"/>
    <n v="6.0000000015000001"/>
    <x v="0"/>
    <n v="6"/>
    <x v="0"/>
  </r>
  <r>
    <x v="0"/>
    <x v="5"/>
    <s v="VALDIVIEZO LILA FERNANDA"/>
    <x v="3"/>
    <s v="NORTE GNC"/>
    <x v="5"/>
    <s v="Notables - Jujuy 1 Col"/>
    <x v="0"/>
    <n v="131.10833333333332"/>
    <x v="0"/>
    <x v="2"/>
    <m/>
    <x v="0"/>
    <x v="0"/>
    <n v="1"/>
    <n v="6.0000000015000001"/>
    <x v="0"/>
    <n v="6"/>
    <x v="0"/>
  </r>
  <r>
    <x v="0"/>
    <x v="6"/>
    <s v="Aramayo  Benito Carlos"/>
    <x v="1"/>
    <s v="RENAULT KWID  2018- 27.000km Dueño Vende Tel. 38850231508    2018"/>
    <x v="6"/>
    <s v="Notables - Jujuy 1 Col"/>
    <x v="1"/>
    <n v="46.825000000000003"/>
    <x v="0"/>
    <x v="2"/>
    <m/>
    <x v="0"/>
    <x v="0"/>
    <n v="1"/>
    <n v="2.0000000005"/>
    <x v="0"/>
    <n v="2"/>
    <x v="1"/>
  </r>
  <r>
    <x v="0"/>
    <x v="7"/>
    <s v="RODRIGUEZ QUIROGA MARTIN"/>
    <x v="4"/>
    <s v="RQ VENTA DE TERRENOS"/>
    <x v="7"/>
    <s v="Notables - Jujuy 1 Col"/>
    <x v="0"/>
    <n v="131.10833333333332"/>
    <x v="0"/>
    <x v="3"/>
    <m/>
    <x v="0"/>
    <x v="0"/>
    <n v="1"/>
    <n v="6.0000000015000001"/>
    <x v="0"/>
    <n v="6"/>
    <x v="0"/>
  </r>
  <r>
    <x v="0"/>
    <x v="8"/>
    <s v="LOPEZ DELGADO CLAUDIA TATIANA"/>
    <x v="1"/>
    <s v="IMPORTANTE  TERRENO *ESQUINA* 1.400 m2 de Superficie total Clles  -detrás boliche Ibiza- Alto Comedero  Cel. 388 4084933"/>
    <x v="8"/>
    <s v="Notables - Jujuy 1 Col"/>
    <x v="1"/>
    <n v="62.432666666666677"/>
    <x v="0"/>
    <x v="3"/>
    <m/>
    <x v="0"/>
    <x v="0"/>
    <n v="1"/>
    <n v="4.0000000010000001"/>
    <x v="0"/>
    <n v="4"/>
    <x v="3"/>
  </r>
  <r>
    <x v="0"/>
    <x v="9"/>
    <s v="LOPEZ DELGADO CLAUDIA TATIANA"/>
    <x v="1"/>
    <s v="PERICO  VENDO 2 TERRENOS juntos 10x27 c/u. Bº Municipal. Recibo camioneta C/D. 4x4  Cel. 388 154084933154084933"/>
    <x v="9"/>
    <s v="Notables - Jujuy 1 Col"/>
    <x v="1"/>
    <n v="46.824333333333335"/>
    <x v="0"/>
    <x v="3"/>
    <m/>
    <x v="0"/>
    <x v="0"/>
    <n v="1"/>
    <n v="3.0000000007500001"/>
    <x v="0"/>
    <n v="3"/>
    <x v="4"/>
  </r>
  <r>
    <x v="0"/>
    <x v="10"/>
    <s v="LOPEZ DELGADO CLAUDIA TATIANA"/>
    <x v="1"/>
    <s v="ATENCIÓN VENDO TERRENO  * 600 m2.* Bº JARDIN  DEL CEIBAL sobre Ruta 9 Rec. Vehículos. Cel. 388 4084933"/>
    <x v="10"/>
    <s v="Notables - Jujuy 1 Col"/>
    <x v="1"/>
    <n v="62.432666666666677"/>
    <x v="0"/>
    <x v="3"/>
    <m/>
    <x v="0"/>
    <x v="0"/>
    <n v="1"/>
    <n v="4.0000000010000001"/>
    <x v="0"/>
    <n v="4"/>
    <x v="3"/>
  </r>
  <r>
    <x v="0"/>
    <x v="11"/>
    <s v="Reyna  Zulema Lucia"/>
    <x v="1"/>
    <s v="SEVERINO  *VENDO*  100 HAS. COMUNICATE 388-40825958 4082595"/>
    <x v="11"/>
    <s v="Notables - Jujuy 1 Col"/>
    <x v="1"/>
    <n v="111.48714285714287"/>
    <x v="0"/>
    <x v="3"/>
    <m/>
    <x v="0"/>
    <x v="0"/>
    <n v="1"/>
    <n v="5.0000000012500001"/>
    <x v="0"/>
    <n v="5"/>
    <x v="2"/>
  </r>
  <r>
    <x v="0"/>
    <x v="12"/>
    <s v="Sandoval  Gustavo"/>
    <x v="1"/>
    <s v="VENDO TERRENOS  Alto Comedero (atras de Kolor)  10x30mts y 25x44mts.  Tel. 3885040665/ 3885900001"/>
    <x v="12"/>
    <s v="Notables - Jujuy 1 Col"/>
    <x v="1"/>
    <n v="66.891428571428577"/>
    <x v="0"/>
    <x v="3"/>
    <m/>
    <x v="0"/>
    <x v="0"/>
    <n v="1"/>
    <n v="3.0000000007500001"/>
    <x v="0"/>
    <n v="3"/>
    <x v="4"/>
  </r>
  <r>
    <x v="0"/>
    <x v="13"/>
    <s v="Salazar  Hugo"/>
    <x v="1"/>
    <s v="Bº LOS CLAROS VENDO TERRENO GRANDE Hermosa vista Mart. HUGO SALAZAR  Tel. 3884078693"/>
    <x v="13"/>
    <s v="Notables - Jujuy 1 Col"/>
    <x v="1"/>
    <n v="44.595000000000013"/>
    <x v="0"/>
    <x v="3"/>
    <m/>
    <x v="0"/>
    <x v="0"/>
    <n v="1"/>
    <n v="2.0000000005"/>
    <x v="0"/>
    <n v="2"/>
    <x v="1"/>
  </r>
  <r>
    <x v="0"/>
    <x v="14"/>
    <s v="Alarcon"/>
    <x v="1"/>
    <s v="URGENTE VENDO  TERRENO 50x50 En *UQUÍA  Zona turística En *PENDO CASA  5 Habit. salón. Coc. Com. 2bños. Cel. 388 4482478"/>
    <x v="14"/>
    <s v="Notables - Jujuy 1 Col"/>
    <x v="1"/>
    <n v="78.040666666666667"/>
    <x v="0"/>
    <x v="3"/>
    <m/>
    <x v="0"/>
    <x v="0"/>
    <n v="1"/>
    <n v="5.0000000012500001"/>
    <x v="0"/>
    <n v="5"/>
    <x v="2"/>
  </r>
  <r>
    <x v="0"/>
    <x v="15"/>
    <s v="LOPEZ DELGADO CLAUDIA TATIANA"/>
    <x v="1"/>
    <s v="LÒPEZ  INMOBILIARIA  ESTAMOS EN TODA LA PROVINCIA  COMPRAS-   S/ Ruta Prov.47  Santo Domingo-Perico  TEL. 0388 8 4913660"/>
    <x v="15"/>
    <s v="Notables - Jujuy 1 Col"/>
    <x v="1"/>
    <n v="109.25700000000001"/>
    <x v="0"/>
    <x v="4"/>
    <m/>
    <x v="0"/>
    <x v="0"/>
    <n v="1"/>
    <n v="7.0000000017499984"/>
    <x v="0"/>
    <n v="7"/>
    <x v="5"/>
  </r>
  <r>
    <x v="0"/>
    <x v="16"/>
    <s v="Reyna  Zulema Lucia"/>
    <x v="1"/>
    <s v="PERICO                                      VENDO CASAS: *CL Calle 23 de agosto Nº 295 Perico  Cel. Whapp. 388 154082595"/>
    <x v="16"/>
    <s v="Notables - Jujuy 1 Col"/>
    <x v="1"/>
    <n v="267.56857142857143"/>
    <x v="0"/>
    <x v="4"/>
    <m/>
    <x v="0"/>
    <x v="0"/>
    <n v="1"/>
    <n v="11.999999999472221"/>
    <x v="0"/>
    <n v="12"/>
    <x v="6"/>
  </r>
  <r>
    <x v="0"/>
    <x v="17"/>
    <s v="Carlino  Julio"/>
    <x v="1"/>
    <s v="SALTA CAPITAL  Macrocentro vende hermosa casa 4 dor. 2 baño,b zona, US$ 70.000, Rec. Veh. O pickup alta gama  3874026777"/>
    <x v="17"/>
    <s v="Notables - Jujuy 1 Col"/>
    <x v="1"/>
    <n v="156.08142857142857"/>
    <x v="0"/>
    <x v="4"/>
    <m/>
    <x v="0"/>
    <x v="0"/>
    <n v="1"/>
    <n v="7.0000000017499984"/>
    <x v="0"/>
    <n v="7"/>
    <x v="5"/>
  </r>
  <r>
    <x v="0"/>
    <x v="18"/>
    <s v="Martin Keselman"/>
    <x v="1"/>
    <s v="DUEÑO VENDE  PROPIEDAD 2 PLANTAS Balcarce al 200 Cel. 3885806489"/>
    <x v="18"/>
    <s v="Notables - Jujuy 1 Col"/>
    <x v="1"/>
    <n v="44.594285714285718"/>
    <x v="0"/>
    <x v="4"/>
    <m/>
    <x v="0"/>
    <x v="0"/>
    <n v="1"/>
    <n v="2.0000000005"/>
    <x v="0"/>
    <n v="2"/>
    <x v="1"/>
  </r>
  <r>
    <x v="0"/>
    <x v="19"/>
    <s v="Salazar  Hugo"/>
    <x v="1"/>
    <s v="ALTO LA VIÑA Vendo  casa importante con pileta  a 500 mtrs del Hotel.  Martillero Salazar.  Cel 388-40786938 4078693"/>
    <x v="19"/>
    <s v="Notables - Jujuy 1 Col"/>
    <x v="1"/>
    <n v="44.595000000000013"/>
    <x v="0"/>
    <x v="4"/>
    <m/>
    <x v="0"/>
    <x v="0"/>
    <n v="1"/>
    <n v="2.0000000005"/>
    <x v="0"/>
    <n v="2"/>
    <x v="1"/>
  </r>
  <r>
    <x v="0"/>
    <x v="20"/>
    <s v="Salazar  Hugo"/>
    <x v="1"/>
    <s v="PARQUE SAN MARTIN vendo dpto. grande con cochera calle Padre Gottig  Cel.0388-154078693  Martillero Salazar"/>
    <x v="20"/>
    <s v="Notables - Jujuy 1 Col"/>
    <x v="1"/>
    <n v="44.595000000000013"/>
    <x v="0"/>
    <x v="4"/>
    <m/>
    <x v="0"/>
    <x v="0"/>
    <n v="1"/>
    <n v="2.0000000005"/>
    <x v="0"/>
    <n v="2"/>
    <x v="1"/>
  </r>
  <r>
    <x v="0"/>
    <x v="21"/>
    <s v="Salazar  Hugo"/>
    <x v="1"/>
    <s v="B° CHIJRA, vendo casa  (A medio Construir 80%) Calle Manantiales a 100mt. puente Cel.0388-154078693  Martillero Salazar"/>
    <x v="21"/>
    <s v="Notables - Jujuy 1 Col"/>
    <x v="1"/>
    <n v="44.595000000000013"/>
    <x v="0"/>
    <x v="4"/>
    <m/>
    <x v="0"/>
    <x v="0"/>
    <n v="1"/>
    <n v="2.0000000005"/>
    <x v="0"/>
    <n v="2"/>
    <x v="1"/>
  </r>
  <r>
    <x v="0"/>
    <x v="22"/>
    <s v="Salazar  Hugo"/>
    <x v="1"/>
    <s v="B°560 VIVIENDAS  Sobre Pje 3 dorm. Cel.0388-154078693  Martillero Salazar"/>
    <x v="22"/>
    <s v="Notables - Jujuy 1 Col"/>
    <x v="1"/>
    <n v="44.595000000000013"/>
    <x v="0"/>
    <x v="4"/>
    <m/>
    <x v="0"/>
    <x v="0"/>
    <n v="1"/>
    <n v="2.0000000005"/>
    <x v="0"/>
    <n v="2"/>
    <x v="1"/>
  </r>
  <r>
    <x v="0"/>
    <x v="23"/>
    <s v="Zerpa  Martin"/>
    <x v="1"/>
    <s v="SALTA CAPITAL VDO. O PERMUTO B° Juan Pablo II, zona Sur, exc o permuto por casa en Jujuy. 03877-422344/ Cel. 387  422344"/>
    <x v="23"/>
    <s v="Notables - Jujuy 1 Col"/>
    <x v="1"/>
    <n v="46.824333333333335"/>
    <x v="0"/>
    <x v="4"/>
    <m/>
    <x v="0"/>
    <x v="0"/>
    <n v="1"/>
    <n v="3.0000000007500001"/>
    <x v="0"/>
    <n v="3"/>
    <x v="4"/>
  </r>
  <r>
    <x v="0"/>
    <x v="24"/>
    <s v="Mogro Enrique Rafael"/>
    <x v="1"/>
    <s v="EN PERICO QUIQUE MOGRO VENDE CASAS Bº 20 de Junio Bº San Expalle Lavalle  Tratar San Martin 108 Perico  Cel. 388 5009599"/>
    <x v="24"/>
    <s v="Notables - Jujuy 1 Col"/>
    <x v="1"/>
    <n v="117.06"/>
    <x v="0"/>
    <x v="4"/>
    <m/>
    <x v="0"/>
    <x v="0"/>
    <n v="1"/>
    <n v="5.0000000012500001"/>
    <x v="0"/>
    <n v="5"/>
    <x v="2"/>
  </r>
  <r>
    <x v="0"/>
    <x v="25"/>
    <s v="Cañas  Carlos Alberto"/>
    <x v="1"/>
    <s v="CAÑAS VENTA *Excluisiva propiedad 30 habitaciones, atencion Sarmiento Tel 388-4227132 - 4233776 canasinmuebles@8 4227132"/>
    <x v="25"/>
    <s v="Notables - Jujuy 1 Col"/>
    <x v="1"/>
    <n v="245.27"/>
    <x v="0"/>
    <x v="4"/>
    <m/>
    <x v="0"/>
    <x v="0"/>
    <n v="1"/>
    <n v="10.999999999222224"/>
    <x v="0"/>
    <n v="11"/>
    <x v="7"/>
  </r>
  <r>
    <x v="0"/>
    <x v="26"/>
    <s v="El Mundo De Las Herramientas S.R.L."/>
    <x v="5"/>
    <s v="CARMOTO FERRETERIA INDUSTRIAL"/>
    <x v="26"/>
    <s v="Notables - Jujuy 1 Col"/>
    <x v="0"/>
    <n v="305.91933333333333"/>
    <x v="0"/>
    <x v="5"/>
    <m/>
    <x v="0"/>
    <x v="0"/>
    <n v="1"/>
    <n v="13.999999999972225"/>
    <x v="0"/>
    <n v="14"/>
    <x v="8"/>
  </r>
  <r>
    <x v="0"/>
    <x v="27"/>
    <s v="Dergam Srl"/>
    <x v="6"/>
    <s v="DERGAM"/>
    <x v="27"/>
    <s v="Notables - Jujuy 1 Col"/>
    <x v="0"/>
    <n v="360.18769230769226"/>
    <x v="0"/>
    <x v="5"/>
    <m/>
    <x v="0"/>
    <x v="0"/>
    <n v="1"/>
    <n v="15.000000000222226"/>
    <x v="0"/>
    <n v="15"/>
    <x v="9"/>
  </r>
  <r>
    <x v="0"/>
    <x v="28"/>
    <s v="Carvajal Juan Carlos"/>
    <x v="7"/>
    <s v="FERRETERIA CARBAJAL"/>
    <x v="28"/>
    <s v="Notables - Jujuy 1 Col"/>
    <x v="0"/>
    <n v="218.51366666666667"/>
    <x v="0"/>
    <x v="5"/>
    <m/>
    <x v="0"/>
    <x v="0"/>
    <n v="1"/>
    <n v="9.999999998972223"/>
    <x v="0"/>
    <n v="10"/>
    <x v="10"/>
  </r>
  <r>
    <x v="0"/>
    <x v="29"/>
    <s v="Antonio Noguera"/>
    <x v="1"/>
    <s v="SRES. INGENIEROS, ARQUITECTOS  gente que este en la construcDesagotes, Baños Químicos.  EL HORNERO.  156855015 8 4250352"/>
    <x v="29"/>
    <s v="Notables - Jujuy 1 Col"/>
    <x v="1"/>
    <n v="93.648666666666671"/>
    <x v="0"/>
    <x v="6"/>
    <m/>
    <x v="0"/>
    <x v="0"/>
    <n v="1"/>
    <n v="6.0000000015000001"/>
    <x v="0"/>
    <n v="6"/>
    <x v="0"/>
  </r>
  <r>
    <x v="0"/>
    <x v="30"/>
    <s v="Castro Rodrigo"/>
    <x v="1"/>
    <s v="GRUPO EMPRESARIAL INCORPORA A SU EQUIPO: -Secretaria/o Admin a Senador Pérez 383 de Lunes a Viernes de 11.00 a 13.00 hs."/>
    <x v="30"/>
    <s v="Notables - Jujuy 1 Col"/>
    <x v="1"/>
    <n v="187.29733333333334"/>
    <x v="0"/>
    <x v="6"/>
    <m/>
    <x v="0"/>
    <x v="0"/>
    <n v="1"/>
    <n v="11.999999999472221"/>
    <x v="0"/>
    <n v="12"/>
    <x v="6"/>
  </r>
  <r>
    <x v="0"/>
    <x v="31"/>
    <s v="INMOBILIARIA LA RED S.R.L."/>
    <x v="8"/>
    <s v="BUSCAMOS ASESORES DE VENTA"/>
    <x v="31"/>
    <s v="Notables - Jujuy 1 Col"/>
    <x v="0"/>
    <n v="89.189285714285731"/>
    <x v="0"/>
    <x v="6"/>
    <m/>
    <x v="0"/>
    <x v="0"/>
    <n v="1"/>
    <n v="4.0000000010000001"/>
    <x v="0"/>
    <n v="4"/>
    <x v="3"/>
  </r>
  <r>
    <x v="0"/>
    <x v="32"/>
    <s v="El Trebol S.r.l."/>
    <x v="9"/>
    <s v="Empresa Constructora necesita OFICIAL DURLERO con más de 3 a920 Barrio Chijra / recursoshumanos@eltrebolconstructora.com"/>
    <x v="32"/>
    <s v="Notables - Jujuy 1 Col"/>
    <x v="0"/>
    <n v="156.08142857142857"/>
    <x v="0"/>
    <x v="6"/>
    <m/>
    <x v="0"/>
    <x v="0"/>
    <n v="1"/>
    <n v="7.0000000017499984"/>
    <x v="0"/>
    <n v="7"/>
    <x v="5"/>
  </r>
  <r>
    <x v="0"/>
    <x v="33"/>
    <s v="Servicio Medico Vital S.R.L."/>
    <x v="1"/>
    <s v="SE SELECCIONARÁ  INGENIERO EN SISTEMA. Presentarse con CV aco Piso  Lunes 26 y Martes 27 de 10 a 12Hs.  ¡¡¡Unic8  010404"/>
    <x v="33"/>
    <s v="Notables - Jujuy 1 Col"/>
    <x v="1"/>
    <n v="163.88499999999999"/>
    <x v="0"/>
    <x v="6"/>
    <m/>
    <x v="0"/>
    <x v="0"/>
    <n v="1"/>
    <n v="7.0000000017499984"/>
    <x v="0"/>
    <n v="7"/>
    <x v="5"/>
  </r>
  <r>
    <x v="0"/>
    <x v="34"/>
    <s v="Echeverria  Emilio"/>
    <x v="1"/>
    <s v="SE BUSCA CARPINTERO  EN MELAMINA  Para armado de muebles e  instalacion en obras. Cel. 3886141461."/>
    <x v="34"/>
    <s v="Notables - Jujuy 1 Col"/>
    <x v="1"/>
    <n v="89.190000000000026"/>
    <x v="0"/>
    <x v="6"/>
    <m/>
    <x v="0"/>
    <x v="0"/>
    <n v="1"/>
    <n v="4.0000000010000001"/>
    <x v="0"/>
    <n v="4"/>
    <x v="3"/>
  </r>
  <r>
    <x v="0"/>
    <x v="35"/>
    <s v="Labarrere  Silvana"/>
    <x v="1"/>
    <s v="Necesito empleada domestica"/>
    <x v="35"/>
    <s v="Notables - Jujuy 1 Col"/>
    <x v="1"/>
    <n v="234.1225"/>
    <x v="0"/>
    <x v="6"/>
    <m/>
    <x v="0"/>
    <x v="1"/>
    <n v="1"/>
    <n v="9.999999998972223"/>
    <x v="0"/>
    <n v="10"/>
    <x v="10"/>
  </r>
  <r>
    <x v="0"/>
    <x v="36"/>
    <s v="Labarrere  Silvana"/>
    <x v="1"/>
    <s v="Necesito empleada domestica"/>
    <x v="35"/>
    <s v="Notables - Jujuy 1 Col"/>
    <x v="2"/>
    <n v="0"/>
    <x v="0"/>
    <x v="6"/>
    <m/>
    <x v="0"/>
    <x v="0"/>
    <n v="1"/>
    <n v="9.999999998972223"/>
    <x v="0"/>
    <n v="10"/>
    <x v="10"/>
  </r>
  <r>
    <x v="0"/>
    <x v="37"/>
    <s v="Mendez Mealla Jacqueline"/>
    <x v="1"/>
    <s v="OFREZCO  MI TRABAJO:  Técnico en Refrigeración arreglos y maticular y carnet de conducir al día. Consultas al 3885844179"/>
    <x v="36"/>
    <s v="Notables - Jujuy 1 Col"/>
    <x v="1"/>
    <n v="156.08142857142857"/>
    <x v="0"/>
    <x v="7"/>
    <m/>
    <x v="0"/>
    <x v="0"/>
    <n v="1"/>
    <n v="7.0000000017499984"/>
    <x v="0"/>
    <n v="7"/>
    <x v="5"/>
  </r>
  <r>
    <x v="0"/>
    <x v="38"/>
    <s v="ECOMET S.R.L."/>
    <x v="10"/>
    <s v="METALNOR-METALES-CHATARRA"/>
    <x v="37"/>
    <s v="Notables - Jujuy 1 Col"/>
    <x v="1"/>
    <n v="130.83733333333333"/>
    <x v="0"/>
    <x v="8"/>
    <m/>
    <x v="0"/>
    <x v="0"/>
    <n v="1"/>
    <n v="8.9999999987222221"/>
    <x v="0"/>
    <n v="9"/>
    <x v="11"/>
  </r>
  <r>
    <x v="0"/>
    <x v="39"/>
    <s v="Antonio Noguera"/>
    <x v="1"/>
    <s v="ALQUILO MAQUINA RETROPALA -Nivelaciones CAMIONES VOLQUETES Todo tipo de trabajos &quot;EL HORNERO&quot; Cel.156855015"/>
    <x v="38"/>
    <s v="Notables - Jujuy 1 Col"/>
    <x v="1"/>
    <n v="62.432666666666677"/>
    <x v="0"/>
    <x v="9"/>
    <m/>
    <x v="0"/>
    <x v="0"/>
    <n v="1"/>
    <n v="4.0000000010000001"/>
    <x v="0"/>
    <n v="4"/>
    <x v="3"/>
  </r>
  <r>
    <x v="0"/>
    <x v="40"/>
    <s v="Antonio Noguera"/>
    <x v="1"/>
    <s v="CONTENEDORES   EL HORNERO CAMION AGUATERO DESAGOTES BAÑOS QUIMICOS (0388)156855015 - 42503528 4250352"/>
    <x v="39"/>
    <s v="Notables - Jujuy 1 Col"/>
    <x v="1"/>
    <n v="62.432666666666677"/>
    <x v="0"/>
    <x v="9"/>
    <m/>
    <x v="0"/>
    <x v="0"/>
    <n v="1"/>
    <n v="4.0000000010000001"/>
    <x v="0"/>
    <n v="4"/>
    <x v="3"/>
  </r>
  <r>
    <x v="0"/>
    <x v="41"/>
    <s v="Zottos  Jorge Sebastian"/>
    <x v="1"/>
    <s v="MOTONIVELADORA ZANELLO RU13200 año 2015, 3150 horas, motor Deutz 913 impecable. USD 68000 oficiales.  Cel. 38758   13200"/>
    <x v="40"/>
    <s v="Notables - Jujuy 1 Col"/>
    <x v="1"/>
    <n v="66.891428571428577"/>
    <x v="0"/>
    <x v="9"/>
    <m/>
    <x v="0"/>
    <x v="0"/>
    <n v="1"/>
    <n v="3.0000000007500001"/>
    <x v="0"/>
    <n v="3"/>
    <x v="4"/>
  </r>
  <r>
    <x v="0"/>
    <x v="42"/>
    <s v="Zottos  Jorge Sebastian"/>
    <x v="1"/>
    <s v="TRAILER VIVIENDA, 12 X2.40, revestidos, instalación eléctricada, baño completo, sobre trineo.$1.900.000. Cel. 3875318595"/>
    <x v="41"/>
    <s v="Notables - Jujuy 1 Col"/>
    <x v="1"/>
    <n v="66.891428571428577"/>
    <x v="0"/>
    <x v="9"/>
    <m/>
    <x v="0"/>
    <x v="0"/>
    <n v="1"/>
    <n v="3.0000000007500001"/>
    <x v="0"/>
    <n v="3"/>
    <x v="4"/>
  </r>
  <r>
    <x v="0"/>
    <x v="43"/>
    <s v="Gorena  Alejandra"/>
    <x v="1"/>
    <s v="CENTO DE ESTIMULACION  DEL APRENDIZAJE “CLASES DE APOYO” Nivdagogico Integrador.  ceajujuy2021@gmail.com Tel. 3886044042"/>
    <x v="42"/>
    <s v="Notables - Jujuy 1 Col"/>
    <x v="1"/>
    <n v="142.70285714285714"/>
    <x v="1"/>
    <x v="10"/>
    <m/>
    <x v="0"/>
    <x v="0"/>
    <n v="1"/>
    <n v="5.0000000012500001"/>
    <x v="0"/>
    <n v="5"/>
    <x v="2"/>
  </r>
  <r>
    <x v="0"/>
    <x v="44"/>
    <s v="Urbania S.R.L."/>
    <x v="11"/>
    <s v="HORMIGONERA + DE 20 AÑOS"/>
    <x v="43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45"/>
    <s v="HORMIGONERA JUJUY S.R.L."/>
    <x v="11"/>
    <s v="HORMIGONERA -VENTA DE HORMIGON EN MIXER"/>
    <x v="44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46"/>
    <s v="HORMIGONERA JUJUY S.R.L."/>
    <x v="12"/>
    <s v="HORMIGONERA  JUJUY S.R.L. VENTA DE ARIDOS: PIEDRA, ARENA, RIIO.  RELLENO DE TERRENO 4259148 - 4259548 ALTE BROW8 4259148"/>
    <x v="45"/>
    <s v="Notables - Jujuy 1 Col"/>
    <x v="0"/>
    <n v="109.25700000000001"/>
    <x v="0"/>
    <x v="11"/>
    <m/>
    <x v="0"/>
    <x v="0"/>
    <n v="1"/>
    <n v="5.0000000012500001"/>
    <x v="0"/>
    <n v="5"/>
    <x v="2"/>
  </r>
  <r>
    <x v="0"/>
    <x v="47"/>
    <s v="Machado  Rodrigo"/>
    <x v="1"/>
    <s v="---E D I C T O S--  Ref. Expte. Nº D-35131/2020, Caratulado:021.---- Ante mí: Marcela Florencia Artaza, Secreta8   35131"/>
    <x v="46"/>
    <s v="Remates/Edictos Cm- Jujuy"/>
    <x v="2"/>
    <n v="82.213333333333324"/>
    <x v="0"/>
    <x v="12"/>
    <m/>
    <x v="0"/>
    <x v="0"/>
    <n v="1"/>
    <n v="7.9999999984722239"/>
    <x v="0"/>
    <n v="8"/>
    <x v="12"/>
  </r>
  <r>
    <x v="0"/>
    <x v="48"/>
    <s v="Palue S.r.l."/>
    <x v="1"/>
    <s v="EDICTO  - - - DRA. LIS M. VALDECANTOS, Juez habilitada de PrJUJUY, 17 de Noviembre del 2020. -  SECRETARIA Nº128  135935"/>
    <x v="47"/>
    <s v="Remates/Edictos Cm- Jujuy"/>
    <x v="1"/>
    <n v="308.29666666666668"/>
    <x v="0"/>
    <x v="12"/>
    <m/>
    <x v="0"/>
    <x v="0"/>
    <n v="2"/>
    <n v="15.000000000222226"/>
    <x v="0"/>
    <n v="15"/>
    <x v="13"/>
  </r>
  <r>
    <x v="0"/>
    <x v="49"/>
    <s v="Diosquez  Paola"/>
    <x v="1"/>
    <s v="EDICTO DE CITACION   LA DIRECCION DE HABITAT E INCLUSION, en3 de abril de 2021- Director Arq. Horacio García Ra8 0617438"/>
    <x v="48"/>
    <s v="Remates/Edictos Cm- Jujuy"/>
    <x v="1"/>
    <n v="205.53"/>
    <x v="0"/>
    <x v="12"/>
    <m/>
    <x v="0"/>
    <x v="0"/>
    <n v="2"/>
    <n v="9.999999998972223"/>
    <x v="0"/>
    <n v="10"/>
    <x v="14"/>
  </r>
  <r>
    <x v="0"/>
    <x v="50"/>
    <s v="Siles  Alejandra"/>
    <x v="1"/>
    <s v="EFECTIVO EN EL ACTO SOLO CON TU TARJETA  DE CREDITO ( todas las tarjetas) Hasta $ 5.000. Cel. 388-50843808 5084380"/>
    <x v="49"/>
    <s v="Notables - Jujuy 1 Col"/>
    <x v="1"/>
    <n v="43.702666666666666"/>
    <x v="0"/>
    <x v="13"/>
    <m/>
    <x v="0"/>
    <x v="0"/>
    <n v="1"/>
    <n v="2.0000000005"/>
    <x v="0"/>
    <n v="2"/>
    <x v="1"/>
  </r>
  <r>
    <x v="0"/>
    <x v="51"/>
    <s v="CAZON FLORENCIA"/>
    <x v="1"/>
    <s v="DINERO T&amp;T PRESTAMOS - EMPEÑOS  EN EL ACTO Recibimos todas lijo 388- 4232023 ALVEAR 720 De 9 a 13.30 y 17.00 a 8 5844130"/>
    <x v="50"/>
    <s v="Notables - Jujuy 1 Col"/>
    <x v="1"/>
    <n v="93.648666666666671"/>
    <x v="0"/>
    <x v="13"/>
    <m/>
    <x v="0"/>
    <x v="0"/>
    <n v="1"/>
    <n v="6.0000000015000001"/>
    <x v="0"/>
    <n v="6"/>
    <x v="0"/>
  </r>
  <r>
    <x v="0"/>
    <x v="52"/>
    <s v="PANERO JULIO CESAR"/>
    <x v="13"/>
    <s v="JULIO PANERO"/>
    <x v="51"/>
    <s v="Notables - Jujuy 1 Col"/>
    <x v="0"/>
    <n v="44.595000000000013"/>
    <x v="0"/>
    <x v="14"/>
    <m/>
    <x v="0"/>
    <x v="0"/>
    <n v="1"/>
    <n v="2.0000000005"/>
    <x v="0"/>
    <n v="2"/>
    <x v="1"/>
  </r>
  <r>
    <x v="0"/>
    <x v="53"/>
    <s v="Salazar  Hugo"/>
    <x v="1"/>
    <s v="TASACIONES CASAS- TERRENOS- FINCAS. Martillero HUGO SALAZAR Cel.0388-154078693"/>
    <x v="52"/>
    <s v="Notables - Jujuy 1 Col"/>
    <x v="1"/>
    <n v="21.851333333333333"/>
    <x v="0"/>
    <x v="14"/>
    <m/>
    <x v="0"/>
    <x v="0"/>
    <n v="1"/>
    <n v="2.0000000005"/>
    <x v="0"/>
    <n v="2"/>
    <x v="1"/>
  </r>
  <r>
    <x v="0"/>
    <x v="54"/>
    <s v="Vilar Cristian Leandro"/>
    <x v="1"/>
    <s v="MARTILLERO TASADOR   CRISTIAN L. VILAR Tel 388-4311517 / 1550112208 4311517"/>
    <x v="53"/>
    <s v="Notables - Jujuy 1 Col"/>
    <x v="1"/>
    <n v="37.459666666666664"/>
    <x v="1"/>
    <x v="14"/>
    <m/>
    <x v="0"/>
    <x v="0"/>
    <n v="1"/>
    <n v="2.0000000005"/>
    <x v="0"/>
    <n v="2"/>
    <x v="1"/>
  </r>
  <r>
    <x v="0"/>
    <x v="55"/>
    <s v="Salazar  Hugo"/>
    <x v="1"/>
    <s v="Bº CDAD DE NIEVA  VENDO CASA  Calle Cnel Arias al 1.100. Martillero HUGO SALAZAR Cel.0388-154078693"/>
    <x v="54"/>
    <s v="Notables - Jujuy 1 Col"/>
    <x v="1"/>
    <n v="44.595000000000013"/>
    <x v="0"/>
    <x v="14"/>
    <m/>
    <x v="0"/>
    <x v="0"/>
    <n v="1"/>
    <n v="2.0000000005"/>
    <x v="0"/>
    <n v="2"/>
    <x v="1"/>
  </r>
  <r>
    <x v="0"/>
    <x v="56"/>
    <s v="Valverdi Gustavo Adolfo"/>
    <x v="1"/>
    <s v="VALVERDI PROPIEDADES  VENTA - ALQUILERES - TASACIONES - ADMI 12 hs Jose de la Iglesia 1783. Tel. 3885933903 - 3885436871"/>
    <x v="55"/>
    <s v="Notables - Jujuy 1 Col"/>
    <x v="1"/>
    <n v="89.190000000000026"/>
    <x v="0"/>
    <x v="14"/>
    <m/>
    <x v="0"/>
    <x v="0"/>
    <n v="1"/>
    <n v="4.0000000010000001"/>
    <x v="0"/>
    <n v="4"/>
    <x v="3"/>
  </r>
  <r>
    <x v="0"/>
    <x v="57"/>
    <s v="Radio Vision Jujuy S.a."/>
    <x v="14"/>
    <s v="Convocase a los señores Accionistas de Radio Visión Jujuy S.o titular y un Síndico Suplente por las acciones de Clase D."/>
    <x v="56"/>
    <s v="Asamblea Cm- Jujuy"/>
    <x v="2"/>
    <n v="0"/>
    <x v="0"/>
    <x v="15"/>
    <m/>
    <x v="0"/>
    <x v="0"/>
    <n v="2"/>
    <n v="9.999999998972223"/>
    <x v="0"/>
    <n v="10"/>
    <x v="14"/>
  </r>
  <r>
    <x v="0"/>
    <x v="58"/>
    <s v="Valerio, Jose Luis"/>
    <x v="15"/>
    <s v="Llamado a Asamblea- Club Deportivo Agua Chica El Club Deport 03-Posesión de su primera comisión legal. 04-Puntos varios."/>
    <x v="57"/>
    <s v="Asamblea Cm- Jujuy"/>
    <x v="0"/>
    <n v="397.42"/>
    <x v="0"/>
    <x v="15"/>
    <m/>
    <x v="0"/>
    <x v="0"/>
    <n v="2"/>
    <n v="7.0000000017499984"/>
    <x v="0"/>
    <n v="7"/>
    <x v="15"/>
  </r>
  <r>
    <x v="0"/>
    <x v="59"/>
    <s v="Valerio, Jose Luis"/>
    <x v="16"/>
    <s v="Asamblea de Asociación Civil de Pequeños Productores de Quicnte de Asociación Civil de Pequeños Productores de Quichagua"/>
    <x v="58"/>
    <s v="Asamblea Cm- Jujuy"/>
    <x v="0"/>
    <n v="397.42"/>
    <x v="0"/>
    <x v="15"/>
    <m/>
    <x v="0"/>
    <x v="0"/>
    <n v="2"/>
    <n v="7.0000000017499984"/>
    <x v="0"/>
    <n v="7"/>
    <x v="15"/>
  </r>
  <r>
    <x v="0"/>
    <x v="60"/>
    <s v="GRENNI RAUL EDUARDO"/>
    <x v="17"/>
    <s v="Se alquilan locales y oficinas en peatonal belgrano, consultas en belgrano 730,2° piso, oficina 2. De 9 a 13"/>
    <x v="59"/>
    <s v="Notables - Jujuy 1 Col"/>
    <x v="0"/>
    <n v="66.892142857142858"/>
    <x v="0"/>
    <x v="16"/>
    <m/>
    <x v="0"/>
    <x v="0"/>
    <n v="1"/>
    <n v="3.0000000007500001"/>
    <x v="0"/>
    <n v="3"/>
    <x v="4"/>
  </r>
  <r>
    <x v="0"/>
    <x v="61"/>
    <s v="Zamar  Juan Jose"/>
    <x v="18"/>
    <s v="ALQUILO DEPTO CATEGORIA"/>
    <x v="60"/>
    <s v="Notables - Jujuy 1 Col"/>
    <x v="0"/>
    <n v="109.25700000000001"/>
    <x v="0"/>
    <x v="17"/>
    <m/>
    <x v="0"/>
    <x v="0"/>
    <n v="1"/>
    <n v="5.0000000012500001"/>
    <x v="0"/>
    <n v="5"/>
    <x v="2"/>
  </r>
  <r>
    <x v="0"/>
    <x v="62"/>
    <s v="Luis  Cabrera"/>
    <x v="1"/>
    <s v="/////////////////JESUS TAROT////////"/>
    <x v="61"/>
    <s v="Notables - Jujuy +1 Col"/>
    <x v="1"/>
    <n v="327.77049999999997"/>
    <x v="0"/>
    <x v="18"/>
    <m/>
    <x v="0"/>
    <x v="0"/>
    <n v="3"/>
    <n v="5.0000000012500001"/>
    <x v="0"/>
    <n v="5"/>
    <x v="16"/>
  </r>
  <r>
    <x v="0"/>
    <x v="63"/>
    <s v="Jairo Montes"/>
    <x v="1"/>
    <s v="COSEJERO y HECHICERO JAIRO  Nuevo numero de Cel. 0388154648931154648931"/>
    <x v="62"/>
    <s v="Notables - Jujuy +1 Col"/>
    <x v="1"/>
    <n v="334.46"/>
    <x v="0"/>
    <x v="18"/>
    <m/>
    <x v="0"/>
    <x v="0"/>
    <n v="3"/>
    <n v="5.0000000012500001"/>
    <x v="0"/>
    <n v="5"/>
    <x v="16"/>
  </r>
  <r>
    <x v="1"/>
    <x v="64"/>
    <s v="Editora Sociedad Anonima"/>
    <x v="19"/>
    <s v="MAS LUZ - JUJUY FM"/>
    <x v="63"/>
    <s v="Editorial Comercial - Jujuy"/>
    <x v="2"/>
    <n v="1447.44"/>
    <x v="1"/>
    <x v="19"/>
    <s v="SUDC"/>
    <x v="1"/>
    <x v="0"/>
    <n v="2"/>
    <n v="13.433777777777777"/>
    <x v="0"/>
    <n v="13"/>
    <x v="17"/>
  </r>
  <r>
    <x v="1"/>
    <x v="65"/>
    <s v="Colegio De Abogados"/>
    <x v="20"/>
    <s v="COLEGIO DE ABOGADOS - RESOLUCION 54/21"/>
    <x v="64"/>
    <s v="Editorial Comercial - Jujuy"/>
    <x v="0"/>
    <n v="4719.8999999999996"/>
    <x v="0"/>
    <x v="19"/>
    <s v="SUDC"/>
    <x v="2"/>
    <x v="0"/>
    <n v="3"/>
    <n v="34.769777777777783"/>
    <x v="0"/>
    <n v="35"/>
    <x v="18"/>
  </r>
  <r>
    <x v="1"/>
    <x v="66"/>
    <s v="La Cocheria S.r.l."/>
    <x v="21"/>
    <s v="LA COCHERIA SRL"/>
    <x v="65"/>
    <s v="Editorial Comercial - Jujuy"/>
    <x v="0"/>
    <n v="0"/>
    <x v="1"/>
    <x v="20"/>
    <s v="SU"/>
    <x v="3"/>
    <x v="0"/>
    <n v="3"/>
    <n v="2.7657777777777777"/>
    <x v="0"/>
    <n v="3"/>
    <x v="19"/>
  </r>
  <r>
    <x v="1"/>
    <x v="67"/>
    <s v="Servicios Sociales Futuro S R L"/>
    <x v="22"/>
    <s v="SERIVICIO SOCIALES FUTURO..."/>
    <x v="66"/>
    <s v="Editorial Comercial - Jujuy"/>
    <x v="0"/>
    <n v="0"/>
    <x v="1"/>
    <x v="21"/>
    <s v="SER"/>
    <x v="3"/>
    <x v="0"/>
    <n v="5"/>
    <n v="2.7657777777777777"/>
    <x v="0"/>
    <n v="3"/>
    <x v="20"/>
  </r>
  <r>
    <x v="1"/>
    <x v="68"/>
    <s v="LOPEZ PIERRE - FARMACIA"/>
    <x v="23"/>
    <s v="LOPEZ PIERRE FARMACIA"/>
    <x v="67"/>
    <s v="Editorial Comercial - Jujuy"/>
    <x v="0"/>
    <n v="0"/>
    <x v="1"/>
    <x v="21"/>
    <m/>
    <x v="0"/>
    <x v="0"/>
    <n v="2"/>
    <n v="2.7657777777777777"/>
    <x v="0"/>
    <n v="3"/>
    <x v="21"/>
  </r>
  <r>
    <x v="1"/>
    <x v="69"/>
    <s v="Werchow Servicios Sociales S.R.L."/>
    <x v="24"/>
    <s v="WERCHOW"/>
    <x v="68"/>
    <s v="Editorial Comercial - Jujuy"/>
    <x v="0"/>
    <n v="0"/>
    <x v="1"/>
    <x v="21"/>
    <s v="SER"/>
    <x v="3"/>
    <x v="0"/>
    <n v="5"/>
    <n v="2.7657777777777777"/>
    <x v="0"/>
    <n v="3"/>
    <x v="20"/>
  </r>
  <r>
    <x v="1"/>
    <x v="70"/>
    <s v="MORENO JOSE MARIA"/>
    <x v="25"/>
    <s v="IITA - PROPUESTA EDUCATIVA (bonificados por pla 7+3)"/>
    <x v="69"/>
    <s v="Editorial Comercial - Jujuy"/>
    <x v="2"/>
    <n v="806.94"/>
    <x v="1"/>
    <x v="22"/>
    <s v="PES"/>
    <x v="4"/>
    <x v="0"/>
    <n v="5"/>
    <n v="9.8777777777777782"/>
    <x v="0"/>
    <n v="10"/>
    <x v="22"/>
  </r>
  <r>
    <x v="1"/>
    <x v="71"/>
    <s v="Horizontes S A"/>
    <x v="26"/>
    <s v="AGROFER..."/>
    <x v="70"/>
    <s v="Editorial Comercial - Jujuy"/>
    <x v="0"/>
    <n v="438.14"/>
    <x v="0"/>
    <x v="23"/>
    <s v="PAC"/>
    <x v="5"/>
    <x v="0"/>
    <n v="2"/>
    <n v="2.7657777777777777"/>
    <x v="1"/>
    <n v="3"/>
    <x v="21"/>
  </r>
  <r>
    <x v="1"/>
    <x v="72"/>
    <s v="Alicia Teresita Zenarruza"/>
    <x v="27"/>
    <s v="APACHETA ORELLANA LUCCA"/>
    <x v="71"/>
    <s v="Editorial Comercial - Jujuy"/>
    <x v="0"/>
    <n v="2519.33"/>
    <x v="1"/>
    <x v="23"/>
    <s v="PAC"/>
    <x v="6"/>
    <x v="0"/>
    <n v="3"/>
    <n v="13.433777777777777"/>
    <x v="1"/>
    <n v="13"/>
    <x v="23"/>
  </r>
  <r>
    <x v="1"/>
    <x v="73"/>
    <s v="Colegio Farmaceutico de Jujuy"/>
    <x v="28"/>
    <s v="COLEGIO FARMACEUTICOS DE JUJUY CONVOCATORIA..."/>
    <x v="72"/>
    <s v="Editorial Comercial - Jujuy"/>
    <x v="0"/>
    <n v="1460.48"/>
    <x v="0"/>
    <x v="23"/>
    <s v="PAC"/>
    <x v="7"/>
    <x v="0"/>
    <n v="2"/>
    <n v="13.433777777777777"/>
    <x v="1"/>
    <n v="13"/>
    <x v="17"/>
  </r>
  <r>
    <x v="1"/>
    <x v="74"/>
    <s v="Segura Ana"/>
    <x v="29"/>
    <s v="Norte Servicios Sociales"/>
    <x v="73"/>
    <s v="Editorial Comercial - Jujuy"/>
    <x v="0"/>
    <n v="0"/>
    <x v="1"/>
    <x v="24"/>
    <s v="OBI"/>
    <x v="3"/>
    <x v="0"/>
    <n v="3"/>
    <n v="2.7657777777777777"/>
    <x v="0"/>
    <n v="3"/>
    <x v="19"/>
  </r>
  <r>
    <x v="1"/>
    <x v="75"/>
    <s v="Editora Sociedad Anonima"/>
    <x v="30"/>
    <s v="CLASIFICADOS WEB"/>
    <x v="74"/>
    <s v="Editorial Comercial - Jujuy"/>
    <x v="2"/>
    <n v="5448.24"/>
    <x v="1"/>
    <x v="25"/>
    <s v="IDC"/>
    <x v="8"/>
    <x v="0"/>
    <n v="3"/>
    <n v="27.657777777777785"/>
    <x v="0"/>
    <n v="28"/>
    <x v="24"/>
  </r>
  <r>
    <x v="1"/>
    <x v="76"/>
    <s v="Editora Sociedad Anonima"/>
    <x v="30"/>
    <s v="EL MATUTINO"/>
    <x v="75"/>
    <s v="Editorial Comercial - Jujuy"/>
    <x v="2"/>
    <n v="4540.2"/>
    <x v="1"/>
    <x v="25"/>
    <s v="IDC"/>
    <x v="9"/>
    <x v="0"/>
    <n v="4"/>
    <n v="16.989777777777778"/>
    <x v="0"/>
    <n v="17"/>
    <x v="25"/>
  </r>
  <r>
    <x v="1"/>
    <x v="77"/>
    <s v="BANCO DE DESARROLLO DE JUJUY SOCIEDAD DEL ESTADO"/>
    <x v="31"/>
    <s v="TOMBOSUERTE..."/>
    <x v="76"/>
    <s v="Editorial Comercial - Jujuy cm OFICIAL"/>
    <x v="0"/>
    <n v="1764.41"/>
    <x v="1"/>
    <x v="26"/>
    <s v="IAC"/>
    <x v="10"/>
    <x v="1"/>
    <n v="5"/>
    <n v="17.000000000722224"/>
    <x v="1"/>
    <n v="17"/>
    <x v="26"/>
  </r>
  <r>
    <x v="1"/>
    <x v="78"/>
    <s v="Editora Sociedad Anonima"/>
    <x v="32"/>
    <s v="FUTBOL FM SOL"/>
    <x v="77"/>
    <s v="Editorial Comercial - Jujuy"/>
    <x v="2"/>
    <n v="1628.33"/>
    <x v="1"/>
    <x v="26"/>
    <s v="IAC"/>
    <x v="11"/>
    <x v="0"/>
    <n v="2"/>
    <n v="9.8777777777777782"/>
    <x v="0"/>
    <n v="10"/>
    <x v="14"/>
  </r>
  <r>
    <x v="1"/>
    <x v="79"/>
    <s v="Direccion De Prensa Y Medios De Comunicacion"/>
    <x v="31"/>
    <s v="GOBIERNO  27 DE ABRIL DIA GRANDE DE JUJUY...."/>
    <x v="78"/>
    <s v="Editorial Comercial - Jujuy cm OFICIAL"/>
    <x v="0"/>
    <n v="165497.74"/>
    <x v="1"/>
    <x v="26"/>
    <s v="IAC"/>
    <x v="12"/>
    <x v="0"/>
    <n v="5"/>
    <n v="35.000000001694445"/>
    <x v="1"/>
    <n v="35"/>
    <x v="27"/>
  </r>
  <r>
    <x v="1"/>
    <x v="80"/>
    <s v=" E J E S A (EJESA)"/>
    <x v="33"/>
    <s v="EJESA CORTE...."/>
    <x v="79"/>
    <s v="Editorial Comercial - Jujuy"/>
    <x v="0"/>
    <n v="814.83"/>
    <x v="0"/>
    <x v="26"/>
    <s v="IAC"/>
    <x v="7"/>
    <x v="0"/>
    <n v="1"/>
    <n v="9.8777777777777782"/>
    <x v="1"/>
    <n v="10"/>
    <x v="10"/>
  </r>
  <r>
    <x v="1"/>
    <x v="81"/>
    <s v="ESPADA MARCOS MAXIMILIANO"/>
    <x v="34"/>
    <s v="OREJA ELIAS DEPORTES"/>
    <x v="80"/>
    <s v="Editorial Comercial - Jujuy"/>
    <x v="0"/>
    <n v="0"/>
    <x v="1"/>
    <x v="27"/>
    <s v="DEP"/>
    <x v="13"/>
    <x v="0"/>
    <n v="1"/>
    <n v="2.7657777777777777"/>
    <x v="1"/>
    <n v="3"/>
    <x v="4"/>
  </r>
  <r>
    <x v="2"/>
    <x v="82"/>
    <s v="Juarez Meneses Dolores"/>
    <x v="1"/>
    <s v="PSICOPEDAGOGIA  Lic. DOLORES JUAREZ MENESES * PROBLEMAS DE A FASCIO-Av. Fascio 748 Solicitud de Turnos:(0388) 18    0388"/>
    <x v="81"/>
    <s v="Guia Prof 2 Col - Jujuy"/>
    <x v="1"/>
    <n v="39.315916666666674"/>
    <x v="0"/>
    <x v="28"/>
    <m/>
    <x v="0"/>
    <x v="0"/>
    <n v="2"/>
    <n v="3.0000000007500001"/>
    <x v="0"/>
    <n v="3"/>
    <x v="21"/>
  </r>
  <r>
    <x v="2"/>
    <x v="83"/>
    <s v="Bianco  Claudia"/>
    <x v="1"/>
    <s v="Dra. Claudia M. Bianco OTORRINOLARINGOLOGA ADULTOS IndependeTurnos solo por teléfono 0388-4833107 (fijo)/ 0388-8   01008"/>
    <x v="82"/>
    <s v="Guia Prof 2 Col - Jujuy"/>
    <x v="1"/>
    <n v="26.210666666666668"/>
    <x v="0"/>
    <x v="29"/>
    <m/>
    <x v="0"/>
    <x v="0"/>
    <n v="2"/>
    <n v="2.0000000005"/>
    <x v="0"/>
    <n v="2"/>
    <x v="28"/>
  </r>
  <r>
    <x v="2"/>
    <x v="84"/>
    <s v="Rodriguez  Laura"/>
    <x v="1"/>
    <s v="ESTARSIENDO  LIC. MARIA LAURA RODRIGUEZ ..recursos humanos..."/>
    <x v="83"/>
    <s v="Guia Prof 2 Col - Jujuy"/>
    <x v="1"/>
    <n v="78.631666666666675"/>
    <x v="0"/>
    <x v="29"/>
    <m/>
    <x v="0"/>
    <x v="0"/>
    <n v="2"/>
    <n v="6.0000000015000001"/>
    <x v="0"/>
    <n v="6"/>
    <x v="29"/>
  </r>
  <r>
    <x v="2"/>
    <x v="85"/>
    <s v="Palavecino Rodriguez Jose Miguel"/>
    <x v="1"/>
    <s v="PROBLEMAS DE COLUMNA Y EXTREMIDADES                 QUIROPRAM. Palavecino  M.P. 1899 Independencia 518 - Cel. 155090998."/>
    <x v="84"/>
    <s v="Guia Prof 2 Col - Jujuy"/>
    <x v="1"/>
    <n v="39.315833333333337"/>
    <x v="0"/>
    <x v="30"/>
    <m/>
    <x v="0"/>
    <x v="0"/>
    <n v="2"/>
    <n v="3.0000000007500001"/>
    <x v="0"/>
    <n v="3"/>
    <x v="21"/>
  </r>
  <r>
    <x v="2"/>
    <x v="86"/>
    <s v="Empresa La Piedad S.A."/>
    <x v="35"/>
    <s v="Consultorios AV"/>
    <x v="85"/>
    <s v="Guia Prof 2 Col - Jujuy"/>
    <x v="0"/>
    <n v="73.38966666666667"/>
    <x v="0"/>
    <x v="31"/>
    <m/>
    <x v="0"/>
    <x v="0"/>
    <n v="2"/>
    <n v="4.0000000010000001"/>
    <x v="0"/>
    <n v="4"/>
    <x v="30"/>
  </r>
  <r>
    <x v="2"/>
    <x v="87"/>
    <s v="Mamani  Cristian"/>
    <x v="1"/>
    <s v="ESTUDIO CONTABLE CM (logo carp. 17-04) ASESORIA CONTABLE-FINtin 662-1er Piso -Dpto 2 Cel. 0388-154426610 (de 188    1704"/>
    <x v="86"/>
    <s v="Guia Prof 2 Col - Jujuy"/>
    <x v="1"/>
    <n v="26.210666666666668"/>
    <x v="0"/>
    <x v="32"/>
    <m/>
    <x v="0"/>
    <x v="0"/>
    <n v="2"/>
    <n v="2.0000000005"/>
    <x v="0"/>
    <n v="2"/>
    <x v="28"/>
  </r>
  <r>
    <x v="2"/>
    <x v="88"/>
    <s v="Orce Remis Esteban"/>
    <x v="1"/>
    <s v=" TERRAZAS Y ORCE REMIS ESTUDIO JURÍDICO  CONTABLE  ASESORAMIs y Judiciales.  Nuevo Domicilio  Argañaraz 141 Tel8 4988746"/>
    <x v="87"/>
    <s v="Guia Prof 2 Col - Jujuy"/>
    <x v="1"/>
    <n v="131.053"/>
    <x v="0"/>
    <x v="33"/>
    <m/>
    <x v="0"/>
    <x v="0"/>
    <n v="2"/>
    <n v="9.999999998972223"/>
    <x v="0"/>
    <n v="10"/>
    <x v="14"/>
  </r>
  <r>
    <x v="2"/>
    <x v="89"/>
    <s v="Mamani  Dario Eduardo"/>
    <x v="1"/>
    <s v="ABOGADOS - CAUSAS PENALES   ///AVISO ARMADO EN CARPETA DE LA FECHA"/>
    <x v="88"/>
    <s v="Guia Prof 2 Col - Jujuy"/>
    <x v="1"/>
    <n v="39.316000000000003"/>
    <x v="0"/>
    <x v="33"/>
    <m/>
    <x v="0"/>
    <x v="0"/>
    <n v="2"/>
    <n v="3.0000000007500001"/>
    <x v="0"/>
    <n v="3"/>
    <x v="21"/>
  </r>
  <r>
    <x v="2"/>
    <x v="90"/>
    <s v="Carretero  Maria Alejandra"/>
    <x v="1"/>
    <s v="MARIA A. CARRETERO M.P. 3103  Familia  Sucesiones  Alimentos 9 a 14 hs Cel. 0388-155201043 Independencia 922 - Oficina 2"/>
    <x v="89"/>
    <s v="Guia Prof 2 Col - Jujuy"/>
    <x v="1"/>
    <n v="26.210666666666668"/>
    <x v="0"/>
    <x v="33"/>
    <m/>
    <x v="0"/>
    <x v="0"/>
    <n v="2"/>
    <n v="2.0000000005"/>
    <x v="0"/>
    <n v="2"/>
    <x v="28"/>
  </r>
  <r>
    <x v="2"/>
    <x v="91"/>
    <s v="Pastore  Ana Laura"/>
    <x v="1"/>
    <s v="////LOGO///// Familia- Sucerio- Laboral-Prescripción Adquisi068 .  Argañaraz Nº 295, Of. 6. Recibimos todas las8 5073068"/>
    <x v="90"/>
    <s v="Guia Prof 2 Col - Jujuy"/>
    <x v="1"/>
    <n v="65.526499999999999"/>
    <x v="0"/>
    <x v="33"/>
    <m/>
    <x v="0"/>
    <x v="0"/>
    <n v="2"/>
    <n v="5.0000000012500001"/>
    <x v="0"/>
    <n v="5"/>
    <x v="31"/>
  </r>
  <r>
    <x v="2"/>
    <x v="92"/>
    <s v="Copa Alejandro Daniel"/>
    <x v="1"/>
    <s v="Dr. Alejandro Daniel Copa Dra. Vanesa Alejandra Bravo AbogadOf 4 Cel. 3886853895  (Consultas online - Mensajes-Whatsapp)"/>
    <x v="91"/>
    <s v="Guia Prof 2 Col - Jujuy"/>
    <x v="1"/>
    <n v="91.737166666666653"/>
    <x v="0"/>
    <x v="33"/>
    <m/>
    <x v="0"/>
    <x v="0"/>
    <n v="2"/>
    <n v="5.0000000012500001"/>
    <x v="0"/>
    <n v="5"/>
    <x v="31"/>
  </r>
  <r>
    <x v="2"/>
    <x v="93"/>
    <s v="Cruz  Joel"/>
    <x v="1"/>
    <s v="Samuel J. Cruz -Joel Hermes Cruz  ABOGADO ESPECIALIDAD EN DEJuev. de 19 a 22Hs. 3885775366-3885884113 Independencia 607."/>
    <x v="92"/>
    <s v="Guia Prof 2 Col - Jujuy"/>
    <x v="1"/>
    <n v="26.210666666666668"/>
    <x v="0"/>
    <x v="33"/>
    <m/>
    <x v="0"/>
    <x v="0"/>
    <n v="2"/>
    <n v="2.0000000005"/>
    <x v="0"/>
    <n v="2"/>
    <x v="28"/>
  </r>
  <r>
    <x v="3"/>
    <x v="94"/>
    <s v="Sepelios San Jose SRL."/>
    <x v="1"/>
    <s v="SEPELIOS SAN JOSE S.R.L. SERVICIOS SOCIALES"/>
    <x v="93"/>
    <s v="Obituario Modulo - Jujuy"/>
    <x v="1"/>
    <n v="287.71099999999996"/>
    <x v="1"/>
    <x v="34"/>
    <m/>
    <x v="0"/>
    <x v="0"/>
    <n v="1"/>
    <n v="6.3217777777777773"/>
    <x v="0"/>
    <n v="6"/>
    <x v="0"/>
  </r>
  <r>
    <x v="3"/>
    <x v="95"/>
    <s v="Gaitan  Gonzalo Luis"/>
    <x v="1"/>
    <s v="+ CARMEN MERCEDES VEGA DE GASPAR &quot;TITINA&quot; Falleció el día 26por su eterno descanso y acompañan a la familia en su dolor."/>
    <x v="94"/>
    <s v="Obituario Modulo - Jujuy"/>
    <x v="1"/>
    <n v="945.34"/>
    <x v="1"/>
    <x v="34"/>
    <m/>
    <x v="0"/>
    <x v="0"/>
    <n v="2"/>
    <n v="6.3217777777777773"/>
    <x v="0"/>
    <n v="6"/>
    <x v="29"/>
  </r>
  <r>
    <x v="3"/>
    <x v="96"/>
    <s v="Secundario Nº 1 Crucero Gral. Belgrano"/>
    <x v="1"/>
    <s v="+ TEVES ARMANDO GUILLERMO Falleció  25 de abril 2021 El colegando elevar una oración para su eterno descanso de su alma."/>
    <x v="95"/>
    <s v="Obituario Modulo - Jujuy"/>
    <x v="1"/>
    <n v="945.34"/>
    <x v="1"/>
    <x v="34"/>
    <m/>
    <x v="0"/>
    <x v="0"/>
    <n v="2"/>
    <n v="6.3217777777777773"/>
    <x v="0"/>
    <n v="6"/>
    <x v="29"/>
  </r>
  <r>
    <x v="3"/>
    <x v="97"/>
    <s v="Werchow Servicios Sociales S.R.L."/>
    <x v="36"/>
    <s v="CARGAR CUENTA DE WERCHOW  MOD 1X3 BYN   +BERTA FELISA RAMOS"/>
    <x v="96"/>
    <s v="Obituario Modulo - Jujuy"/>
    <x v="0"/>
    <n v="507.73"/>
    <x v="0"/>
    <x v="34"/>
    <m/>
    <x v="0"/>
    <x v="0"/>
    <n v="1"/>
    <n v="9.8777777777777782"/>
    <x v="0"/>
    <n v="10"/>
    <x v="10"/>
  </r>
  <r>
    <x v="4"/>
    <x v="98"/>
    <s v="Duran Jorge Rafael"/>
    <x v="37"/>
    <s v="CENTRO VOLKSWAGEN-SUP. AUTOMOTOR"/>
    <x v="97"/>
    <s v="Editorial Comercial - Jujuy"/>
    <x v="0"/>
    <n v="871.56000000000006"/>
    <x v="1"/>
    <x v="20"/>
    <s v="SU"/>
    <x v="14"/>
    <x v="0"/>
    <n v="3"/>
    <n v="9.8777777777777782"/>
    <x v="0"/>
    <n v="10"/>
    <x v="32"/>
  </r>
  <r>
    <x v="4"/>
    <x v="99"/>
    <s v="Gentile Sergio Radames"/>
    <x v="38"/>
    <s v="HAFID"/>
    <x v="98"/>
    <s v="Editorial Comercial - Jujuy"/>
    <x v="0"/>
    <n v="0"/>
    <x v="1"/>
    <x v="20"/>
    <s v="SU"/>
    <x v="15"/>
    <x v="0"/>
    <n v="2"/>
    <n v="6.3217777777777773"/>
    <x v="0"/>
    <n v="6"/>
    <x v="29"/>
  </r>
  <r>
    <x v="4"/>
    <x v="100"/>
    <s v="Escalera Elías Alejandro"/>
    <x v="39"/>
    <s v="CENTRO AUTOMOTOR"/>
    <x v="99"/>
    <s v="Editorial Comercial - Jujuy"/>
    <x v="0"/>
    <n v="0"/>
    <x v="1"/>
    <x v="20"/>
    <s v="SU"/>
    <x v="16"/>
    <x v="0"/>
    <n v="2"/>
    <n v="13.433777777777777"/>
    <x v="0"/>
    <n v="13"/>
    <x v="17"/>
  </r>
  <r>
    <x v="4"/>
    <x v="101"/>
    <s v="Salaberry Alejandro Esteban"/>
    <x v="40"/>
    <s v="LUBRINOR"/>
    <x v="100"/>
    <s v="Editorial Comercial - Jujuy"/>
    <x v="0"/>
    <n v="0"/>
    <x v="1"/>
    <x v="20"/>
    <s v="SU"/>
    <x v="16"/>
    <x v="0"/>
    <n v="3"/>
    <n v="9.8777777777777782"/>
    <x v="0"/>
    <n v="10"/>
    <x v="32"/>
  </r>
  <r>
    <x v="4"/>
    <x v="102"/>
    <s v="EICHENBERGER JULIANA ANDREA"/>
    <x v="41"/>
    <s v="D.F.D REPUESTOS"/>
    <x v="101"/>
    <s v="Editorial Comercial - Jujuy"/>
    <x v="0"/>
    <n v="0"/>
    <x v="1"/>
    <x v="20"/>
    <s v="SU"/>
    <x v="14"/>
    <x v="0"/>
    <n v="2"/>
    <n v="6.3217777777777773"/>
    <x v="0"/>
    <n v="6"/>
    <x v="29"/>
  </r>
  <r>
    <x v="4"/>
    <x v="103"/>
    <s v="Garrido Ahirini Isabel"/>
    <x v="42"/>
    <s v="Xtreme Neumáticos"/>
    <x v="102"/>
    <s v="Editorial Comercial - Jujuy"/>
    <x v="0"/>
    <n v="0"/>
    <x v="1"/>
    <x v="20"/>
    <s v="SU"/>
    <x v="14"/>
    <x v="0"/>
    <n v="2"/>
    <n v="6.3217777777777773"/>
    <x v="0"/>
    <n v="6"/>
    <x v="29"/>
  </r>
  <r>
    <x v="4"/>
    <x v="104"/>
    <s v="Quispe Amante Julio Cesar"/>
    <x v="43"/>
    <s v="El Lobito Repuestos"/>
    <x v="103"/>
    <s v="Editorial Comercial - Jujuy"/>
    <x v="0"/>
    <n v="0"/>
    <x v="1"/>
    <x v="20"/>
    <s v="SU"/>
    <x v="15"/>
    <x v="0"/>
    <n v="2"/>
    <n v="6.3217777777777773"/>
    <x v="0"/>
    <n v="6"/>
    <x v="29"/>
  </r>
  <r>
    <x v="4"/>
    <x v="105"/>
    <s v="Neumatone Srl"/>
    <x v="44"/>
    <s v="Neumatone"/>
    <x v="104"/>
    <s v="Editorial Comercial - Jujuy"/>
    <x v="0"/>
    <n v="0"/>
    <x v="1"/>
    <x v="20"/>
    <s v="SU"/>
    <x v="12"/>
    <x v="0"/>
    <n v="3"/>
    <n v="9.8777777777777782"/>
    <x v="0"/>
    <n v="10"/>
    <x v="32"/>
  </r>
  <r>
    <x v="4"/>
    <x v="106"/>
    <s v="Motonoa S.R.L."/>
    <x v="45"/>
    <s v="Motonoa"/>
    <x v="105"/>
    <s v="Editorial Comercial - Jujuy"/>
    <x v="0"/>
    <n v="0"/>
    <x v="1"/>
    <x v="20"/>
    <s v="SU"/>
    <x v="16"/>
    <x v="0"/>
    <n v="3"/>
    <n v="6.3217777777777773"/>
    <x v="0"/>
    <n v="6"/>
    <x v="33"/>
  </r>
  <r>
    <x v="4"/>
    <x v="107"/>
    <s v="Toyojuy-Chevrojuy S.R.L"/>
    <x v="46"/>
    <s v="Toyojuy-Chevrojuy"/>
    <x v="106"/>
    <s v="Editorial Comercial - Jujuy"/>
    <x v="0"/>
    <n v="0"/>
    <x v="1"/>
    <x v="20"/>
    <s v="SU"/>
    <x v="12"/>
    <x v="0"/>
    <n v="4"/>
    <n v="6.3217777777777773"/>
    <x v="0"/>
    <n v="6"/>
    <x v="34"/>
  </r>
  <r>
    <x v="4"/>
    <x v="108"/>
    <s v="Warnes Repuestos Noa S.A."/>
    <x v="47"/>
    <s v="Warnes Repuestos"/>
    <x v="107"/>
    <s v="Editorial Comercial - Jujuy"/>
    <x v="0"/>
    <n v="0"/>
    <x v="1"/>
    <x v="20"/>
    <s v="SU"/>
    <x v="12"/>
    <x v="0"/>
    <n v="1"/>
    <n v="16.989777777777778"/>
    <x v="0"/>
    <n v="17"/>
    <x v="35"/>
  </r>
  <r>
    <x v="4"/>
    <x v="109"/>
    <s v="ORTEGA JUAN CARLOS"/>
    <x v="48"/>
    <s v="Ortega Automotores"/>
    <x v="108"/>
    <s v="Editorial Comercial - Jujuy"/>
    <x v="0"/>
    <n v="0"/>
    <x v="1"/>
    <x v="20"/>
    <s v="SU"/>
    <x v="15"/>
    <x v="0"/>
    <n v="3"/>
    <n v="13.433777777777777"/>
    <x v="0"/>
    <n v="13"/>
    <x v="23"/>
  </r>
  <r>
    <x v="4"/>
    <x v="110"/>
    <s v="Bejarano Alborta Mario Alvaro"/>
    <x v="49"/>
    <s v="CAR PRO"/>
    <x v="109"/>
    <s v="Editorial Comercial - Jujuy"/>
    <x v="0"/>
    <n v="0"/>
    <x v="1"/>
    <x v="20"/>
    <s v="SU"/>
    <x v="14"/>
    <x v="0"/>
    <n v="3"/>
    <n v="9.8777777777777782"/>
    <x v="0"/>
    <n v="10"/>
    <x v="32"/>
  </r>
  <r>
    <x v="4"/>
    <x v="111"/>
    <s v="Peressin Pablo Marcelo"/>
    <x v="50"/>
    <s v="INDECAR"/>
    <x v="110"/>
    <s v="Editorial Comercial - Jujuy"/>
    <x v="0"/>
    <n v="1936.8"/>
    <x v="1"/>
    <x v="20"/>
    <s v="SU"/>
    <x v="7"/>
    <x v="0"/>
    <n v="5"/>
    <n v="13.433777777777777"/>
    <x v="0"/>
    <n v="13"/>
    <x v="36"/>
  </r>
  <r>
    <x v="4"/>
    <x v="112"/>
    <s v="Melli Automotores S.R.L."/>
    <x v="51"/>
    <s v="MELLI AUTOMOTORES"/>
    <x v="111"/>
    <s v="Editorial Comercial - Jujuy"/>
    <x v="0"/>
    <n v="1936.8"/>
    <x v="1"/>
    <x v="20"/>
    <s v="SU"/>
    <x v="17"/>
    <x v="0"/>
    <n v="5"/>
    <n v="13.433777777777777"/>
    <x v="0"/>
    <n v="13"/>
    <x v="36"/>
  </r>
  <r>
    <x v="5"/>
    <x v="113"/>
    <s v="Cine Teatro Alfa S.R.L."/>
    <x v="52"/>
    <s v="CINE ALFA..."/>
    <x v="112"/>
    <s v="Editorial Comercial - Jujuy"/>
    <x v="2"/>
    <n v="3064.4"/>
    <x v="1"/>
    <x v="19"/>
    <s v="SUDC"/>
    <x v="12"/>
    <x v="0"/>
    <n v="5"/>
    <n v="13.433777777777777"/>
    <x v="0"/>
    <n v="13"/>
    <x v="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15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rowGrandTotals="0" colGrandTotals="0" mergeItem="1" createdVersion="4" indent="0" compact="0" compactData="0" multipleFieldFilters="0" customListSort="0">
  <location ref="A1:L139" firstHeaderRow="1" firstDataRow="1" firstDataCol="11"/>
  <pivotFields count="19">
    <pivotField axis="axisRow" compact="0" outline="0" showAll="0" sortType="descending" defaultSubtotal="0">
      <items count="15">
        <item m="1" x="13"/>
        <item m="1" x="8"/>
        <item m="1" x="7"/>
        <item m="1" x="12"/>
        <item m="1" x="11"/>
        <item m="1" x="10"/>
        <item x="5"/>
        <item m="1" x="14"/>
        <item m="1" x="6"/>
        <item m="1" x="9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7885"/>
        <item m="1" x="1381"/>
        <item m="1" x="5176"/>
        <item m="1" x="127"/>
        <item m="1" x="4179"/>
        <item m="1" x="4152"/>
        <item m="1" x="6037"/>
        <item m="1" x="5685"/>
        <item m="1" x="4302"/>
        <item m="1" x="7606"/>
        <item m="1" x="6340"/>
        <item m="1" x="1581"/>
        <item m="1" x="2817"/>
        <item m="1" x="6904"/>
        <item m="1" x="7128"/>
        <item m="1" x="7856"/>
        <item m="1" x="6647"/>
        <item m="1" x="3304"/>
        <item m="1" x="5356"/>
        <item m="1" x="4755"/>
        <item m="1" x="5402"/>
        <item m="1" x="4892"/>
        <item m="1" x="5052"/>
        <item m="1" x="6153"/>
        <item m="1" x="2476"/>
        <item m="1" x="3010"/>
        <item m="1" x="2777"/>
        <item m="1" x="5199"/>
        <item m="1" x="3997"/>
        <item m="1" x="5678"/>
        <item m="1" x="219"/>
        <item m="1" x="4529"/>
        <item m="1" x="2904"/>
        <item m="1" x="2209"/>
        <item m="1" x="5711"/>
        <item m="1" x="2818"/>
        <item m="1" x="2595"/>
        <item m="1" x="4046"/>
        <item m="1" x="5730"/>
        <item m="1" x="1208"/>
        <item m="1" x="2836"/>
        <item m="1" x="3880"/>
        <item m="1" x="6385"/>
        <item m="1" x="6543"/>
        <item m="1" x="823"/>
        <item m="1" x="6250"/>
        <item m="1" x="3646"/>
        <item m="1" x="6113"/>
        <item m="1" x="347"/>
        <item m="1" x="532"/>
        <item m="1" x="6564"/>
        <item m="1" x="5735"/>
        <item m="1" x="3156"/>
        <item m="1" x="7870"/>
        <item m="1" x="6059"/>
        <item m="1" x="6929"/>
        <item m="1" x="2676"/>
        <item m="1" x="546"/>
        <item m="1" x="169"/>
        <item m="1" x="3610"/>
        <item m="1" x="4985"/>
        <item m="1" x="3783"/>
        <item m="1" x="4754"/>
        <item m="1" x="6180"/>
        <item m="1" x="5592"/>
        <item m="1" x="1320"/>
        <item m="1" x="6895"/>
        <item m="1" x="2411"/>
        <item m="1" x="613"/>
        <item m="1" x="5023"/>
        <item m="1" x="1319"/>
        <item m="1" x="2223"/>
        <item m="1" x="5703"/>
        <item m="1" x="5008"/>
        <item m="1" x="4352"/>
        <item m="1" x="128"/>
        <item m="1" x="1598"/>
        <item m="1" x="5357"/>
        <item m="1" x="6339"/>
        <item m="1" x="4795"/>
        <item m="1" x="3091"/>
        <item m="1" x="7409"/>
        <item m="1" x="1906"/>
        <item m="1" x="1924"/>
        <item m="1" x="1354"/>
        <item m="1" x="2536"/>
        <item m="1" x="7472"/>
        <item m="1" x="395"/>
        <item m="1" x="4163"/>
        <item m="1" x="7373"/>
        <item m="1" x="2084"/>
        <item m="1" x="5839"/>
        <item m="1" x="3318"/>
        <item m="1" x="3281"/>
        <item m="1" x="1930"/>
        <item m="1" x="4610"/>
        <item m="1" x="180"/>
        <item m="1" x="1068"/>
        <item m="1" x="2995"/>
        <item m="1" x="3071"/>
        <item m="1" x="4180"/>
        <item m="1" x="2535"/>
        <item m="1" x="2819"/>
        <item m="1" x="3329"/>
        <item m="1" x="2236"/>
        <item m="1" x="4574"/>
        <item m="1" x="5855"/>
        <item m="1" x="7859"/>
        <item m="1" x="7602"/>
        <item m="1" x="3611"/>
        <item m="1" x="3625"/>
        <item m="1" x="7004"/>
        <item m="1" x="5884"/>
        <item m="1" x="6454"/>
        <item m="1" x="7898"/>
        <item m="1" x="271"/>
        <item m="1" x="6436"/>
        <item m="1" x="6729"/>
        <item m="1" x="3873"/>
        <item m="1" x="1869"/>
        <item m="1" x="4379"/>
        <item m="1" x="5339"/>
        <item m="1" x="883"/>
        <item m="1" x="7799"/>
        <item m="1" x="1459"/>
        <item m="1" x="2005"/>
        <item m="1" x="3647"/>
        <item m="1" x="2429"/>
        <item m="1" x="3962"/>
        <item m="1" x="3768"/>
        <item m="1" x="6346"/>
        <item m="1" x="2045"/>
        <item m="1" x="7509"/>
        <item m="1" x="3682"/>
        <item m="1" x="3833"/>
        <item m="1" x="7974"/>
        <item m="1" x="5820"/>
        <item m="1" x="7219"/>
        <item m="1" x="5856"/>
        <item m="1" x="954"/>
        <item m="1" x="6396"/>
        <item m="1" x="4981"/>
        <item m="1" x="6806"/>
        <item m="1" x="2258"/>
        <item m="1" x="7637"/>
        <item m="1" x="6453"/>
        <item m="1" x="6982"/>
        <item m="1" x="2192"/>
        <item m="1" x="7007"/>
        <item m="1" x="4845"/>
        <item m="1" x="1907"/>
        <item m="1" x="454"/>
        <item m="1" x="7149"/>
        <item m="1" x="5368"/>
        <item m="1" x="3363"/>
        <item m="1" x="6730"/>
        <item m="1" x="7332"/>
        <item m="1" x="1704"/>
        <item m="1" x="188"/>
        <item m="1" x="7006"/>
        <item m="1" x="4996"/>
        <item m="1" x="5358"/>
        <item m="1" x="6661"/>
        <item m="1" x="5060"/>
        <item m="1" x="7732"/>
        <item m="1" x="857"/>
        <item m="1" x="6930"/>
        <item m="1" x="4707"/>
        <item m="1" x="5577"/>
        <item m="1" x="7484"/>
        <item m="1" x="7683"/>
        <item m="1" x="858"/>
        <item m="1" x="1139"/>
        <item m="1" x="3271"/>
        <item m="1" x="6373"/>
        <item m="1" x="4803"/>
        <item m="1" x="6671"/>
        <item m="1" x="6917"/>
        <item m="1" x="896"/>
        <item m="1" x="4742"/>
        <item m="1" x="4616"/>
        <item m="1" x="4496"/>
        <item m="1" x="4385"/>
        <item m="1" x="6690"/>
        <item m="1" x="870"/>
        <item m="1" x="1108"/>
        <item m="1" x="432"/>
        <item m="1" x="686"/>
        <item m="1" x="915"/>
        <item m="1" x="1153"/>
        <item m="1" x="1685"/>
        <item m="1" x="1970"/>
        <item m="1" x="2491"/>
        <item m="1" x="2782"/>
        <item m="1" x="937"/>
        <item m="1" x="1437"/>
        <item m="1" x="1703"/>
        <item m="1" x="2272"/>
        <item m="1" x="2511"/>
        <item m="1" x="3033"/>
        <item m="1" x="3309"/>
        <item m="1" x="6779"/>
        <item m="1" x="7684"/>
        <item m="1" x="6455"/>
        <item m="1" x="6744"/>
        <item m="1" x="6983"/>
        <item m="1" x="7252"/>
        <item m="1" x="7753"/>
        <item m="1" x="7953"/>
        <item m="1" x="396"/>
        <item m="1" x="634"/>
        <item m="1" x="408"/>
        <item m="1" x="704"/>
        <item m="1" x="897"/>
        <item m="1" x="1664"/>
        <item m="1" x="272"/>
        <item m="1" x="687"/>
        <item m="1" x="1455"/>
        <item m="1" x="705"/>
        <item m="1" x="6217"/>
        <item m="1" x="5942"/>
        <item m="1" x="2512"/>
        <item m="1" x="1492"/>
        <item m="1" x="2288"/>
        <item m="1" x="2576"/>
        <item m="1" x="3086"/>
        <item m="1" x="4471"/>
        <item m="1" x="4591"/>
        <item m="1" x="5101"/>
        <item m="1" x="6154"/>
        <item m="1" x="6374"/>
        <item m="1" x="7702"/>
        <item m="1" x="7275"/>
        <item m="1" x="2531"/>
        <item m="1" x="206"/>
        <item m="1" x="1321"/>
        <item m="1" x="673"/>
        <item m="1" x="1140"/>
        <item m="1" x="1743"/>
        <item m="1" x="973"/>
        <item m="1" x="2273"/>
        <item m="1" x="7304"/>
        <item m="1" x="1249"/>
        <item m="1" x="4013"/>
        <item m="1" x="7932"/>
        <item m="1" x="1184"/>
        <item m="1" x="189"/>
        <item m="1" x="7253"/>
        <item m="1" x="1985"/>
        <item m="1" x="6946"/>
        <item m="1" x="7008"/>
        <item m="1" x="1949"/>
        <item m="1" x="2607"/>
        <item m="1" x="2237"/>
        <item m="1" x="2783"/>
        <item m="1" x="6745"/>
        <item m="1" x="446"/>
        <item m="1" x="916"/>
        <item m="1" x="1723"/>
        <item m="1" x="4023"/>
        <item m="1" x="3103"/>
        <item m="1" x="2477"/>
        <item m="1" x="6136"/>
        <item m="1" x="4657"/>
        <item m="1" x="7360"/>
        <item m="1" x="5791"/>
        <item m="1" x="1779"/>
        <item m="1" x="3155"/>
        <item m="1" x="4445"/>
        <item m="1" x="2577"/>
        <item m="1" x="1780"/>
        <item m="1" x="7734"/>
        <item m="1" x="7206"/>
        <item m="1" x="2621"/>
        <item m="1" x="3293"/>
        <item m="1" x="4055"/>
        <item m="1" x="6981"/>
        <item m="1" x="5660"/>
        <item m="1" x="4280"/>
        <item m="1" x="6870"/>
        <item m="1" x="6029"/>
        <item m="1" x="4698"/>
        <item m="1" x="1438"/>
        <item m="1" x="7831"/>
        <item m="1" x="5896"/>
        <item m="1" x="5897"/>
        <item m="1" x="6181"/>
        <item m="1" x="223"/>
        <item m="1" x="2306"/>
        <item m="1" x="6628"/>
        <item m="1" x="814"/>
        <item m="1" x="5009"/>
        <item m="1" x="914"/>
        <item m="1" x="4904"/>
        <item m="1" x="3087"/>
        <item m="1" x="5189"/>
        <item m="1" x="2667"/>
        <item m="1" x="3104"/>
        <item m="1" x="2390"/>
        <item m="1" x="1385"/>
        <item m="1" x="4729"/>
        <item m="1" x="5156"/>
        <item m="1" x="4188"/>
        <item m="1" x="757"/>
        <item m="1" x="4498"/>
        <item m="1" x="2606"/>
        <item m="1" x="6256"/>
        <item m="1" x="1549"/>
        <item m="1" x="612"/>
        <item m="1" x="6014"/>
        <item m="1" x="3381"/>
        <item m="1" x="6489"/>
        <item m="1" x="6871"/>
        <item m="1" x="1418"/>
        <item m="1" x="4784"/>
        <item m="1" x="7655"/>
        <item m="1" x="7903"/>
        <item m="1" x="332"/>
        <item m="1" x="565"/>
        <item m="1" x="869"/>
        <item m="1" x="5554"/>
        <item m="1" x="3415"/>
        <item m="1" x="3635"/>
        <item m="1" x="4042"/>
        <item m="1" x="4668"/>
        <item m="1" x="3860"/>
        <item m="1" x="7628"/>
        <item m="1" x="1511"/>
        <item m="1" x="4054"/>
        <item m="1" x="1000"/>
        <item m="1" x="3846"/>
        <item m="1" x="2592"/>
        <item m="1" x="2912"/>
        <item m="1" x="3471"/>
        <item m="1" x="5216"/>
        <item m="1" x="1566"/>
        <item m="1" x="4306"/>
        <item m="1" x="6951"/>
        <item m="1" x="4281"/>
        <item m="1" x="6314"/>
        <item m="1" x="1969"/>
        <item m="1" x="7315"/>
        <item m="1" x="5934"/>
        <item m="1" x="5100"/>
        <item m="1" x="3433"/>
        <item m="1" x="6520"/>
        <item m="1" x="2923"/>
        <item m="1" x="4103"/>
        <item m="1" x="7767"/>
        <item m="1" x="7412"/>
        <item m="1" x="2361"/>
        <item m="1" x="2622"/>
        <item m="1" x="2969"/>
        <item m="1" x="7956"/>
        <item m="1" x="1280"/>
        <item m="1" x="7155"/>
        <item m="1" x="7772"/>
        <item m="1" x="6963"/>
        <item m="1" x="7468"/>
        <item m="1" x="4269"/>
        <item m="1" x="3167"/>
        <item m="1" x="6046"/>
        <item m="1" x="6297"/>
        <item m="1" x="2076"/>
        <item m="1" x="2347"/>
        <item m="1" x="4699"/>
        <item m="1" x="3678"/>
        <item m="1" x="6887"/>
        <item m="1" x="7392"/>
        <item m="1" x="4682"/>
        <item m="1" x="7861"/>
        <item m="1" x="4097"/>
        <item m="1" x="2631"/>
        <item m="1" x="3931"/>
        <item m="1" x="2163"/>
        <item m="1" x="5279"/>
        <item m="1" x="5767"/>
        <item m="1" x="4326"/>
        <item m="1" x="5725"/>
        <item m="1" x="4282"/>
        <item m="1" x="6315"/>
        <item m="1" x="3186"/>
        <item m="1" x="2874"/>
        <item m="1" x="1827"/>
        <item m="1" x="2179"/>
        <item m="1" x="5441"/>
        <item m="1" x="4758"/>
        <item m="1" x="4499"/>
        <item m="1" x="4730"/>
        <item m="1" x="4746"/>
        <item m="1" x="5190"/>
        <item m="1" x="4056"/>
        <item m="1" x="4216"/>
        <item m="1" x="4126"/>
        <item m="1" x="5977"/>
        <item m="1" x="5489"/>
        <item m="1" x="7441"/>
        <item m="1" x="7026"/>
        <item m="1" x="5843"/>
        <item m="1" x="3692"/>
        <item m="1" x="2632"/>
        <item m="1" x="6108"/>
        <item m="1" x="6164"/>
        <item m="1" x="3714"/>
        <item m="1" x="4770"/>
        <item m="1" x="4999"/>
        <item m="1" x="2669"/>
        <item m="1" x="6015"/>
        <item m="1" x="1025"/>
        <item m="1" x="2670"/>
        <item m="1" x="2935"/>
        <item m="1" x="3187"/>
        <item m="1" x="7029"/>
        <item m="1" x="4088"/>
        <item m="1" x="2956"/>
        <item m="1" x="5293"/>
        <item m="1" x="2725"/>
        <item m="1" x="5526"/>
        <item m="1" x="5827"/>
        <item m="1" x="6674"/>
        <item m="1" x="3446"/>
        <item m="1" x="3505"/>
        <item m="1" x="3736"/>
        <item m="1" x="3861"/>
        <item m="1" x="3142"/>
        <item m="1" x="6298"/>
        <item m="1" x="4522"/>
        <item m="1" x="4771"/>
        <item m="1" x="6658"/>
        <item m="1" x="953"/>
        <item m="1" x="3504"/>
        <item m="1" x="3944"/>
        <item m="1" x="4350"/>
        <item m="1" x="6910"/>
        <item m="1" x="2415"/>
        <item m="1" x="4865"/>
        <item m="1" x="4520"/>
        <item m="1" x="7348"/>
        <item m="1" x="2703"/>
        <item m="1" x="3886"/>
        <item m="1" x="6329"/>
        <item m="1" x="3150"/>
        <item m="1" x="6556"/>
        <item m="1" x="1992"/>
        <item m="1" x="2498"/>
        <item m="1" x="2704"/>
        <item m="1" x="3256"/>
        <item m="1" x="3488"/>
        <item m="1" x="3239"/>
        <item m="1" x="3715"/>
        <item m="1" x="5674"/>
        <item m="1" x="618"/>
        <item m="1" x="7682"/>
        <item m="1" x="7931"/>
        <item m="1" x="357"/>
        <item m="1" x="592"/>
        <item m="1" x="895"/>
        <item m="1" x="5593"/>
        <item m="1" x="3445"/>
        <item m="1" x="3665"/>
        <item m="1" x="4070"/>
        <item m="1" x="4697"/>
        <item m="1" x="3877"/>
        <item m="1" x="7218"/>
        <item m="1" x="5015"/>
        <item m="1" x="3666"/>
        <item m="1" x="3885"/>
        <item m="1" x="3472"/>
        <item m="1" x="3759"/>
        <item m="1" x="4808"/>
        <item m="1" x="5540"/>
        <item m="1" x="7499"/>
        <item m="1" x="3945"/>
        <item m="1" x="2726"/>
        <item m="1" x="5887"/>
        <item m="1" x="2164"/>
        <item m="1" x="2416"/>
        <item m="1" x="2684"/>
        <item m="1" x="2950"/>
        <item m="1" x="2705"/>
        <item m="1" x="3552"/>
        <item m="1" x="4317"/>
        <item m="1" x="5903"/>
        <item m="1" x="6168"/>
        <item m="1" x="4370"/>
        <item m="1" x="3060"/>
        <item m="1" x="3240"/>
        <item m="1" x="5828"/>
        <item m="1" x="2006"/>
        <item m="1" x="6080"/>
        <item m="1" x="4579"/>
        <item m="1" x="1062"/>
        <item m="1" x="4327"/>
        <item m="1" x="6403"/>
        <item m="1" x="4559"/>
        <item m="1" x="5041"/>
        <item m="1" x="5314"/>
        <item m="1" x="7487"/>
        <item m="1" x="3317"/>
        <item m="1" x="3725"/>
        <item m="1" x="472"/>
        <item m="1" x="6937"/>
        <item m="1" x="882"/>
        <item m="1" x="6583"/>
        <item m="1" x="7005"/>
        <item m="1" x="7496"/>
        <item m="1" x="4295"/>
        <item m="1" x="3204"/>
        <item m="1" x="3821"/>
        <item m="1" x="3299"/>
        <item m="1" x="6431"/>
        <item m="1" x="6151"/>
        <item m="1" x="6705"/>
        <item m="1" x="5628"/>
        <item m="1" x="1091"/>
        <item m="1" x="4371"/>
        <item m="1" x="6725"/>
        <item m="1" x="4596"/>
        <item m="1" x="7986"/>
        <item m="1" x="4793"/>
        <item m="1" x="5904"/>
        <item m="1" x="6998"/>
        <item m="1" x="7264"/>
        <item m="1" x="7731"/>
        <item m="1" x="6208"/>
        <item m="1" x="7296"/>
        <item m="1" x="668"/>
        <item m="1" x="3506"/>
        <item m="1" x="6157"/>
        <item m="1" x="187"/>
        <item m="1" x="186"/>
        <item m="1" x="6073"/>
        <item m="1" x="4523"/>
        <item m="1" x="1896"/>
        <item m="1" x="2180"/>
        <item m="1" x="3489"/>
        <item m="1" x="3903"/>
        <item m="1" x="2452"/>
        <item m="1" x="2706"/>
        <item m="1" x="3490"/>
        <item m="1" x="1920"/>
        <item m="1" x="2205"/>
        <item m="1" x="2727"/>
        <item m="1" x="2970"/>
        <item m="1" x="3241"/>
        <item m="1" x="3507"/>
        <item m="1" x="3916"/>
        <item m="1" x="2754"/>
        <item m="1" x="303"/>
        <item m="1" x="4580"/>
        <item m="1" x="5056"/>
        <item m="1" x="7511"/>
        <item m="1" x="3760"/>
        <item m="1" x="7279"/>
        <item m="1" x="2181"/>
        <item m="1" x="2468"/>
        <item m="1" x="2957"/>
        <item m="1" x="1675"/>
        <item m="1" x="2263"/>
        <item m="1" x="619"/>
        <item m="1" x="1525"/>
        <item m="1" x="5315"/>
        <item m="1" x="4387"/>
        <item m="1" x="4895"/>
        <item m="1" x="1215"/>
        <item m="1" x="1090"/>
        <item m="1" x="2627"/>
        <item m="1" x="2482"/>
        <item m="1" x="2356"/>
        <item m="1" x="1754"/>
        <item m="1" x="2724"/>
        <item m="1" x="6184"/>
        <item m="1" x="6459"/>
        <item m="1" x="2966"/>
        <item m="1" x="5353"/>
        <item m="1" x="5972"/>
        <item m="1" x="1102"/>
        <item m="1" x="4521"/>
        <item m="1" x="5071"/>
        <item m="1" x="2269"/>
        <item m="1" x="684"/>
        <item m="1" x="1149"/>
        <item m="1" x="1680"/>
        <item m="1" x="950"/>
        <item m="1" x="7057"/>
        <item m="1" x="4772"/>
        <item m="1" x="7969"/>
        <item m="1" x="3356"/>
        <item m="1" x="6194"/>
        <item m="1" x="964"/>
        <item m="1" x="1737"/>
        <item m="1" x="7311"/>
        <item m="1" x="7447"/>
        <item m="1" x="1118"/>
        <item m="1" x="1008"/>
        <item m="1" x="3739"/>
        <item m="1" x="732"/>
        <item m="1" x="2017"/>
        <item m="1" x="2303"/>
        <item m="1" x="4112"/>
        <item m="1" x="1196"/>
        <item m="1" x="3790"/>
        <item m="1" x="1477"/>
        <item m="1" x="2412"/>
        <item m="1" x="1329"/>
        <item m="1" x="5597"/>
        <item m="1" x="6414"/>
        <item m="1" x="5675"/>
        <item m="1" x="6999"/>
        <item m="1" x="6741"/>
        <item m="1" x="982"/>
        <item m="1" x="3580"/>
        <item m="1" x="7378"/>
        <item m="1" x="4394"/>
        <item m="1" x="441"/>
        <item m="1" x="7101"/>
        <item m="1" x="7473"/>
        <item m="1" x="7918"/>
        <item m="1" x="253"/>
        <item m="1" x="440"/>
        <item m="1" x="4444"/>
        <item m="1" x="3185"/>
        <item m="1" x="476"/>
        <item m="1" x="2586"/>
        <item m="1" x="1717"/>
        <item m="1" x="460"/>
        <item m="1" x="7539"/>
        <item m="1" x="7297"/>
        <item m="1" x="277"/>
        <item m="1" x="378"/>
        <item m="1" x="633"/>
        <item m="1" x="3691"/>
        <item m="1" x="4102"/>
        <item m="1" x="965"/>
        <item m="1" x="2335"/>
        <item m="1" x="5932"/>
        <item m="1" x="733"/>
        <item m="1" x="7944"/>
        <item m="1" x="6813"/>
        <item m="1" x="7053"/>
        <item m="1" x="6621"/>
        <item m="1" x="7265"/>
        <item m="1" x="1116"/>
        <item m="1" x="910"/>
        <item m="1" x="7784"/>
        <item m="1" x="7342"/>
        <item m="1" x="4882"/>
        <item m="1" x="521"/>
        <item m="1" x="3427"/>
        <item m="1" x="4422"/>
        <item m="1" x="992"/>
        <item m="1" x="269"/>
        <item m="1" x="2886"/>
        <item m="1" x="6500"/>
        <item m="1" x="6791"/>
        <item m="1" x="7785"/>
        <item m="1" x="2522"/>
        <item m="1" x="662"/>
        <item m="1" x="718"/>
        <item m="1" x="7361"/>
        <item m="1" x="1182"/>
        <item m="1" x="6627"/>
        <item m="1" x="7568"/>
        <item m="1" x="3894"/>
        <item m="1" x="4835"/>
        <item m="1" x="1506"/>
        <item m="1" x="3542"/>
        <item m="1" x="2441"/>
        <item m="1" x="4191"/>
        <item m="1" x="2107"/>
        <item m="1" x="5962"/>
        <item m="1" x="966"/>
        <item m="1" x="4457"/>
        <item m="1" x="6792"/>
        <item m="1" x="2895"/>
        <item m="1" x="5995"/>
        <item m="1" x="550"/>
        <item m="1" x="782"/>
        <item m="1" x="5726"/>
        <item m="1" x="7087"/>
        <item m="1" x="4268"/>
        <item m="1" x="1738"/>
        <item m="1" x="7815"/>
        <item m="1" x="487"/>
        <item m="1" x="693"/>
        <item m="1" x="6228"/>
        <item m="1" x="4544"/>
        <item m="1" x="5345"/>
        <item m="1" x="6551"/>
        <item m="1" x="767"/>
        <item m="1" x="3573"/>
        <item m="1" x="1237"/>
        <item m="1" x="4144"/>
        <item m="1" x="3442"/>
        <item m="1" x="7054"/>
        <item m="1" x="1510"/>
        <item m="1" x="7550"/>
        <item m="1" x="1147"/>
        <item m="1" x="1012"/>
        <item m="1" x="222"/>
        <item m="1" x="5994"/>
        <item m="1" x="5832"/>
        <item m="1" x="291"/>
        <item m="1" x="1805"/>
        <item m="1" x="7393"/>
        <item m="1" x="7571"/>
        <item m="1" x="7816"/>
        <item m="1" x="2931"/>
        <item m="1" x="3161"/>
        <item m="1" x="3441"/>
        <item m="1" x="7848"/>
        <item m="1" x="768"/>
        <item m="1" x="304"/>
        <item m="1" x="6259"/>
        <item m="1" x="292"/>
        <item m="1" x="1936"/>
        <item m="1" x="2949"/>
        <item m="1" x="5105"/>
        <item m="1" x="5973"/>
        <item m="1" x="1773"/>
        <item m="1" x="783"/>
        <item m="1" x="734"/>
        <item m="1" x="1219"/>
        <item m="1" x="5996"/>
        <item m="1" x="4947"/>
        <item m="1" x="672"/>
        <item m="1" x="3758"/>
        <item m="1" x="4125"/>
        <item m="1" x="4728"/>
        <item m="1" x="991"/>
        <item m="1" x="3807"/>
        <item m="1" x="6764"/>
        <item m="1" x="293"/>
        <item m="1" x="7376"/>
        <item m="1" x="3255"/>
        <item m="1" x="7616"/>
        <item m="1" x="2301"/>
        <item m="1" x="2384"/>
        <item m="1" x="2919"/>
        <item m="1" x="6654"/>
        <item m="1" x="1036"/>
        <item m="1" x="3631"/>
        <item m="1" x="1327"/>
        <item m="1" x="1060"/>
        <item m="1" x="1434"/>
        <item m="1" x="326"/>
        <item m="1" x="1736"/>
        <item m="1" x="1597"/>
        <item m="1" x="1311"/>
        <item m="1" x="1167"/>
        <item m="1" x="2143"/>
        <item m="1" x="807"/>
        <item m="1" x="1880"/>
        <item m="1" x="2861"/>
        <item m="1" x="2701"/>
        <item m="1" x="2317"/>
        <item m="1" x="2862"/>
        <item m="1" x="2702"/>
        <item m="1" x="568"/>
        <item m="1" x="1051"/>
        <item m="1" x="3238"/>
        <item m="1" x="3097"/>
        <item m="1" x="1617"/>
        <item m="1" x="2318"/>
        <item m="1" x="1303"/>
        <item m="1" x="6938"/>
        <item m="1" x="551"/>
        <item m="1" x="2368"/>
        <item m="1" x="2475"/>
        <item m="1" x="784"/>
        <item m="1" x="7649"/>
        <item m="1" x="1052"/>
        <item m="1" x="4349"/>
        <item m="1" x="1838"/>
        <item m="1" x="2654"/>
        <item m="1" x="2136"/>
        <item m="1" x="1254"/>
        <item m="1" x="1272"/>
        <item m="1" x="1032"/>
        <item m="1" x="1640"/>
        <item m="1" x="1376"/>
        <item m="1" x="2241"/>
        <item m="1" x="526"/>
        <item m="1" x="6670"/>
        <item m="1" x="7593"/>
        <item m="1" x="4063"/>
        <item m="1" x="6198"/>
        <item m="1" x="6280"/>
        <item m="1" x="537"/>
        <item m="1" x="2157"/>
        <item m="1" x="6911"/>
        <item m="1" x="1001"/>
        <item m="1" x="5468"/>
        <item m="1" x="318"/>
        <item m="1" x="7632"/>
        <item m="1" x="2224"/>
        <item m="1" x="815"/>
        <item m="1" x="580"/>
        <item m="1" x="6900"/>
        <item m="1" x="4340"/>
        <item m="1" x="7118"/>
        <item m="1" x="6872"/>
        <item m="1" x="584"/>
        <item m="1" x="695"/>
        <item m="1" x="2655"/>
        <item m="1" x="2158"/>
        <item m="1" x="3065"/>
        <item m="1" x="3468"/>
        <item m="1" x="5452"/>
        <item m="1" x="7908"/>
        <item m="1" x="6267"/>
        <item m="1" x="1413"/>
        <item m="1" x="6030"/>
        <item m="1" x="2408"/>
        <item m="1" x="1136"/>
        <item m="1" x="1386"/>
        <item m="1" x="3192"/>
        <item m="1" x="2778"/>
        <item m="1" x="2336"/>
        <item m="1" x="7207"/>
        <item m="1" x="7692"/>
        <item m="1" x="4168"/>
        <item m="1" x="5867"/>
        <item m="1" x="2716"/>
        <item m="1" x="5580"/>
        <item m="1" x="2197"/>
        <item m="1" x="5888"/>
        <item m="1" x="1550"/>
        <item m="1" x="836"/>
        <item m="1" x="4824"/>
        <item m="1" x="5299"/>
        <item m="1" x="5544"/>
        <item m="1" x="6127"/>
        <item m="1" x="2457"/>
        <item m="1" x="500"/>
        <item m="1" x="1885"/>
        <item m="1" x="1094"/>
        <item m="1" x="1350"/>
        <item m="1" x="5652"/>
        <item m="1" x="148"/>
        <item m="1" x="1628"/>
        <item m="1" x="4143"/>
        <item m="1" x="1912"/>
        <item m="1" x="6751"/>
        <item m="1" x="3742"/>
        <item m="1" x="3704"/>
        <item m="1" x="5035"/>
        <item m="1" x="1037"/>
        <item m="1" x="3282"/>
        <item m="1" x="6679"/>
        <item m="1" x="5072"/>
        <item m="1" x="5320"/>
        <item m="1" x="1635"/>
        <item m="1" x="2761"/>
        <item m="1" x="3227"/>
        <item m="1" x="4600"/>
        <item m="1" x="1363"/>
        <item m="1" x="6700"/>
        <item m="1" x="2992"/>
        <item m="1" x="2210"/>
        <item m="1" x="3808"/>
        <item m="1" x="1103"/>
        <item m="1" x="2488"/>
        <item m="1" x="1540"/>
        <item m="1" x="5562"/>
        <item m="1" x="7710"/>
        <item m="1" x="7016"/>
        <item m="1" x="4567"/>
        <item m="1" x="5061"/>
        <item m="1" x="2959"/>
        <item m="1" x="5909"/>
        <item m="1" x="3228"/>
        <item m="1" x="4353"/>
        <item m="1" x="4601"/>
        <item m="1" x="3245"/>
        <item m="1" x="3728"/>
        <item m="1" x="742"/>
        <item m="1" x="1018"/>
        <item m="1" x="1622"/>
        <item m="1" x="1884"/>
        <item m="1" x="2421"/>
        <item m="1" x="2688"/>
        <item m="1" x="3210"/>
        <item m="1" x="3695"/>
        <item m="1" x="2689"/>
        <item m="1" x="4852"/>
        <item m="1" x="5331"/>
        <item m="1" x="5667"/>
        <item m="1" x="2639"/>
        <item m="1" x="5164"/>
        <item m="1" x="3965"/>
        <item m="1" x="4373"/>
        <item m="1" x="3124"/>
        <item m="1" x="3320"/>
        <item m="1" x="4887"/>
        <item m="1" x="5621"/>
        <item m="1" x="5910"/>
        <item m="1" x="6739"/>
        <item m="1" x="3025"/>
        <item m="1" x="1119"/>
        <item m="1" x="6158"/>
        <item m="1" x="5237"/>
        <item m="1" x="5622"/>
        <item m="1" x="6171"/>
        <item m="1" x="7036"/>
        <item m="1" x="3684"/>
        <item m="1" x="2510"/>
        <item m="1" x="5692"/>
        <item m="1" x="1632"/>
        <item m="1" x="3011"/>
        <item m="1" x="573"/>
        <item m="1" x="4888"/>
        <item m="1" x="3749"/>
        <item m="1" x="5059"/>
        <item m="1" x="4185"/>
        <item m="1" x="6766"/>
        <item m="1" x="6498"/>
        <item m="1" x="4602"/>
        <item m="1" x="1755"/>
        <item m="1" x="7261"/>
        <item m="1" x="1563"/>
        <item m="1" x="7623"/>
        <item m="1" x="6441"/>
        <item m="1" x="6740"/>
        <item m="1" x="3543"/>
        <item m="1" x="5699"/>
        <item m="1" x="2525"/>
        <item m="1" x="4514"/>
        <item m="1" x="2807"/>
        <item m="1" x="4372"/>
        <item m="1" x="3261"/>
        <item m="1" x="3751"/>
        <item m="1" x="3357"/>
        <item m="1" x="3337"/>
        <item m="1" x="3321"/>
        <item m="1" x="6807"/>
        <item m="1" x="2270"/>
        <item m="1" x="4208"/>
        <item m="1" x="2762"/>
        <item m="1" x="3283"/>
        <item m="1" x="4398"/>
        <item m="1" x="5623"/>
        <item m="1" x="7156"/>
        <item m="1" x="7394"/>
        <item m="1" x="4664"/>
        <item m="1" x="5073"/>
        <item m="1" x="3012"/>
        <item m="1" x="5600"/>
        <item m="1" x="3305"/>
        <item m="1" x="1061"/>
        <item m="1" x="2831"/>
        <item m="1" x="3558"/>
        <item m="1" x="7095"/>
        <item m="1" x="4159"/>
        <item m="1" x="7722"/>
        <item m="1" x="6835"/>
        <item m="1" x="2304"/>
        <item m="1" x="4389"/>
        <item m="1" x="3791"/>
        <item m="1" x="3990"/>
        <item m="1" x="4220"/>
        <item m="1" x="4931"/>
        <item m="1" x="2780"/>
        <item m="1" x="6304"/>
        <item m="1" x="1456"/>
        <item m="1" x="2967"/>
        <item m="1" x="2302"/>
        <item m="1" x="2792"/>
        <item m="1" x="6784"/>
        <item m="1" x="1996"/>
        <item m="1" x="5908"/>
        <item m="1" x="4209"/>
        <item m="1" x="6897"/>
        <item m="1" x="6525"/>
        <item m="1" x="7308"/>
        <item m="1" x="5624"/>
        <item m="1" x="5911"/>
        <item m="1" x="3824"/>
        <item m="1" x="4397"/>
        <item m="1" x="2250"/>
        <item m="1" x="4583"/>
        <item m="1" x="3322"/>
        <item m="1" x="3823"/>
        <item m="1" x="3358"/>
        <item m="1" x="3991"/>
        <item m="1" x="4262"/>
        <item m="1" x="4399"/>
        <item m="1" x="4623"/>
        <item m="1" x="5092"/>
        <item m="1" x="3809"/>
        <item m="1" x="4004"/>
        <item m="1" x="4409"/>
        <item m="1" x="4691"/>
        <item m="1" x="1792"/>
        <item m="1" x="3323"/>
        <item m="1" x="3761"/>
        <item m="1" x="4249"/>
        <item m="1" x="6188"/>
        <item m="1" x="3750"/>
        <item m="1" x="3575"/>
        <item m="1" x="6767"/>
        <item m="1" x="7762"/>
        <item m="1" x="3067"/>
        <item m="1" x="4233"/>
        <item m="1" x="2842"/>
        <item m="1" x="5686"/>
        <item m="1" x="1073"/>
        <item m="1" x="3393"/>
        <item m="1" x="5375"/>
        <item m="1" x="4635"/>
        <item m="1" x="6526"/>
        <item m="1" x="3066"/>
        <item m="1" x="4207"/>
        <item m="1" x="4636"/>
        <item m="1" x="4867"/>
        <item m="1" x="5349"/>
        <item m="1" x="5599"/>
        <item m="1" x="1966"/>
        <item m="1" x="4603"/>
        <item m="1" x="4637"/>
        <item m="1" x="4868"/>
        <item m="1" x="5111"/>
        <item m="1" x="5736"/>
        <item m="1" x="2566"/>
        <item m="1" x="7125"/>
        <item m="1" x="2554"/>
        <item m="1" x="2752"/>
        <item m="1" x="3517"/>
        <item m="1" x="3098"/>
        <item m="1" x="4232"/>
        <item m="1" x="6918"/>
        <item m="1" x="4647"/>
        <item m="1" x="6205"/>
        <item m="1" x="5200"/>
        <item m="1" x="7922"/>
        <item m="1" x="1700"/>
        <item m="1" x="2896"/>
        <item m="1" x="5947"/>
        <item m="1" x="2320"/>
        <item m="1" x="4235"/>
        <item m="1" x="5742"/>
        <item m="1" x="4250"/>
        <item m="1" x="5647"/>
        <item m="1" x="604"/>
        <item m="1" x="3776"/>
        <item m="1" x="3792"/>
        <item m="1" x="7718"/>
        <item m="1" x="7952"/>
        <item m="1" x="394"/>
        <item m="1" x="1050"/>
        <item m="1" x="1925"/>
        <item m="1" x="2456"/>
        <item m="1" x="2736"/>
        <item m="1" x="2526"/>
        <item m="1" x="4851"/>
        <item m="1" x="2601"/>
        <item m="1" x="7981"/>
        <item m="1" x="4069"/>
        <item m="1" x="6808"/>
        <item m="1" x="5213"/>
        <item m="1" x="182"/>
        <item m="1" x="5091"/>
        <item m="1" x="7324"/>
        <item m="1" x="4424"/>
        <item m="1" x="5581"/>
        <item m="1" x="6633"/>
        <item m="1" x="6026"/>
        <item m="1" x="4264"/>
        <item m="1" x="4649"/>
        <item m="1" x="6093"/>
        <item m="1" x="4665"/>
        <item m="1" x="7080"/>
        <item m="1" x="5426"/>
        <item m="1" x="6008"/>
        <item m="1" x="6585"/>
        <item m="1" x="6310"/>
        <item m="1" x="7827"/>
        <item m="1" x="6565"/>
        <item m="1" x="3632"/>
        <item m="1" x="2663"/>
        <item m="1" x="7650"/>
        <item m="1" x="6511"/>
        <item m="1" x="6765"/>
        <item m="1" x="6921"/>
        <item m="1" x="6350"/>
        <item m="1" x="4723"/>
        <item m="1" x="5718"/>
        <item m="1" x="6204"/>
        <item m="1" x="2093"/>
        <item m="1" x="3118"/>
        <item m="1" x="3841"/>
        <item m="1" x="6290"/>
        <item m="1" x="6599"/>
        <item m="1" x="6836"/>
        <item m="1" x="7886"/>
        <item m="1" x="4463"/>
        <item m="1" x="5720"/>
        <item m="1" x="5194"/>
        <item m="1" x="4265"/>
        <item m="1" x="1220"/>
        <item m="1" x="7191"/>
        <item m="1" x="7873"/>
        <item m="1" x="4722"/>
        <item m="1" x="5149"/>
        <item m="1" x="6567"/>
        <item m="1" x="4962"/>
        <item m="1" x="3188"/>
        <item m="1" x="543"/>
        <item m="1" x="4734"/>
        <item m="1" x="7603"/>
        <item m="1" x="4982"/>
        <item m="1" x="7109"/>
        <item m="1" x="312"/>
        <item m="1" x="139"/>
        <item m="1" x="7141"/>
        <item m="1" x="7576"/>
        <item m="1" x="2110"/>
        <item m="1" x="3205"/>
        <item m="1" x="7379"/>
        <item m="1" x="6335"/>
        <item m="1" x="204"/>
        <item m="1" x="156"/>
        <item m="1" x="587"/>
        <item m="1" x="4456"/>
        <item m="1" x="366"/>
        <item m="1" x="5224"/>
        <item m="1" x="1331"/>
        <item m="1" x="2092"/>
        <item m="1" x="1040"/>
        <item m="1" x="4549"/>
        <item m="1" x="6068"/>
        <item m="1" x="6320"/>
        <item m="1" x="1279"/>
        <item m="1" x="5946"/>
        <item m="1" x="7973"/>
        <item m="1" x="4234"/>
        <item m="1" x="3162"/>
        <item m="1" x="4292"/>
        <item m="1" x="6947"/>
        <item m="1" x="6606"/>
        <item m="1" x="5990"/>
        <item m="1" x="7813"/>
        <item m="1" x="155"/>
        <item m="1" x="3168"/>
        <item m="1" x="1074"/>
        <item m="1" x="1330"/>
        <item m="1" x="1897"/>
        <item m="1" x="2144"/>
        <item m="1" x="1594"/>
        <item m="1" x="7096"/>
        <item m="1" x="7624"/>
        <item m="1" x="6251"/>
        <item m="1" x="5446"/>
        <item m="1" x="1039"/>
        <item m="1" x="1567"/>
        <item m="1" x="2685"/>
        <item m="1" x="7420"/>
        <item m="1" x="1027"/>
        <item m="1" x="4438"/>
        <item m="1" x="7374"/>
        <item m="1" x="7074"/>
        <item m="1" x="5205"/>
        <item m="1" x="7638"/>
        <item m="1" x="2644"/>
        <item m="1" x="3008"/>
        <item m="1" x="7604"/>
        <item m="1" x="7879"/>
        <item m="1" x="1845"/>
        <item m="1" x="5987"/>
        <item m="1" x="842"/>
        <item m="1" x="6845"/>
        <item m="1" x="1965"/>
        <item m="1" x="2487"/>
        <item m="1" x="2779"/>
        <item m="1" x="5948"/>
        <item m="1" x="2567"/>
        <item m="1" x="5206"/>
        <item m="1" x="6309"/>
        <item m="1" x="1369"/>
        <item m="1" x="2656"/>
        <item m="1" x="999"/>
        <item m="1" x="6924"/>
        <item m="1" x="1026"/>
        <item m="1" x="7327"/>
        <item m="1" x="7044"/>
        <item m="1" x="1942"/>
        <item m="1" x="1568"/>
        <item m="1" x="5225"/>
        <item m="1" x="1619"/>
        <item m="1" x="913"/>
        <item m="1" x="3716"/>
        <item m="1" x="5687"/>
        <item m="1" x="6025"/>
        <item m="1" x="7126"/>
        <item m="1" x="1959"/>
        <item m="1" x="2453"/>
        <item m="1" x="125"/>
        <item m="1" x="7176"/>
        <item m="1" x="372"/>
        <item m="1" x="4294"/>
        <item m="1" x="6874"/>
        <item m="1" x="2774"/>
        <item m="1" x="2165"/>
        <item m="1" x="6365"/>
        <item m="1" x="354"/>
        <item m="1" x="6641"/>
        <item m="1" x="5719"/>
        <item m="1" x="7161"/>
        <item m="1" x="4314"/>
        <item m="1" x="6648"/>
        <item m="1" x="663"/>
        <item m="1" x="1394"/>
        <item m="1" x="7880"/>
        <item m="1" x="3698"/>
        <item m="1" x="138"/>
        <item m="1" x="6544"/>
        <item m="1" x="2145"/>
        <item m="1" x="3189"/>
        <item m="1" x="6925"/>
        <item m="1" x="5532"/>
        <item m="1" x="7639"/>
        <item m="1" x="6662"/>
        <item m="1" x="7110"/>
        <item m="1" x="5787"/>
        <item m="1" x="5753"/>
        <item m="1" x="6103"/>
        <item m="1" x="5907"/>
        <item m="1" x="3048"/>
        <item m="1" x="7243"/>
        <item m="1" x="6114"/>
        <item m="1" x="5795"/>
        <item m="1" x="6336"/>
        <item m="1" x="6888"/>
        <item m="1" x="7142"/>
        <item m="1" x="7708"/>
        <item m="1" x="2004"/>
        <item m="1" x="2584"/>
        <item m="1" x="2825"/>
        <item m="1" x="3131"/>
        <item m="1" x="3407"/>
        <item m="1" x="3803"/>
        <item m="1" x="4869"/>
        <item m="1" x="3200"/>
        <item m="1" x="696"/>
        <item m="1" x="1427"/>
        <item m="1" x="140"/>
        <item m="1" x="7693"/>
        <item m="1" x="576"/>
        <item m="1" x="3989"/>
        <item m="1" x="7798"/>
        <item m="1" x="7664"/>
        <item m="1" x="765"/>
        <item m="1" x="621"/>
        <item m="1" x="486"/>
        <item m="1" x="267"/>
        <item m="1" x="574"/>
        <item m="1" x="1470"/>
        <item m="1" x="353"/>
        <item m="1" x="1772"/>
        <item m="1" x="504"/>
        <item m="1" x="766"/>
        <item m="1" x="505"/>
        <item m="1" x="288"/>
        <item m="1" x="177"/>
        <item m="1" x="5184"/>
        <item m="1" x="6608"/>
        <item m="1" x="528"/>
        <item m="1" x="1409"/>
        <item m="1" x="7159"/>
        <item m="1" x="4991"/>
        <item m="1" x="5110"/>
        <item m="1" x="7251"/>
        <item m="1" x="117"/>
        <item m="1" x="6972"/>
        <item m="1" x="6955"/>
        <item m="1" x="7843"/>
        <item m="1" x="6698"/>
        <item m="1" x="7760"/>
        <item m="1" x="3628"/>
        <item m="1" x="6680"/>
        <item m="1" x="6926"/>
        <item m="1" x="7463"/>
        <item m="1" x="7665"/>
        <item m="1" x="157"/>
        <item m="1" x="3257"/>
        <item m="1" x="795"/>
        <item m="1" x="1128"/>
        <item m="1" x="607"/>
        <item m="1" x="1922"/>
        <item m="1" x="1163"/>
        <item m="1" x="2728"/>
        <item m="1" x="2469"/>
        <item m="1" x="1921"/>
        <item m="1" x="3278"/>
        <item m="1" x="5254"/>
        <item m="1" x="5796"/>
        <item m="1" x="6081"/>
        <item m="1" x="6623"/>
        <item m="1" x="5545"/>
        <item m="1" x="5810"/>
        <item m="1" x="5868"/>
        <item m="1" x="7651"/>
        <item m="1" x="7208"/>
        <item m="1" x="383"/>
        <item m="1" x="890"/>
        <item m="1" x="1129"/>
        <item m="1" x="2182"/>
        <item m="1" x="646"/>
        <item m="1" x="2686"/>
        <item m="1" x="6347"/>
        <item m="1" x="5821"/>
        <item m="1" x="2245"/>
        <item m="1" x="1395"/>
        <item m="1" x="6023"/>
        <item m="1" x="4263"/>
        <item m="1" x="5988"/>
        <item m="1" x="6691"/>
        <item m="1" x="6912"/>
        <item m="1" x="6375"/>
        <item m="1" x="5731"/>
        <item m="1" x="7636"/>
        <item m="1" x="3747"/>
        <item m="1" x="6578"/>
        <item m="1" x="1346"/>
        <item m="1" x="849"/>
        <item m="1" x="2698"/>
        <item m="1" x="3085"/>
        <item m="1" x="4721"/>
        <item m="1" x="6067"/>
        <item m="1" x="6557"/>
        <item m="1" x="3711"/>
        <item m="1" x="4336"/>
        <item m="1" x="7483"/>
        <item m="1" x="6060"/>
        <item m="1" x="7652"/>
        <item m="1" x="5238"/>
        <item m="1" x="6024"/>
        <item m="1" x="876"/>
        <item m="1" x="7177"/>
        <item m="1" x="623"/>
        <item m="1" x="7162"/>
        <item m="1" x="162"/>
        <item m="1" x="1995"/>
        <item m="1" x="2524"/>
        <item m="1" x="2806"/>
        <item m="1" x="5989"/>
        <item m="1" x="2602"/>
        <item m="1" x="575"/>
        <item m="1" x="124"/>
        <item m="1" x="1526"/>
        <item m="1" x="4021"/>
        <item m="1" x="6092"/>
        <item m="1" x="1266"/>
        <item m="1" x="6387"/>
        <item m="1" x="664"/>
        <item m="1" x="1232"/>
        <item m="1" x="199"/>
        <item m="1" x="877"/>
        <item m="1" x="4315"/>
        <item m="1" x="235"/>
        <item m="1" x="5019"/>
        <item m="1" x="4482"/>
        <item m="1" x="1647"/>
        <item m="1" x="7193"/>
        <item m="1" x="4812"/>
        <item m="1" x="5596"/>
        <item m="1" x="6075"/>
        <item m="1" x="6731"/>
        <item m="1" x="697"/>
        <item m="1" x="1301"/>
        <item m="1" x="7464"/>
        <item m="1" x="2229"/>
        <item m="1" x="6866"/>
        <item m="1" x="2755"/>
        <item m="1" x="1175"/>
        <item m="1" x="5847"/>
        <item m="1" x="6345"/>
        <item m="1" x="6584"/>
        <item m="1" x="5374"/>
        <item m="1" x="7711"/>
        <item m="1" x="5833"/>
        <item m="1" x="1024"/>
        <item m="1" x="6681"/>
        <item m="1" x="7489"/>
        <item m="1" x="6159"/>
        <item m="1" x="3953"/>
        <item m="1" x="384"/>
        <item m="1" x="7694"/>
        <item m="1" x="4760"/>
        <item m="1" x="6649"/>
        <item m="1" x="559"/>
        <item m="1" x="1445"/>
        <item m="1" x="178"/>
        <item m="1" x="1428"/>
        <item m="1" x="878"/>
        <item m="1" x="4648"/>
        <item m="1" x="647"/>
        <item m="1" x="5766"/>
        <item m="1" x="2775"/>
        <item m="1" x="1130"/>
        <item m="1" x="2499"/>
        <item m="1" x="7449"/>
        <item m="1" x="6128"/>
        <item m="1" x="5869"/>
        <item m="1" x="1686"/>
        <item m="1" x="2099"/>
        <item m="1" x="3300"/>
        <item m="1" x="5646"/>
        <item m="1" x="1005"/>
        <item m="1" x="5965"/>
        <item m="1" x="714"/>
        <item m="1" x="6682"/>
        <item m="1" x="7163"/>
        <item m="1" x="5286"/>
        <item m="1" x="7516"/>
        <item m="1" x="4293"/>
        <item m="1" x="427"/>
        <item m="1" x="393"/>
        <item m="1" x="7233"/>
        <item m="1" x="6123"/>
        <item m="1" x="4321"/>
        <item m="1" x="5300"/>
        <item m="1" x="3044"/>
        <item m="1" x="620"/>
        <item m="1" x="624"/>
        <item m="1" x="3724"/>
        <item m="1" x="5894"/>
        <item m="1" x="4759"/>
        <item m="1" x="5257"/>
        <item m="1" x="1338"/>
        <item m="1" x="2803"/>
        <item m="1" x="6974"/>
        <item m="1" x="1694"/>
        <item m="1" x="1977"/>
        <item m="1" x="1803"/>
        <item m="1" x="3737"/>
        <item m="1" x="6701"/>
        <item m="1" x="7209"/>
        <item m="1" x="6762"/>
        <item m="1" x="373"/>
        <item m="1" x="5285"/>
        <item m="1" x="1401"/>
        <item m="1" x="2014"/>
        <item m="1" x="1446"/>
        <item m="1" x="2036"/>
        <item m="1" x="2565"/>
        <item m="1" x="2628"/>
        <item m="1" x="606"/>
        <item m="1" x="4853"/>
        <item m="1" x="5093"/>
        <item m="1" x="4838"/>
        <item m="1" x="5870"/>
        <item m="1" x="6941"/>
        <item m="1" x="5074"/>
        <item m="1" x="5350"/>
        <item m="1" x="1695"/>
        <item m="1" x="249"/>
        <item m="1" x="473"/>
        <item m="1" x="7964"/>
        <item m="1" x="1131"/>
        <item m="1" x="428"/>
        <item m="1" x="2030"/>
        <item m="1" x="7712"/>
        <item m="1" x="7244"/>
        <item m="1" x="7945"/>
        <item m="1" x="715"/>
        <item m="1" x="1176"/>
        <item m="1" x="2540"/>
        <item m="1" x="665"/>
        <item m="1" x="2858"/>
        <item m="1" x="2508"/>
        <item m="1" x="7517"/>
        <item m="1" x="1648"/>
        <item m="1" x="1788"/>
        <item m="1" x="3352"/>
        <item m="1" x="2265"/>
        <item m="1" x="3335"/>
        <item m="1" x="710"/>
        <item m="1" x="5582"/>
        <item m="1" x="6462"/>
        <item m="1" x="6717"/>
        <item m="1" x="287"/>
        <item m="1" x="679"/>
        <item m="1" x="7387"/>
        <item m="1" x="1190"/>
        <item m="1" x="7828"/>
        <item m="1" x="7225"/>
        <item m="1" x="7490"/>
        <item m="1" x="6993"/>
        <item m="1" x="7724"/>
        <item m="1" x="457"/>
        <item m="1" x="5301"/>
        <item m="1" x="268"/>
        <item m="1" x="6145"/>
        <item m="1" x="5563"/>
        <item m="1" x="6655"/>
        <item m="1" x="6922"/>
        <item m="1" x="7723"/>
        <item m="1" x="5966"/>
        <item m="1" x="827"/>
        <item m="1" x="764"/>
        <item m="1" x="666"/>
        <item m="1" x="1815"/>
        <item m="1" x="6769"/>
        <item m="1" x="6381"/>
        <item m="1" x="201"/>
        <item m="1" x="680"/>
        <item m="1" x="6372"/>
        <item m="1" x="5410"/>
        <item m="1" x="6442"/>
        <item m="1" x="5913"/>
        <item m="1" x="6975"/>
        <item m="1" x="1467"/>
        <item m="1" x="5376"/>
        <item m="1" x="414"/>
        <item m="1" x="2826"/>
        <item m="1" x="906"/>
        <item m="1" x="2298"/>
        <item m="1" x="6825"/>
        <item m="1" x="2105"/>
        <item m="1" x="159"/>
        <item m="1" x="698"/>
        <item m="1" x="3408"/>
        <item m="1" x="2031"/>
        <item m="1" x="4414"/>
        <item m="1" x="796"/>
        <item m="1" x="1854"/>
        <item m="1" x="6957"/>
        <item m="1" x="6810"/>
        <item m="1" x="1483"/>
        <item m="1" x="1724"/>
        <item m="1" x="6718"/>
        <item m="1" x="6692"/>
        <item m="1" x="586"/>
        <item m="1" x="1482"/>
        <item m="1" x="200"/>
        <item m="1" x="1177"/>
        <item m="1" x="6702"/>
        <item m="1" x="6091"/>
        <item m="1" x="3034"/>
        <item m="1" x="2492"/>
        <item m="1" x="290"/>
        <item m="1" x="474"/>
        <item m="1" x="2683"/>
        <item m="1" x="4507"/>
        <item m="1" x="3928"/>
        <item m="1" x="1733"/>
        <item m="1" x="4307"/>
        <item m="1" x="5954"/>
        <item m="1" x="6209"/>
        <item m="1" x="4024"/>
        <item m="1" x="4920"/>
        <item m="1" x="7748"/>
        <item m="1" x="5380"/>
        <item m="1" x="1931"/>
        <item m="1" x="5705"/>
        <item m="1" x="2348"/>
        <item m="1" x="2297"/>
        <item m="1" x="7789"/>
        <item m="1" x="3562"/>
        <item m="1" x="3766"/>
        <item m="1" x="3970"/>
        <item m="1" x="3577"/>
        <item m="1" x="3981"/>
        <item m="1" x="4200"/>
        <item m="1" x="4392"/>
        <item m="1" x="2850"/>
        <item m="1" x="3603"/>
        <item m="1" x="5912"/>
        <item m="1" x="7088"/>
        <item m="1" x="4447"/>
        <item m="1" x="4973"/>
        <item m="1" x="5648"/>
        <item m="1" x="7997"/>
        <item m="1" x="5704"/>
        <item m="1" x="3862"/>
        <item m="1" x="6299"/>
        <item m="1" x="2900"/>
        <item m="1" x="2131"/>
        <item m="1" x="4072"/>
        <item m="1" x="983"/>
        <item m="1" x="503"/>
        <item m="1" x="1971"/>
        <item m="1" x="2391"/>
        <item m="1" x="7138"/>
        <item m="1" x="1512"/>
        <item m="1" x="3125"/>
        <item m="1" x="1224"/>
        <item m="1" x="7421"/>
        <item m="1" x="5332"/>
        <item m="1" x="4532"/>
        <item m="1" x="4807"/>
        <item m="1" x="1502"/>
        <item m="1" x="5411"/>
        <item m="1" x="7775"/>
        <item m="1" x="5744"/>
        <item m="1" x="2623"/>
        <item m="1" x="3416"/>
        <item m="1" x="5745"/>
        <item m="1" x="7536"/>
        <item m="1" x="1225"/>
        <item m="1" x="6768"/>
        <item m="1" x="4283"/>
        <item m="1" x="5469"/>
        <item m="1" x="6634"/>
        <item m="1" x="6883"/>
        <item m="1" x="3867"/>
        <item m="1" x="3434"/>
        <item m="1" x="5786"/>
        <item m="1" x="6422"/>
        <item m="1" x="6476"/>
        <item m="1" x="4296"/>
        <item m="1" x="7017"/>
        <item m="1" x="5862"/>
        <item m="1" x="1769"/>
        <item m="1" x="6848"/>
        <item m="1" x="2171"/>
        <item m="1" x="3636"/>
        <item m="1" x="3679"/>
        <item m="1" x="3126"/>
        <item m="1" x="5470"/>
        <item m="1" x="3617"/>
        <item m="1" x="622"/>
        <item m="1" x="1521"/>
        <item m="1" x="232"/>
        <item m="1" x="1250"/>
        <item m="1" x="4921"/>
        <item m="1" x="6316"/>
        <item m="1" x="6076"/>
        <item m="1" x="3151"/>
        <item m="1" x="4975"/>
        <item m="1" x="4486"/>
        <item m="1" x="2608"/>
        <item m="1" x="5997"/>
        <item m="1" x="7617"/>
        <item m="1" x="7104"/>
        <item m="1" x="1013"/>
        <item m="1" x="7613"/>
        <item m="1" x="2111"/>
        <item m="1" x="1242"/>
        <item m="1" x="789"/>
        <item m="1" x="1811"/>
        <item m="1" x="2393"/>
        <item m="1" x="4974"/>
        <item m="1" x="3143"/>
        <item m="1" x="6592"/>
        <item m="1" x="7119"/>
        <item m="1" x="4747"/>
        <item m="1" x="6809"/>
        <item m="1" x="1898"/>
        <item m="1" x="5768"/>
        <item m="1" x="2645"/>
        <item m="1" x="4113"/>
        <item m="1" x="5217"/>
        <item m="1" x="4748"/>
        <item m="1" x="6969"/>
        <item m="1" x="4524"/>
        <item m="1" x="4763"/>
        <item m="1" x="5232"/>
        <item m="1" x="3699"/>
        <item m="1" x="3667"/>
        <item m="1" x="5746"/>
        <item m="1" x="3637"/>
        <item m="1" x="5792"/>
        <item m="1" x="6593"/>
        <item m="1" x="7508"/>
        <item m="1" x="2007"/>
        <item m="1" x="7170"/>
        <item m="1" x="7823"/>
        <item m="1" x="7990"/>
        <item m="1" x="421"/>
        <item m="1" x="645"/>
        <item m="1" x="3585"/>
        <item m="1" x="3798"/>
        <item m="1" x="3995"/>
        <item m="1" x="3602"/>
        <item m="1" x="4009"/>
        <item m="1" x="4225"/>
        <item m="1" x="4415"/>
        <item m="1" x="2887"/>
        <item m="1" x="2362"/>
        <item m="1" x="4145"/>
        <item m="1" x="4992"/>
        <item m="1" x="7977"/>
        <item m="1" x="1541"/>
        <item m="1" x="1801"/>
        <item m="1" x="3170"/>
        <item m="1" x="2671"/>
        <item m="1" x="2259"/>
        <item m="1" x="6096"/>
        <item m="1" x="5769"/>
        <item m="1" x="6109"/>
        <item m="1" x="5490"/>
        <item m="1" x="4127"/>
        <item m="1" x="6330"/>
        <item m="1" x="6404"/>
        <item m="1" x="5364"/>
        <item m="1" x="923"/>
        <item m="1" x="2971"/>
        <item m="1" x="6097"/>
        <item m="1" x="3904"/>
        <item m="1" x="7171"/>
        <item m="1" x="7203"/>
        <item m="1" x="4104"/>
        <item m="1" x="2958"/>
        <item m="1" x="3541"/>
        <item m="1" x="2372"/>
        <item m="1" x="5819"/>
        <item m="1" x="6452"/>
        <item m="1" x="5435"/>
        <item m="1" x="6512"/>
        <item m="1" x="6617"/>
        <item m="1" x="3868"/>
        <item m="1" x="4073"/>
        <item m="1" x="2436"/>
        <item m="1" x="2936"/>
        <item m="1" x="4089"/>
        <item m="1" x="4297"/>
        <item m="1" x="4487"/>
        <item m="1" x="5218"/>
        <item m="1" x="5453"/>
        <item m="1" x="1041"/>
        <item m="1" x="1296"/>
        <item m="1" x="1828"/>
        <item m="1" x="2112"/>
        <item m="1" x="2633"/>
        <item m="1" x="2913"/>
        <item m="1" x="1313"/>
        <item m="1" x="1620"/>
        <item m="1" x="1846"/>
        <item m="1" x="4308"/>
        <item m="1" x="4500"/>
        <item m="1" x="3225"/>
        <item m="1" x="3508"/>
        <item m="1" x="7049"/>
        <item m="1" x="5541"/>
        <item m="1" x="1836"/>
        <item m="1" x="6659"/>
        <item m="1" x="3668"/>
        <item m="1" x="3447"/>
        <item m="1" x="4328"/>
        <item m="1" x="7961"/>
        <item m="1" x="7844"/>
        <item m="1" x="2289"/>
        <item m="1" x="6382"/>
        <item m="1" x="3700"/>
        <item m="1" x="7659"/>
        <item m="1" x="2124"/>
        <item m="1" x="2646"/>
        <item m="1" x="1847"/>
        <item m="1" x="286"/>
        <item m="1" x="1286"/>
        <item m="1" x="4959"/>
        <item m="1" x="7172"/>
        <item m="1" x="4169"/>
        <item m="1" x="4105"/>
        <item m="1" x="4535"/>
        <item m="1" x="5844"/>
        <item m="1" x="3463"/>
        <item m="1" x="2166"/>
        <item m="1" x="894"/>
        <item m="1" x="1870"/>
        <item m="1" x="5028"/>
        <item m="1" x="1396"/>
        <item m="1" x="7239"/>
        <item m="1" x="7675"/>
        <item m="1" x="4341"/>
        <item m="1" x="4167"/>
        <item m="1" x="1402"/>
        <item m="1" x="5436"/>
        <item m="1" x="1908"/>
        <item m="1" x="3738"/>
        <item m="1" x="5233"/>
        <item m="1" x="3473"/>
        <item m="1" x="3917"/>
        <item m="1" x="4993"/>
        <item m="1" x="5219"/>
        <item m="1" x="5454"/>
        <item m="1" x="3509"/>
        <item m="1" x="3169"/>
        <item m="1" x="4395"/>
        <item m="1" x="4581"/>
        <item m="1" x="7280"/>
        <item m="1" x="5527"/>
        <item m="1" x="4773"/>
        <item m="1" x="3918"/>
        <item m="1" x="6098"/>
        <item m="1" x="2146"/>
        <item m="1" x="3905"/>
        <item m="1" x="3521"/>
        <item m="1" x="3553"/>
        <item m="1" x="1572"/>
        <item m="1" x="2972"/>
        <item m="1" x="3242"/>
        <item m="1" x="5029"/>
        <item m="1" x="7740"/>
        <item m="1" x="2812"/>
        <item m="1" x="4106"/>
        <item m="1" x="7452"/>
        <item m="1" x="6837"/>
        <item m="1" x="6141"/>
        <item m="1" x="4128"/>
        <item m="1" x="3717"/>
        <item m="1" x="3258"/>
        <item m="1" x="7222"/>
        <item m="1" x="1948"/>
        <item m="1" x="1950"/>
        <item m="1" x="617"/>
        <item m="1" x="2222"/>
        <item m="1" x="4458"/>
        <item m="1" x="4646"/>
        <item m="1" x="3774"/>
        <item m="1" x="247"/>
        <item m="1" x="4388"/>
        <item m="1" x="420"/>
        <item m="1" x="7319"/>
        <item m="1" x="4560"/>
        <item m="1" x="4547"/>
        <item m="1" x="2756"/>
        <item m="1" x="548"/>
        <item m="1" x="5088"/>
        <item m="1" x="678"/>
        <item m="1" x="4043"/>
        <item m="1" x="4446"/>
        <item m="1" x="2392"/>
        <item m="1" x="4822"/>
        <item m="1" x="3570"/>
        <item m="1" x="4193"/>
        <item m="1" x="7950"/>
        <item m="1" x="5588"/>
        <item m="1" x="2474"/>
        <item m="1" x="7970"/>
        <item m="1" x="2668"/>
        <item m="1" x="3701"/>
        <item m="1" x="7266"/>
        <item m="1" x="654"/>
        <item m="1" x="6944"/>
        <item m="1" x="3797"/>
        <item m="1" x="4361"/>
        <item m="1" x="4597"/>
        <item m="1" x="6169"/>
        <item m="1" x="3301"/>
        <item m="1" x="7298"/>
        <item m="1" x="1399"/>
        <item m="1" x="7216"/>
        <item m="1" x="6726"/>
        <item m="1" x="5390"/>
        <item m="1" x="2994"/>
        <item m="1" x="5560"/>
        <item m="1" x="4546"/>
        <item m="1" x="1944"/>
        <item m="1" x="4158"/>
        <item m="1" x="7530"/>
        <item m="1" x="2037"/>
        <item m="1" x="5854"/>
        <item m="1" x="6488"/>
        <item m="1" x="5464"/>
        <item m="1" x="6545"/>
        <item m="1" x="7081"/>
        <item m="1" x="3524"/>
        <item m="1" x="4669"/>
        <item m="1" x="3546"/>
        <item m="1" x="2271"/>
        <item m="1" x="4655"/>
        <item m="1" x="5098"/>
        <item m="1" x="5550"/>
        <item m="1" x="1718"/>
        <item m="1" x="2546"/>
        <item m="1" x="1322"/>
        <item m="1" x="7240"/>
        <item m="1" x="5534"/>
        <item m="1" x="6742"/>
        <item m="1" x="6979"/>
        <item m="1" x="3936"/>
        <item m="1" x="4391"/>
        <item m="1" x="6960"/>
        <item m="1" x="6862"/>
        <item m="1" x="7267"/>
        <item m="1" x="236"/>
        <item m="1" x="7268"/>
        <item m="1" x="5319"/>
        <item m="1" x="4218"/>
        <item m="1" x="5352"/>
        <item m="1" x="3206"/>
        <item m="1" x="4183"/>
        <item m="1" x="7312"/>
        <item m="1" x="7971"/>
        <item m="1" x="7323"/>
        <item m="1" x="270"/>
        <item m="1" x="6415"/>
        <item m="1" x="6706"/>
        <item m="1" x="5764"/>
        <item m="1" x="7055"/>
        <item m="1" x="7328"/>
        <item m="1" x="442"/>
        <item m="1" x="700"/>
        <item m="1" x="4566"/>
        <item m="1" x="7800"/>
        <item m="1" x="461"/>
        <item m="1" x="719"/>
        <item m="1" x="1387"/>
        <item m="1" x="6199"/>
        <item m="1" x="932"/>
        <item m="1" x="4783"/>
        <item m="1" x="5465"/>
        <item m="1" x="6482"/>
        <item m="1" x="1657"/>
        <item m="1" x="2805"/>
        <item m="1" x="994"/>
        <item m="1" x="1197"/>
        <item m="1" x="1471"/>
        <item m="1" x="7832"/>
        <item m="1" x="294"/>
        <item m="1" x="751"/>
        <item m="1" x="979"/>
        <item m="1" x="1436"/>
        <item m="1" x="1856"/>
        <item m="1" x="1919"/>
        <item m="1" x="6614"/>
        <item m="1" x="1274"/>
        <item m="1" x="1806"/>
        <item m="1" x="713"/>
        <item m="1" x="4071"/>
        <item m="1" x="4478"/>
        <item m="1" x="2417"/>
        <item m="1" x="1451"/>
        <item m="1" x="2505"/>
        <item m="1" x="7549"/>
        <item m="1" x="980"/>
        <item m="1" x="1756"/>
        <item m="1" x="6793"/>
        <item m="1" x="1019"/>
        <item m="1" x="1238"/>
        <item m="1" x="1507"/>
        <item m="1" x="7862"/>
        <item m="1" x="6448"/>
        <item m="1" x="7562"/>
        <item m="1" x="6234"/>
        <item m="1" x="5607"/>
        <item m="1" x="6502"/>
        <item m="1" x="7343"/>
        <item m="1" x="6814"/>
        <item m="1" x="5427"/>
        <item m="1" x="5231"/>
        <item m="1" x="6501"/>
        <item m="1" x="4247"/>
        <item m="1" x="1984"/>
        <item m="1" x="7801"/>
        <item m="1" x="1221"/>
        <item m="1" x="1053"/>
        <item m="1" x="1273"/>
        <item m="1" x="1544"/>
        <item m="1" x="7892"/>
        <item m="1" x="1839"/>
        <item m="1" x="2120"/>
        <item m="1" x="2553"/>
        <item m="1" x="7351"/>
        <item m="1" x="4205"/>
        <item m="1" x="1472"/>
        <item m="1" x="5629"/>
        <item m="1" x="5895"/>
        <item m="1" x="6519"/>
        <item m="1" x="5499"/>
        <item m="1" x="6586"/>
        <item m="1" x="488"/>
        <item m="1" x="752"/>
        <item m="1" x="7115"/>
        <item m="1" x="1528"/>
        <item m="1" x="2509"/>
        <item m="1" x="1556"/>
        <item m="1" x="7039"/>
        <item m="1" x="2789"/>
        <item m="1" x="1085"/>
        <item m="1" x="1304"/>
        <item m="1" x="6177"/>
        <item m="1" x="462"/>
        <item m="1" x="786"/>
        <item m="1" x="7395"/>
        <item m="1" x="7633"/>
        <item m="1" x="1452"/>
        <item m="1" x="2018"/>
        <item m="1" x="7810"/>
        <item m="1" x="7563"/>
        <item m="1" x="2603"/>
        <item m="1" x="1355"/>
        <item m="1" x="7105"/>
        <item m="1" x="933"/>
        <item m="1" x="7587"/>
        <item m="1" x="3032"/>
        <item m="1" x="489"/>
        <item m="1" x="7540"/>
        <item m="1" x="7817"/>
        <item m="1" x="6795"/>
        <item m="1" x="5655"/>
        <item m="1" x="7022"/>
        <item m="1" x="1641"/>
        <item m="1" x="7978"/>
        <item m="1" x="1997"/>
        <item m="1" x="770"/>
        <item m="1" x="816"/>
        <item m="1" x="7362"/>
        <item m="1" x="7396"/>
        <item m="1" x="2073"/>
        <item m="1" x="278"/>
        <item m="1" x="7299"/>
        <item m="1" x="443"/>
        <item m="1" x="1529"/>
        <item m="1" x="7750"/>
        <item m="1" x="5653"/>
        <item m="1" x="735"/>
        <item m="1" x="7413"/>
        <item m="1" x="6842"/>
        <item m="1" x="7157"/>
        <item m="1" x="2587"/>
        <item m="1" x="2863"/>
        <item m="1" x="3099"/>
        <item m="1" x="1255"/>
        <item m="1" x="6483"/>
        <item m="1" x="7021"/>
        <item m="1" x="7786"/>
        <item m="1" x="1289"/>
        <item m="1" x="2385"/>
        <item m="1" x="2619"/>
        <item m="1" x="5676"/>
        <item m="1" x="7551"/>
        <item m="1" x="968"/>
        <item m="1" x="477"/>
        <item m="1" x="6225"/>
        <item m="1" x="6794"/>
        <item m="1" x="523"/>
        <item m="1" x="7849"/>
        <item m="1" x="7701"/>
        <item m="1" x="2059"/>
        <item m="1" x="320"/>
        <item m="1" x="1668"/>
        <item m="1" x="837"/>
        <item m="1" x="3137"/>
        <item m="1" x="5747"/>
        <item m="1" x="5974"/>
        <item m="1" x="6531"/>
        <item m="1" x="5313"/>
        <item m="1" x="1545"/>
        <item m="1" x="3148"/>
        <item m="1" x="6855"/>
        <item m="1" x="7229"/>
        <item m="1" x="295"/>
        <item m="1" x="1775"/>
        <item m="1" x="2897"/>
        <item m="1" x="967"/>
        <item m="1" x="4683"/>
        <item m="1" x="5141"/>
        <item m="1" x="5654"/>
        <item m="1" x="5955"/>
        <item m="1" x="3428"/>
        <item m="1" x="1618"/>
        <item m="1" x="6210"/>
        <item m="1" x="279"/>
        <item m="1" x="5171"/>
        <item m="1" x="2473"/>
        <item m="1" x="4230"/>
        <item m="1" x="1530"/>
        <item m="1" x="5220"/>
        <item m="1" x="3961"/>
        <item m="1" x="7874"/>
        <item m="1" x="1590"/>
        <item m="1" x="7398"/>
        <item m="1" x="478"/>
        <item m="1" x="887"/>
        <item m="1" x="569"/>
        <item m="1" x="829"/>
        <item m="1" x="1576"/>
        <item m="1" x="7510"/>
        <item m="1" x="1487"/>
        <item m="1" x="2321"/>
        <item m="1" x="2568"/>
        <item m="1" x="769"/>
        <item m="1" x="993"/>
        <item m="1" x="7397"/>
        <item m="1" x="1557"/>
        <item m="1" x="337"/>
        <item m="1" x="1305"/>
        <item m="1" x="787"/>
        <item m="1" x="2094"/>
        <item m="1" x="1821"/>
        <item m="1" x="2657"/>
        <item m="1" x="749"/>
        <item m="1" x="2520"/>
        <item m="1" x="6774"/>
        <item m="1" x="5157"/>
        <item m="1" x="6226"/>
        <item m="1" x="6503"/>
        <item m="1" x="7313"/>
        <item m="1" x="6261"/>
        <item m="1" x="7833"/>
        <item m="1" x="296"/>
        <item m="1" x="7894"/>
        <item m="1" x="321"/>
        <item m="1" x="4367"/>
        <item m="1" x="7909"/>
        <item m="1" x="6262"/>
        <item m="1" x="6573"/>
        <item m="1" x="6843"/>
        <item m="1" x="5998"/>
        <item m="1" x="7547"/>
        <item m="1" x="924"/>
        <item m="1" x="850"/>
        <item m="1" x="7620"/>
        <item m="1" x="553"/>
        <item m="1" x="322"/>
        <item m="1" x="7895"/>
        <item m="1" x="817"/>
        <item m="1" x="5829"/>
        <item m="1" x="801"/>
        <item m="1" x="802"/>
        <item m="1" x="1776"/>
        <item m="1" x="554"/>
        <item m="1" x="6923"/>
        <item m="1" x="7120"/>
        <item m="1" x="3233"/>
        <item m="1" x="3469"/>
        <item m="1" x="4700"/>
        <item m="1" x="5172"/>
        <item m="1" x="5807"/>
        <item m="1" x="5770"/>
        <item m="1" x="507"/>
        <item m="1" x="5261"/>
        <item m="1" x="2920"/>
        <item m="1" x="323"/>
        <item m="1" x="7733"/>
        <item m="1" x="3583"/>
        <item m="1" x="956"/>
        <item m="1" x="639"/>
        <item m="1" x="875"/>
        <item m="1" x="134"/>
        <item m="1" x="5748"/>
        <item m="1" x="1575"/>
        <item m="1" x="1774"/>
        <item m="1" x="838"/>
        <item m="1" x="5905"/>
        <item m="1" x="830"/>
        <item m="1" x="524"/>
        <item m="1" x="1021"/>
        <item m="1" x="839"/>
        <item m="1" x="426"/>
        <item m="1" x="640"/>
        <item m="1" x="3661"/>
        <item m="1" x="161"/>
        <item m="1" x="6555"/>
        <item m="1" x="5537"/>
        <item m="1" x="522"/>
        <item m="1" x="785"/>
        <item m="1" x="1256"/>
        <item m="1" x="2095"/>
        <item m="1" x="2360"/>
        <item m="1" x="6516"/>
        <item m="1" x="6815"/>
        <item m="1" x="7910"/>
        <item m="1" x="7911"/>
        <item m="1" x="1009"/>
        <item m="1" x="1257"/>
        <item m="1" x="3164"/>
        <item m="1" x="6281"/>
        <item m="1" x="6856"/>
        <item m="1" x="7442"/>
        <item m="1" x="3722"/>
        <item m="1" x="4774"/>
        <item m="1" x="5250"/>
        <item m="1" x="6110"/>
        <item m="1" x="5808"/>
        <item m="1" x="4275"/>
        <item m="1" x="5525"/>
        <item m="1" x="1555"/>
        <item m="1" x="6260"/>
        <item m="1" x="6344"/>
        <item m="1" x="1822"/>
        <item m="1" x="4970"/>
        <item m="1" x="7937"/>
        <item m="1" x="5749"/>
        <item m="1" x="6885"/>
        <item m="1" x="3177"/>
        <item m="1" x="675"/>
        <item m="1" x="902"/>
        <item m="1" x="1508"/>
        <item m="1" x="6952"/>
        <item m="1" x="7192"/>
        <item m="1" x="7458"/>
        <item m="1" x="2290"/>
        <item m="1" x="7920"/>
        <item m="1" x="254"/>
        <item m="1" x="863"/>
        <item m="1" x="851"/>
        <item m="1" x="7875"/>
        <item m="1" x="5203"/>
        <item m="1" x="6302"/>
        <item m="1" x="7106"/>
        <item m="1" x="7121"/>
        <item m="1" x="1010"/>
        <item m="1" x="1056"/>
        <item m="1" x="7860"/>
        <item m="1" x="7779"/>
        <item m="1" x="455"/>
        <item m="1" x="361"/>
        <item m="1" x="7137"/>
        <item m="1" x="6990"/>
        <item m="1" x="1362"/>
        <item m="1" x="7525"/>
        <item m="1" x="694"/>
        <item m="1" x="348"/>
        <item m="1" x="231"/>
        <item m="1" x="535"/>
        <item m="1" x="579"/>
        <item m="1" x="1480"/>
        <item m="1" x="7657"/>
        <item m="1" x="471"/>
        <item m="1" x="2137"/>
        <item m="1" x="2658"/>
        <item m="1" x="7907"/>
        <item m="1" x="3314"/>
        <item m="1" x="315"/>
        <item m="1" x="7281"/>
        <item m="1" x="6574"/>
        <item m="1" x="7619"/>
        <item m="1" x="6057"/>
        <item m="1" x="7564"/>
        <item m="1" x="7957"/>
        <item m="1" x="3697"/>
        <item m="1" x="5842"/>
        <item m="1" x="2945"/>
        <item m="1" x="3234"/>
        <item m="1" x="1636"/>
        <item m="1" x="7223"/>
        <item m="1" x="7488"/>
        <item m="1" x="1901"/>
        <item m="1" x="2187"/>
        <item m="1" x="1318"/>
        <item m="1" x="1582"/>
        <item m="1" x="2737"/>
        <item m="1" x="3494"/>
        <item m="1" x="2431"/>
        <item m="1" x="3908"/>
        <item m="1" x="2518"/>
        <item m="1" x="538"/>
        <item m="1" x="7148"/>
        <item m="1" x="7994"/>
        <item m="1" x="2402"/>
        <item m="1" x="2659"/>
        <item m="1" x="3263"/>
        <item m="1" x="3163"/>
        <item m="1" x="6333"/>
        <item m="1" x="7258"/>
        <item m="1" x="7512"/>
        <item m="1" x="4033"/>
        <item m="1" x="4530"/>
        <item m="1" x="5583"/>
        <item m="1" x="255"/>
        <item m="1" x="1609"/>
        <item m="1" x="1807"/>
        <item m="1" x="1793"/>
        <item m="1" x="2853"/>
        <item m="1" x="2808"/>
        <item m="1" x="6172"/>
        <item m="1" x="995"/>
        <item m="1" x="5512"/>
        <item m="1" x="5043"/>
        <item m="1" x="5268"/>
        <item m="1" x="3743"/>
        <item m="1" x="4780"/>
        <item m="1" x="4363"/>
        <item m="1" x="3545"/>
        <item m="1" x="4796"/>
        <item m="1" x="2422"/>
        <item m="1" x="2843"/>
        <item m="1" x="5123"/>
        <item m="1" x="5848"/>
        <item m="1" x="143"/>
        <item m="1" x="3211"/>
        <item m="1" x="3264"/>
        <item m="1" x="7306"/>
        <item m="1" x="7534"/>
        <item m="1" x="3284"/>
        <item m="1" x="3285"/>
        <item m="1" x="3762"/>
        <item m="1" x="5849"/>
        <item m="1" x="3178"/>
        <item m="1" x="3176"/>
        <item m="1" x="2547"/>
        <item m="1" x="4797"/>
        <item m="1" x="7787"/>
        <item m="1" x="2188"/>
        <item m="1" x="6530"/>
        <item m="1" x="6301"/>
        <item m="1" x="7863"/>
        <item m="1" x="2882"/>
        <item m="1" x="3193"/>
        <item m="1" x="7646"/>
        <item m="1" x="1081"/>
        <item m="1" x="451"/>
        <item m="1" x="3324"/>
        <item m="1" x="1120"/>
        <item m="1" x="2251"/>
        <item m="1" x="2489"/>
        <item m="1" x="1351"/>
        <item m="1" x="1652"/>
        <item m="1" x="1681"/>
        <item m="1" x="2470"/>
        <item m="1" x="2232"/>
        <item m="1" x="7448"/>
        <item m="1" x="4210"/>
        <item m="1" x="5302"/>
        <item m="1" x="3265"/>
        <item m="1" x="3495"/>
        <item m="1" x="4172"/>
        <item m="1" x="5294"/>
        <item m="1" x="1967"/>
        <item m="1" x="1589"/>
        <item m="1" x="2191"/>
        <item m="1" x="7773"/>
        <item m="1" x="4585"/>
        <item m="1" x="5967"/>
        <item m="1" x="5649"/>
        <item m="1" x="1642"/>
        <item m="1" x="1840"/>
        <item m="1" x="3371"/>
        <item m="1" x="629"/>
        <item m="1" x="3013"/>
        <item m="1" x="7478"/>
        <item m="1" x="5871"/>
        <item m="1" x="2233"/>
        <item m="1" x="119"/>
        <item m="1" x="305"/>
        <item m="1" x="1290"/>
        <item m="1" x="2121"/>
        <item m="1" x="6552"/>
        <item m="1" x="4584"/>
        <item m="1" x="2709"/>
        <item m="1" x="4186"/>
        <item m="1" x="2735"/>
        <item m="1" x="7586"/>
        <item m="1" x="2594"/>
        <item m="1" x="2439"/>
        <item m="1" x="4825"/>
        <item m="1" x="4425"/>
        <item m="1" x="4625"/>
        <item m="1" x="4839"/>
        <item m="1" x="2284"/>
        <item m="1" x="3014"/>
        <item m="1" x="6039"/>
        <item m="1" x="3825"/>
        <item m="1" x="4679"/>
        <item m="1" x="2717"/>
        <item m="1" x="2993"/>
        <item m="1" x="6300"/>
        <item m="1" x="3644"/>
        <item m="1" x="4211"/>
        <item m="1" x="3777"/>
        <item m="1" x="2794"/>
        <item m="1" x="2844"/>
        <item m="1" x="3875"/>
        <item m="1" x="4918"/>
        <item m="1" x="1669"/>
        <item m="1" x="1820"/>
        <item m="1" x="3793"/>
        <item m="1" x="1902"/>
        <item m="1" x="1020"/>
        <item m="1" x="1055"/>
        <item m="1" x="2763"/>
        <item m="1" x="7676"/>
        <item m="1" x="3763"/>
        <item m="1" x="3729"/>
        <item m="1" x="3338"/>
        <item m="1" x="3307"/>
        <item m="1" x="7154"/>
        <item m="1" x="1874"/>
        <item m="1" x="3220"/>
        <item m="1" x="3325"/>
        <item m="1" x="4692"/>
        <item m="1" x="4604"/>
        <item m="1" x="6909"/>
        <item m="1" x="3339"/>
        <item m="1" x="7846"/>
        <item m="1" x="7709"/>
        <item m="1" x="800"/>
        <item m="1" x="780"/>
        <item m="1" x="3266"/>
        <item m="1" x="412"/>
        <item m="1" x="198"/>
        <item m="1" x="781"/>
        <item m="1" x="1127"/>
        <item m="1" x="3199"/>
        <item m="1" x="2929"/>
        <item m="1" x="1659"/>
        <item m="1" x="2548"/>
        <item m="1" x="4480"/>
        <item m="1" x="4364"/>
        <item m="1" x="4173"/>
        <item m="1" x="4870"/>
        <item m="1" x="6572"/>
        <item m="1" x="6332"/>
        <item m="1" x="7893"/>
        <item m="1" x="2908"/>
        <item m="1" x="3229"/>
        <item m="1" x="3719"/>
        <item m="1" x="3794"/>
        <item m="1" x="2833"/>
        <item m="1" x="1045"/>
        <item m="1" x="2252"/>
        <item m="1" x="2569"/>
        <item m="1" x="4221"/>
        <item m="1" x="4410"/>
        <item m="1" x="3359"/>
        <item m="1" x="4084"/>
        <item m="1" x="4650"/>
        <item m="1" x="5391"/>
        <item m="1" x="1719"/>
        <item m="1" x="3049"/>
        <item m="1" x="5135"/>
        <item m="1" x="5136"/>
        <item m="1" x="5165"/>
        <item m="1" x="1629"/>
        <item m="1" x="4131"/>
        <item m="1" x="3992"/>
        <item m="1" x="3810"/>
        <item m="1" x="7807"/>
        <item m="1" x="2834"/>
        <item m="1" x="3778"/>
        <item m="1" x="1818"/>
        <item m="1" x="5428"/>
        <item m="1" x="2865"/>
        <item m="1" x="4005"/>
        <item m="1" x="1711"/>
        <item m="1" x="1913"/>
        <item m="1" x="5150"/>
        <item m="1" x="5392"/>
        <item m="1" x="6477"/>
        <item m="1" x="149"/>
        <item m="1" x="336"/>
        <item m="1" x="2159"/>
        <item m="1" x="4624"/>
        <item m="1" x="6331"/>
        <item m="1" x="1757"/>
        <item m="1" x="5688"/>
        <item m="1" x="3027"/>
        <item m="1" x="4528"/>
        <item m="1" x="7618"/>
        <item m="1" x="1198"/>
        <item m="1" x="4932"/>
        <item m="1" x="5447"/>
        <item m="1" x="3340"/>
        <item m="1" x="3613"/>
        <item m="1" x="4693"/>
        <item m="1" x="1794"/>
        <item m="1" x="6040"/>
        <item m="1" x="3372"/>
        <item m="1" x="7339"/>
        <item m="1" x="2330"/>
        <item m="1" x="1998"/>
        <item m="1" x="2866"/>
        <item m="1" x="4411"/>
        <item m="1" x="1183"/>
        <item m="1" x="5440"/>
        <item m="1" x="2867"/>
        <item m="1" x="5485"/>
        <item m="1" x="3373"/>
        <item m="1" x="2386"/>
        <item m="1" x="4709"/>
        <item m="1" x="1758"/>
        <item m="1" x="4439"/>
        <item m="1" x="1247"/>
        <item m="1" x="3232"/>
        <item m="1" x="5475"/>
        <item m="1" x="4037"/>
        <item m="1" x="3789"/>
        <item m="1" x="5754"/>
        <item m="1" x="5651"/>
        <item m="1" x="5521"/>
        <item m="1" x="3119"/>
        <item m="1" x="5492"/>
        <item m="1" x="5151"/>
        <item m="1" x="1749"/>
        <item m="1" x="1953"/>
        <item m="1" x="1857"/>
        <item m="1" x="4194"/>
        <item m="1" x="3559"/>
        <item m="1" x="5377"/>
        <item m="1" x="4337"/>
        <item m="1" x="6041"/>
        <item m="1" x="1710"/>
        <item m="1" x="1054"/>
        <item m="1" x="3395"/>
        <item m="1" x="3826"/>
        <item m="1" x="4236"/>
        <item m="1" x="4426"/>
        <item m="1" x="4889"/>
        <item m="1" x="3842"/>
        <item m="1" x="4251"/>
        <item m="1" x="1777"/>
        <item m="1" x="2549"/>
        <item m="1" x="3827"/>
        <item m="1" x="5393"/>
        <item m="1" x="5700"/>
        <item m="1" x="4475"/>
        <item m="1" x="4694"/>
        <item m="1" x="4955"/>
        <item m="1" x="5701"/>
        <item m="1" x="6009"/>
        <item m="1" x="6568"/>
        <item m="1" x="6849"/>
        <item m="1" x="5437"/>
        <item m="1" x="6272"/>
        <item m="1" x="6546"/>
        <item m="1" x="7082"/>
        <item m="1" x="2588"/>
        <item m="1" x="456"/>
        <item m="1" x="1935"/>
        <item m="1" x="1787"/>
        <item m="1" x="3755"/>
        <item m="1" x="1501"/>
        <item m="1" x="4919"/>
        <item m="1" x="6324"/>
        <item m="1" x="1473"/>
        <item m="1" x="3598"/>
        <item m="1" x="7757"/>
        <item m="1" x="4017"/>
        <item m="1" x="6481"/>
        <item m="1" x="3253"/>
        <item m="1" x="4666"/>
        <item m="1" x="6016"/>
        <item m="1" x="6229"/>
        <item m="1" x="6066"/>
        <item m="1" x="141"/>
        <item m="1" x="2358"/>
        <item m="1" x="3394"/>
        <item m="1" x="5555"/>
        <item m="1" x="1314"/>
        <item m="1" x="4138"/>
        <item m="1" x="5346"/>
        <item m="1" x="6048"/>
        <item m="1" x="1579"/>
        <item m="1" x="2437"/>
        <item m="1" x="4933"/>
        <item m="1" x="514"/>
        <item m="1" x="6618"/>
        <item m="1" x="6361"/>
        <item m="1" x="7919"/>
        <item m="1" x="4290"/>
        <item m="1" x="3262"/>
        <item m="1" x="790"/>
        <item m="1" x="1621"/>
        <item m="1" x="1332"/>
        <item m="1" x="2147"/>
        <item m="1" x="2793"/>
        <item m="1" x="7706"/>
        <item m="1" x="6598"/>
        <item m="1" x="6597"/>
        <item m="1" x="6049"/>
        <item m="1" x="1063"/>
        <item m="1" x="6859"/>
        <item m="1" x="7630"/>
        <item m="1" x="2672"/>
        <item m="1" x="707"/>
        <item m="1" x="3412"/>
        <item m="1" x="5493"/>
        <item m="1" x="5797"/>
        <item m="1" x="6337"/>
        <item m="1" x="6642"/>
        <item m="1" x="6889"/>
        <item m="1" x="1848"/>
        <item m="1" x="1849"/>
        <item m="1" x="5010"/>
        <item m="1" x="6360"/>
        <item m="1" x="2178"/>
        <item m="1" x="163"/>
        <item m="1" x="3741"/>
        <item m="1" x="7645"/>
        <item m="1" x="7635"/>
        <item m="1" x="2454"/>
        <item m="1" x="2497"/>
        <item m="1" x="1850"/>
        <item m="1" x="5872"/>
        <item m="1" x="1748"/>
        <item m="1" x="6409"/>
        <item m="1" x="7725"/>
        <item m="1" x="1382"/>
        <item m="1" x="625"/>
        <item m="1" x="6072"/>
        <item m="1" x="313"/>
        <item m="1" x="2687"/>
        <item m="1" x="5476"/>
        <item m="1" x="2406"/>
        <item m="1" x="2167"/>
        <item m="1" x="1222"/>
        <item m="1" x="854"/>
        <item m="1" x="6902"/>
        <item m="1" x="7432"/>
        <item m="1" x="6388"/>
        <item m="1" x="2091"/>
        <item m="1" x="6206"/>
        <item m="1" x="6443"/>
        <item m="1" x="1410"/>
        <item m="1" x="7491"/>
        <item m="1" x="4745"/>
        <item m="1" x="7923"/>
        <item m="1" x="5774"/>
        <item m="1" x="6643"/>
        <item m="1" x="6683"/>
        <item m="1" x="345"/>
        <item m="1" x="644"/>
        <item m="1" x="626"/>
        <item m="1" x="6663"/>
        <item m="1" x="355"/>
        <item m="1" x="1064"/>
        <item m="1" x="843"/>
        <item m="1" x="1599"/>
        <item m="1" x="5044"/>
        <item m="1" x="7178"/>
        <item m="1" x="7450"/>
        <item m="1" x="7250"/>
        <item m="1" x="4550"/>
        <item m="1" x="7666"/>
        <item m="1" x="6664"/>
        <item m="1" x="2618"/>
        <item m="1" x="5804"/>
        <item m="1" x="5513"/>
        <item m="1" x="5811"/>
        <item m="1" x="6812"/>
        <item m="1" x="6513"/>
        <item m="1" x="1447"/>
        <item m="1" x="5520"/>
        <item m="1" x="3389"/>
        <item m="1" x="3294"/>
        <item m="1" x="1888"/>
        <item m="1" x="7946"/>
        <item m="1" x="7695"/>
        <item m="1" x="1086"/>
        <item m="1" x="7518"/>
        <item m="1" x="6082"/>
        <item m="1" x="7835"/>
        <item m="1" x="6890"/>
        <item m="1" x="7179"/>
        <item m="1" x="3674"/>
        <item m="1" x="2873"/>
        <item m="1" x="5259"/>
        <item m="1" x="7195"/>
        <item m="1" x="164"/>
        <item m="1" x="6665"/>
        <item m="1" x="2266"/>
        <item m="1" x="6129"/>
        <item m="1" x="183"/>
        <item m="1" x="7226"/>
        <item m="1" x="5034"/>
        <item m="1" x="7947"/>
        <item m="1" x="7696"/>
        <item m="1" x="7780"/>
        <item m="1" x="3429"/>
        <item m="1" x="215"/>
        <item m="1" x="415"/>
        <item m="1" x="5584"/>
        <item m="1" x="7726"/>
        <item m="1" x="6703"/>
        <item m="1" x="6976"/>
        <item m="1" x="7502"/>
        <item m="1" x="6116"/>
        <item m="1" x="1133"/>
        <item m="1" x="7492"/>
        <item m="1" x="4002"/>
        <item m="1" x="6719"/>
        <item m="1" x="648"/>
        <item m="1" x="7942"/>
        <item m="1" x="319"/>
        <item m="1" x="3306"/>
        <item m="1" x="2988"/>
        <item m="1" x="3259"/>
        <item m="1" x="4538"/>
        <item m="1" x="5255"/>
        <item m="1" x="5798"/>
        <item m="1" x="7713"/>
        <item m="1" x="5546"/>
        <item m="1" x="6666"/>
        <item m="1" x="5062"/>
        <item m="1" x="5511"/>
        <item m="1" x="7727"/>
        <item m="1" x="6130"/>
        <item m="1" x="6927"/>
        <item m="1" x="2915"/>
        <item m="1" x="2500"/>
        <item m="1" x="250"/>
        <item m="1" x="501"/>
        <item m="1" x="389"/>
        <item m="1" x="1164"/>
        <item m="1" x="7197"/>
        <item m="1" x="4386"/>
        <item m="1" x="1132"/>
        <item m="1" x="2786"/>
        <item m="1" x="7196"/>
        <item m="1" x="6720"/>
        <item m="1" x="7965"/>
        <item m="1" x="179"/>
        <item m="1" x="862"/>
        <item m="1" x="216"/>
        <item m="1" x="908"/>
        <item m="1" x="2790"/>
        <item m="1" x="6352"/>
        <item m="1" x="2484"/>
        <item m="1" x="2832"/>
        <item m="1" x="1676"/>
        <item m="1" x="1192"/>
        <item m="1" x="275"/>
        <item m="1" x="533"/>
        <item m="1" x="233"/>
        <item m="1" x="1191"/>
        <item m="1" x="2804"/>
        <item m="1" x="5602"/>
        <item m="1" x="1677"/>
        <item m="1" x="1101"/>
        <item m="1" x="399"/>
        <item m="1" x="4678"/>
        <item m="1" x="6366"/>
        <item m="1" x="5564"/>
        <item m="1" x="6411"/>
        <item m="1" x="7210"/>
        <item m="1" x="7503"/>
        <item m="1" x="264"/>
        <item m="1" x="7309"/>
        <item m="1" x="7519"/>
        <item m="1" x="7966"/>
        <item m="1" x="403"/>
        <item m="1" x="649"/>
        <item m="1" x="7288"/>
        <item m="1" x="7984"/>
        <item m="1" x="217"/>
        <item m="1" x="891"/>
        <item m="1" x="1134"/>
        <item m="1" x="7763"/>
        <item m="1" x="681"/>
        <item m="1" x="931"/>
        <item m="1" x="5094"/>
        <item m="1" x="3061"/>
        <item m="1" x="6640"/>
        <item m="1" x="398"/>
        <item m="1" x="1234"/>
        <item m="1" x="302"/>
        <item m="1" x="566"/>
        <item m="1" x="416"/>
        <item m="1" x="1211"/>
        <item m="1" x="367"/>
        <item m="1" x="1734"/>
        <item m="1" x="6106"/>
        <item m="1" x="1233"/>
        <item m="1" x="3353"/>
        <item m="1" x="447"/>
        <item m="1" x="265"/>
        <item m="1" x="949"/>
        <item m="1" x="2578"/>
        <item m="1" x="3996"/>
        <item m="1" x="938"/>
        <item m="1" x="1258"/>
        <item m="1" x="879"/>
        <item m="1" x="7678"/>
        <item m="1" x="1243"/>
        <item m="1" x="1986"/>
        <item m="1" x="7160"/>
        <item m="1" x="1715"/>
        <item m="1" x="333"/>
        <item m="1" x="593"/>
        <item m="1" x="4448"/>
        <item m="1" x="5933"/>
        <item m="1" x="4922"/>
        <item m="1" x="4769"/>
        <item m="1" x="3391"/>
        <item m="1" x="4775"/>
        <item m="1" x="6187"/>
        <item m="1" x="2008"/>
        <item m="1" x="974"/>
        <item m="1" x="2323"/>
        <item m="1" x="4449"/>
        <item m="1" x="221"/>
        <item m="1" x="3026"/>
        <item m="1" x="4670"/>
        <item m="1" x="864"/>
        <item m="1" x="6115"/>
        <item m="1" x="7983"/>
        <item m="1" x="3638"/>
        <item m="1" x="7865"/>
        <item m="1" x="429"/>
        <item m="1" x="4254"/>
        <item m="1" x="4467"/>
        <item m="1" x="2541"/>
        <item m="1" x="3618"/>
        <item m="1" x="2968"/>
        <item m="1" x="4057"/>
        <item m="1" x="358"/>
        <item m="1" x="1079"/>
        <item m="1" x="475"/>
        <item m="1" x="7194"/>
        <item m="1" x="6263"/>
        <item m="1" x="6007"/>
        <item m="1" x="4226"/>
        <item m="1" x="5400"/>
        <item m="1" x="6371"/>
        <item m="1" x="1333"/>
        <item m="1" x="1267"/>
        <item m="1" x="3422"/>
        <item m="1" x="4836"/>
        <item m="1" x="1725"/>
        <item m="1" x="4129"/>
        <item m="1" x="2871"/>
        <item m="1" x="2061"/>
        <item m="1" x="2291"/>
        <item m="1" x="2062"/>
        <item m="1" x="379"/>
        <item m="1" x="2189"/>
        <item m="1" x="4712"/>
        <item m="1" x="4749"/>
        <item m="1" x="4479"/>
        <item m="1" x="3639"/>
        <item m="1" x="7979"/>
        <item m="1" x="2363"/>
        <item m="1" x="2324"/>
        <item m="1" x="2851"/>
        <item m="1" x="3088"/>
        <item m="1" x="1513"/>
        <item m="1" x="2077"/>
        <item m="1" x="2609"/>
        <item m="1" x="3402"/>
        <item m="1" x="3830"/>
        <item m="1" x="4025"/>
        <item m="1" x="3417"/>
        <item m="1" x="3152"/>
        <item m="1" x="6282"/>
        <item m="1" x="3418"/>
        <item m="1" x="2901"/>
        <item m="1" x="3105"/>
        <item m="1" x="4792"/>
        <item m="1" x="3586"/>
        <item m="1" x="1017"/>
        <item m="1" x="847"/>
        <item m="1" x="3269"/>
        <item m="1" x="534"/>
        <item m="1" x="3869"/>
        <item m="1" x="4298"/>
        <item m="1" x="2043"/>
        <item m="1" x="4896"/>
        <item m="1" x="4501"/>
        <item m="1" x="4090"/>
        <item m="1" x="6575"/>
        <item m="1" x="2100"/>
        <item m="1" x="5330"/>
        <item m="1" x="2864"/>
        <item m="1" x="5438"/>
        <item m="1" x="4115"/>
        <item m="1" x="3847"/>
        <item m="1" x="1905"/>
        <item m="1" x="4176"/>
        <item m="1" x="4731"/>
        <item m="1" x="2876"/>
        <item m="1" x="1281"/>
        <item m="1" x="4525"/>
        <item m="1" x="1829"/>
        <item m="1" x="6077"/>
        <item m="1" x="2888"/>
        <item m="1" x="4502"/>
        <item m="1" x="7032"/>
        <item m="1" x="7107"/>
        <item m="1" x="552"/>
        <item m="1" x="425"/>
        <item m="1" x="4708"/>
        <item m="1" x="6410"/>
        <item m="1" x="5601"/>
        <item m="1" x="6445"/>
        <item m="1" x="7528"/>
        <item m="1" x="3448"/>
        <item m="1" x="2902"/>
        <item m="1" x="748"/>
        <item m="1" x="5251"/>
        <item m="1" x="1812"/>
        <item m="1" x="2383"/>
        <item m="1" x="4764"/>
        <item m="1" x="5080"/>
        <item m="1" x="594"/>
        <item m="1" x="4994"/>
        <item m="1" x="1580"/>
        <item m="1" x="6099"/>
        <item m="1" x="6362"/>
        <item m="1" x="6137"/>
        <item m="1" x="1315"/>
        <item m="1" x="4548"/>
        <item m="1" x="4732"/>
        <item m="1" x="4526"/>
        <item m="1" x="1075"/>
        <item m="1" x="1600"/>
        <item m="1" x="4976"/>
        <item m="1" x="2125"/>
        <item m="1" x="2283"/>
        <item m="1" x="7122"/>
        <item m="1" x="1414"/>
        <item m="1" x="1291"/>
        <item m="1" x="907"/>
        <item m="1" x="5119"/>
        <item m="1" x="5618"/>
        <item m="1" x="7795"/>
        <item m="1" x="1752"/>
        <item m="1" x="5471"/>
        <item m="1" x="3726"/>
        <item m="1" x="3960"/>
        <item m="1" x="6176"/>
        <item m="1" x="3279"/>
        <item m="1" x="2267"/>
        <item m="1" x="4804"/>
        <item m="1" x="2113"/>
        <item m="1" x="4582"/>
        <item m="1" x="2373"/>
        <item m="1" x="638"/>
        <item m="1" x="5281"/>
        <item m="1" x="4116"/>
        <item m="1" x="6936"/>
        <item m="1" x="3226"/>
        <item m="1" x="3921"/>
        <item m="1" x="4147"/>
        <item m="1" x="2707"/>
        <item m="1" x="4171"/>
        <item m="1" x="3068"/>
        <item m="1" x="5005"/>
        <item m="1" x="7928"/>
        <item m="1" x="6146"/>
        <item m="1" x="465"/>
        <item m="1" x="4342"/>
        <item m="1" x="7132"/>
        <item m="1" x="4843"/>
        <item m="1" x="7294"/>
        <item m="1" x="3887"/>
        <item m="1" x="1978"/>
        <item m="1" x="1370"/>
        <item m="1" x="2906"/>
        <item m="1" x="1347"/>
        <item m="1" x="4618"/>
        <item m="1" x="4561"/>
        <item m="1" x="4351"/>
        <item m="1" x="4794"/>
        <item m="1" x="2583"/>
        <item m="1" x="377"/>
        <item m="1" x="3190"/>
        <item m="1" x="3435"/>
        <item m="1" x="3693"/>
        <item m="1" x="2937"/>
        <item m="1" x="2534"/>
        <item m="1" x="5920"/>
        <item m="1" x="1080"/>
        <item m="1" x="7482"/>
        <item m="1" x="4536"/>
        <item m="1" x="5845"/>
        <item m="1" x="3888"/>
        <item m="1" x="5528"/>
        <item m="1" x="2126"/>
        <item m="1" x="3243"/>
        <item m="1" x="1486"/>
        <item m="1" x="6416"/>
        <item m="1" x="1999"/>
        <item m="1" x="669"/>
        <item m="1" x="1137"/>
        <item m="1" x="5295"/>
        <item m="1" x="5280"/>
        <item m="1" x="6970"/>
        <item m="1" x="467"/>
        <item m="1" x="7259"/>
        <item m="1" x="7466"/>
        <item m="1" x="2647"/>
        <item m="1" x="4598"/>
        <item m="1" x="1453"/>
        <item m="1" x="1150"/>
        <item m="1" x="2000"/>
        <item m="1" x="5851"/>
        <item m="1" x="6162"/>
        <item m="1" x="6757"/>
        <item m="1" x="5570"/>
        <item m="1" x="5880"/>
        <item m="1" x="444"/>
        <item m="1" x="5030"/>
        <item m="1" x="1474"/>
        <item m="1" x="6163"/>
        <item m="1" x="6432"/>
        <item m="1" x="2527"/>
        <item m="1" x="1739"/>
        <item m="1" x="7020"/>
        <item m="1" x="252"/>
        <item m="1" x="2190"/>
        <item m="1" x="1151"/>
        <item m="1" x="7000"/>
        <item m="1" x="4114"/>
        <item m="1" x="3920"/>
        <item m="1" x="4634"/>
        <item m="1" x="5354"/>
        <item m="1" x="2019"/>
        <item m="1" x="6152"/>
        <item m="1" x="6389"/>
        <item m="1" x="7230"/>
        <item m="1" x="6449"/>
        <item m="1" x="479"/>
        <item m="1" x="3675"/>
        <item m="1" x="7056"/>
        <item m="1" x="951"/>
        <item m="1" x="1759"/>
        <item m="1" x="7269"/>
        <item m="1" x="7521"/>
        <item m="1" x="7034"/>
        <item m="1" x="736"/>
        <item m="1" x="4376"/>
        <item m="1" x="7987"/>
        <item m="1" x="6619"/>
        <item m="1" x="6464"/>
        <item m="1" x="2925"/>
        <item m="1" x="4675"/>
        <item m="1" x="4662"/>
        <item m="1" x="720"/>
        <item m="1" x="7553"/>
        <item m="1" x="701"/>
        <item m="1" x="508"/>
        <item m="1" x="969"/>
        <item m="1" x="6775"/>
        <item m="1" x="1412"/>
        <item m="1" x="539"/>
        <item m="1" x="452"/>
        <item m="1" x="4744"/>
        <item m="1" x="6444"/>
        <item m="1" x="5650"/>
        <item m="1" x="6479"/>
        <item m="1" x="3474"/>
        <item m="1" x="1865"/>
        <item m="1" x="7829"/>
        <item m="1" x="6796"/>
        <item m="1" x="7001"/>
        <item m="1" x="7270"/>
        <item m="1" x="238"/>
        <item m="1" x="4177"/>
        <item m="1" x="5316"/>
        <item m="1" x="6689"/>
        <item m="1" x="7368"/>
        <item m="1" x="4687"/>
        <item m="1" x="280"/>
        <item m="1" x="1199"/>
        <item m="1" x="6785"/>
        <item m="1" x="237"/>
        <item m="1" x="721"/>
        <item m="1" x="952"/>
        <item m="1" x="6090"/>
        <item m="1" x="2060"/>
        <item m="1" x="2331"/>
        <item m="1" x="6264"/>
        <item m="1" x="7818"/>
        <item m="1" x="418"/>
        <item m="1" x="948"/>
        <item m="1" x="5665"/>
        <item m="1" x="6594"/>
        <item m="1" x="7788"/>
        <item m="1" x="1488"/>
        <item m="1" x="6173"/>
        <item m="1" x="5630"/>
        <item m="1" x="5717"/>
        <item m="1" x="7002"/>
        <item m="1" x="5381"/>
        <item m="1" x="5956"/>
        <item m="1" x="5975"/>
        <item m="1" x="6227"/>
        <item m="1" x="7221"/>
        <item m="1" x="962"/>
        <item m="1" x="4833"/>
        <item m="1" x="6797"/>
        <item m="1" x="314"/>
        <item m="1" x="306"/>
        <item m="1" x="7089"/>
        <item m="1" x="1259"/>
        <item m="1" x="1531"/>
        <item m="1" x="5668"/>
        <item m="1" x="7857"/>
        <item m="1" x="7573"/>
        <item m="1" x="7819"/>
        <item m="1" x="2056"/>
        <item m="1" x="1106"/>
        <item m="1" x="3919"/>
        <item m="1" x="1397"/>
        <item m="1" x="2953"/>
        <item m="1" x="7572"/>
        <item m="1" x="7068"/>
        <item m="1" x="6635"/>
        <item m="1" x="1071"/>
        <item m="1" x="509"/>
        <item m="1" x="6064"/>
        <item m="1" x="1974"/>
        <item m="1" x="4923"/>
        <item m="1" x="5401"/>
        <item m="1" x="6776"/>
        <item m="1" x="934"/>
        <item m="1" x="4874"/>
        <item m="1" x="248"/>
        <item m="1" x="2883"/>
        <item m="1" x="4428"/>
        <item m="1" x="4891"/>
        <item m="1" x="4905"/>
        <item m="1" x="5382"/>
        <item m="1" x="5656"/>
        <item m="1" x="6211"/>
        <item m="1" x="6485"/>
        <item m="1" x="7023"/>
        <item m="1" x="6517"/>
        <item m="1" x="6816"/>
        <item m="1" x="5957"/>
        <item m="1" x="3590"/>
        <item m="1" x="7295"/>
        <item m="1" x="6212"/>
        <item m="1" x="6758"/>
        <item m="1" x="392"/>
        <item m="1" x="1283"/>
        <item m="1" x="5125"/>
        <item m="1" x="6486"/>
        <item m="1" x="7552"/>
        <item m="1" x="5693"/>
        <item m="1" x="7864"/>
        <item m="1" x="5886"/>
        <item m="1" x="5347"/>
        <item m="1" x="2395"/>
        <item m="1" x="4146"/>
        <item m="1" x="6580"/>
        <item m="1" x="1591"/>
        <item m="1" x="1306"/>
        <item m="1" x="1057"/>
        <item m="1" x="996"/>
        <item m="1" x="7621"/>
        <item m="1" x="1546"/>
        <item m="1" x="5641"/>
        <item m="1" x="5608"/>
        <item m="1" x="5922"/>
        <item m="1" x="338"/>
        <item m="1" x="3879"/>
        <item m="1" x="150"/>
        <item m="1" x="771"/>
        <item m="1" x="2387"/>
        <item m="1" x="868"/>
        <item m="1" x="2235"/>
        <item m="1" x="1195"/>
        <item m="1" x="3476"/>
        <item m="1" x="7625"/>
        <item m="1" x="1577"/>
        <item m="1" x="135"/>
        <item m="1" x="1858"/>
        <item m="1" x="2138"/>
        <item m="1" x="7820"/>
        <item m="1" x="6844"/>
        <item m="1" x="1248"/>
        <item m="1" x="1823"/>
        <item m="1" x="2369"/>
        <item m="1" x="2909"/>
        <item m="1" x="6012"/>
        <item m="1" x="1654"/>
        <item m="1" x="229"/>
        <item m="1" x="6427"/>
        <item m="1" x="6484"/>
        <item m="1" x="4301"/>
        <item m="1" x="494"/>
        <item m="1" x="1072"/>
        <item m="1" x="1947"/>
        <item m="1" x="3308"/>
        <item m="1" x="7414"/>
        <item m="1" x="2963"/>
        <item m="1" x="2979"/>
        <item m="1" x="4330"/>
        <item m="1" x="561"/>
        <item m="1" x="7598"/>
        <item m="1" x="1610"/>
        <item m="1" x="1914"/>
        <item m="1" x="2198"/>
        <item m="1" x="3483"/>
        <item m="1" x="4347"/>
        <item m="1" x="350"/>
        <item m="1" x="1292"/>
        <item m="1" x="1841"/>
        <item m="1" x="1022"/>
        <item m="1" x="2432"/>
        <item m="1" x="2745"/>
        <item m="1" x="4316"/>
        <item m="1" x="5326"/>
        <item m="1" x="480"/>
        <item m="1" x="4768"/>
        <item m="1" x="6478"/>
        <item m="1" x="5689"/>
        <item m="1" x="3510"/>
        <item m="1" x="362"/>
        <item m="1" x="866"/>
        <item m="1" x="174"/>
        <item m="1" x="7887"/>
        <item m="1" x="6732"/>
        <item m="1" x="7377"/>
        <item m="1" x="3518"/>
        <item m="1" x="5921"/>
        <item m="1" x="7481"/>
        <item m="1" x="2329"/>
        <item m="1" x="5340"/>
        <item m="1" x="5857"/>
        <item m="1" x="7735"/>
        <item m="1" x="7975"/>
        <item m="1" x="2770"/>
        <item m="1" x="7700"/>
        <item m="1" x="5266"/>
        <item m="1" x="1643"/>
        <item m="1" x="4503"/>
        <item m="1" x="2478"/>
        <item m="1" x="136"/>
        <item m="1" x="6709"/>
        <item m="1" x="6984"/>
        <item m="1" x="7234"/>
        <item m="1" x="1671"/>
        <item m="1" x="3222"/>
        <item m="1" x="3901"/>
        <item m="1" x="2257"/>
        <item m="1" x="990"/>
        <item m="1" x="4155"/>
        <item m="1" x="1371"/>
        <item m="1" x="3914"/>
        <item m="1" x="2225"/>
        <item m="1" x="3031"/>
        <item m="1" x="5958"/>
        <item m="1" x="6435"/>
        <item m="1" x="6386"/>
        <item m="1" x="1670"/>
        <item m="1" x="1558"/>
        <item m="1" x="2558"/>
        <item m="1" x="1377"/>
        <item m="1" x="5274"/>
        <item m="1" x="6155"/>
        <item m="1" x="6818"/>
        <item m="1" x="1548"/>
        <item m="1" x="3973"/>
        <item m="1" x="4380"/>
        <item m="1" x="3327"/>
        <item m="1" x="6047"/>
        <item m="1" x="6595"/>
        <item m="1" x="599"/>
        <item m="1" x="4096"/>
        <item m="1" x="5661"/>
        <item m="1" x="1113"/>
        <item m="1" x="2718"/>
        <item m="1" x="3746"/>
        <item m="1" x="4139"/>
        <item m="1" x="5702"/>
        <item m="1" x="5509"/>
        <item m="1" x="1364"/>
        <item m="1" x="1900"/>
        <item m="1" x="7916"/>
        <item m="1" x="4358"/>
        <item m="1" x="5128"/>
        <item m="1" x="3980"/>
        <item m="1" x="4199"/>
        <item m="1" x="2719"/>
        <item m="1" x="1429"/>
        <item m="1" x="3017"/>
        <item m="1" x="3946"/>
        <item m="1" x="4170"/>
        <item m="1" x="1156"/>
        <item m="1" x="7647"/>
        <item m="1" x="2596"/>
        <item m="1" x="4819"/>
        <item m="1" x="4381"/>
        <item m="1" x="6746"/>
        <item m="1" x="4611"/>
        <item m="1" x="4215"/>
        <item m="1" x="4189"/>
        <item m="1" x="3501"/>
        <item m="1" x="3529"/>
        <item m="1" x="3221"/>
        <item m="1" x="5822"/>
        <item m="1" x="5840"/>
        <item m="1" x="6124"/>
        <item m="1" x="5083"/>
        <item m="1" x="6733"/>
        <item m="1" x="6956"/>
        <item m="1" x="3519"/>
        <item m="1" x="5068"/>
        <item m="1" x="4431"/>
        <item m="1" x="1107"/>
        <item m="1" x="1400"/>
        <item m="1" x="7634"/>
        <item m="1" x="4980"/>
        <item m="1" x="5556"/>
        <item m="1" x="5053"/>
        <item m="1" x="3072"/>
        <item m="1" x="6539"/>
        <item m="1" x="1937"/>
        <item m="1" x="2226"/>
        <item m="1" x="2746"/>
        <item m="1" x="2984"/>
        <item m="1" x="5054"/>
        <item m="1" x="5924"/>
        <item m="1" x="3998"/>
        <item m="1" x="4227"/>
        <item m="1" x="5085"/>
        <item m="1" x="3493"/>
        <item m="1" x="5414"/>
        <item m="1" x="6759"/>
        <item m="1" x="4876"/>
        <item m="1" x="7544"/>
        <item m="1" x="4010"/>
        <item m="1" x="1157"/>
        <item m="1" x="1420"/>
        <item m="1" x="5298"/>
        <item m="1" x="6214"/>
        <item m="1" x="4858"/>
        <item m="1" x="4519"/>
        <item m="1" x="3784"/>
        <item m="1" x="3982"/>
        <item m="1" x="4064"/>
        <item m="1" x="4240"/>
        <item m="1" x="5679"/>
        <item m="1" x="5177"/>
        <item m="1" x="5178"/>
        <item m="1" x="3055"/>
        <item m="1" x="7660"/>
        <item m="1" x="154"/>
        <item m="1" x="5594"/>
        <item m="1" x="7808"/>
        <item m="1" x="2310"/>
        <item m="1" x="4877"/>
        <item m="1" x="7556"/>
        <item m="1" x="5613"/>
        <item m="1" x="7316"/>
        <item m="1" x="4857"/>
        <item m="1" x="4403"/>
        <item m="1" x="4028"/>
        <item m="1" x="4453"/>
        <item m="1" x="976"/>
        <item m="1" x="3390"/>
        <item m="1" x="4432"/>
        <item m="1" x="4658"/>
        <item m="1" x="5637"/>
        <item m="1" x="5935"/>
        <item m="1" x="6001"/>
        <item m="1" x="4452"/>
        <item m="1" x="5341"/>
        <item m="1" x="4257"/>
        <item m="1" x="4011"/>
        <item m="1" x="5960"/>
        <item m="1" x="5084"/>
        <item m="1" x="5359"/>
        <item m="1" x="3834"/>
        <item m="1" x="2292"/>
        <item m="1" x="5159"/>
        <item m="1" x="4849"/>
        <item m="1" x="1209"/>
        <item m="1" x="2311"/>
        <item m="1" x="3548"/>
        <item m="1" x="4094"/>
        <item m="1" x="4272"/>
        <item m="1" x="2364"/>
        <item m="1" x="6230"/>
        <item m="1" x="1866"/>
        <item m="1" x="2081"/>
        <item m="1" x="2612"/>
        <item m="1" x="4048"/>
        <item m="1" x="1089"/>
        <item m="1" x="6875"/>
        <item m="1" x="3626"/>
        <item m="1" x="4311"/>
        <item m="1" x="6178"/>
        <item m="1" x="4241"/>
        <item m="1" x="2089"/>
        <item m="1" x="6490"/>
        <item m="1" x="7350"/>
        <item m="1" x="4078"/>
        <item m="1" x="4332"/>
        <item m="1" x="4714"/>
        <item m="1" x="5755"/>
        <item m="1" x="4118"/>
        <item m="1" x="4303"/>
        <item m="1" x="431"/>
        <item m="1" x="3872"/>
        <item m="1" x="5636"/>
        <item m="1" x="4944"/>
        <item m="1" x="1227"/>
        <item m="1" x="4893"/>
        <item m="1" x="5403"/>
        <item m="1" x="3850"/>
        <item m="1" x="2580"/>
        <item m="1" x="5680"/>
        <item m="1" x="6505"/>
        <item m="1" x="6245"/>
        <item m="1" x="3366"/>
        <item m="1" x="3591"/>
        <item m="1" x="3100"/>
        <item m="1" x="4517"/>
        <item m="1" x="5776"/>
        <item m="1" x="3195"/>
        <item m="1" x="7111"/>
        <item m="1" x="3654"/>
        <item m="1" x="3986"/>
        <item m="1" x="4150"/>
        <item m="1" x="6558"/>
        <item m="1" x="3703"/>
        <item m="1" x="4416"/>
        <item m="1" x="7689"/>
        <item m="1" x="7605"/>
        <item m="1" x="7382"/>
        <item m="1" x="3999"/>
        <item m="1" x="7164"/>
        <item m="1" x="1356"/>
        <item m="1" x="3466"/>
        <item m="1" x="905"/>
        <item m="1" x="4402"/>
        <item m="1" x="4632"/>
        <item m="1" x="1419"/>
        <item m="1" x="1975"/>
        <item m="1" x="5612"/>
        <item m="1" x="5129"/>
        <item m="1" x="5959"/>
        <item m="1" x="7286"/>
        <item m="1" x="7836"/>
        <item m="1" x="2924"/>
        <item m="1" x="7349"/>
        <item m="1" x="6799"/>
        <item m="1" x="4736"/>
        <item m="1" x="4963"/>
        <item m="1" x="6537"/>
        <item m="1" x="2396"/>
        <item m="1" x="2507"/>
        <item m="1" x="4079"/>
        <item m="1" x="2650"/>
        <item m="1" x="614"/>
        <item m="1" x="4735"/>
        <item m="1" x="6034"/>
        <item m="1" x="6284"/>
        <item m="1" x="4242"/>
        <item m="1" x="4715"/>
        <item m="1" x="6002"/>
        <item m="1" x="4320"/>
        <item m="1" x="7426"/>
        <item m="1" x="3922"/>
        <item m="1" x="1287"/>
        <item m="1" x="5432"/>
        <item m="1" x="6699"/>
        <item m="1" x="6773"/>
        <item m="1" x="4908"/>
        <item m="1" x="1059"/>
        <item m="1" x="171"/>
        <item m="1" x="1871"/>
        <item m="1" x="6540"/>
        <item m="1" x="5841"/>
        <item m="1" x="1605"/>
        <item m="1" x="3683"/>
        <item m="1" x="4195"/>
        <item m="1" x="4343"/>
        <item m="1" x="2423"/>
        <item m="1" x="2377"/>
        <item m="1" x="5773"/>
        <item m="1" x="7381"/>
        <item m="1" x="6908"/>
        <item m="1" x="7609"/>
        <item m="1" x="6919"/>
        <item m="1" x="7685"/>
        <item m="1" x="359"/>
        <item m="1" x="824"/>
        <item m="1" x="6045"/>
        <item m="1" x="6991"/>
        <item m="1" x="6867"/>
        <item m="1" x="123"/>
        <item m="1" x="7985"/>
        <item m="1" x="7601"/>
        <item m="1" x="4621"/>
        <item m="1" x="2346"/>
        <item m="1" x="417"/>
        <item m="1" x="2371"/>
        <item m="1" x="2248"/>
        <item m="1" x="1223"/>
        <item m="1" x="7436"/>
        <item m="1" x="129"/>
        <item m="1" x="812"/>
        <item m="1" x="7185"/>
        <item m="1" x="7453"/>
        <item m="1" x="7904"/>
        <item m="1" x="170"/>
        <item m="1" x="567"/>
        <item m="1" x="1302"/>
        <item m="1" x="7703"/>
        <item m="1" x="6224"/>
        <item m="1" x="834"/>
        <item m="1" x="4206"/>
        <item m="1" x="2714"/>
        <item m="1" x="2996"/>
        <item m="1" x="2463"/>
        <item m="1" x="7888"/>
        <item m="1" x="6901"/>
        <item m="1" x="1527"/>
        <item m="1" x="380"/>
        <item m="1" x="7454"/>
        <item m="1" x="4365"/>
        <item m="1" x="3018"/>
        <item m="1" x="5775"/>
        <item m="1" x="2274"/>
        <item m="1" x="1403"/>
        <item m="1" x="1185"/>
        <item m="1" x="7640"/>
        <item m="1" x="595"/>
        <item m="1" x="859"/>
        <item m="1" x="1095"/>
        <item m="1" x="2215"/>
        <item m="1" x="3310"/>
        <item m="1" x="581"/>
        <item m="1" x="2067"/>
        <item m="1" x="3421"/>
        <item m="1" x="4472"/>
        <item m="1" x="4684"/>
        <item m="1" x="5978"/>
        <item m="1" x="5760"/>
        <item m="1" x="1665"/>
        <item m="1" x="1639"/>
        <item m="1" x="4284"/>
        <item m="1" x="4943"/>
        <item m="1" x="388"/>
        <item m="1" x="1142"/>
        <item m="1" x="1478"/>
        <item m="1" x="7469"/>
        <item m="1" x="2389"/>
        <item m="1" x="7933"/>
        <item m="1" x="1389"/>
        <item m="1" x="2458"/>
        <item m="1" x="1069"/>
        <item m="1" x="7437"/>
        <item m="1" x="7913"/>
        <item m="1" x="5275"/>
        <item m="1" x="3272"/>
        <item m="1" x="6948"/>
        <item m="1" x="2216"/>
        <item m="1" x="1687"/>
        <item m="1" x="381"/>
        <item m="1" x="1357"/>
        <item m="1" x="2462"/>
        <item m="1" x="7200"/>
        <item m="1" x="3664"/>
        <item m="1" x="2503"/>
        <item m="1" x="917"/>
        <item m="1" x="3160"/>
        <item m="1" x="7380"/>
        <item m="1" x="1141"/>
        <item m="1" x="2194"/>
        <item m="1" x="688"/>
        <item m="1" x="918"/>
        <item m="1" x="2493"/>
        <item m="1" x="1951"/>
        <item m="1" x="6798"/>
        <item m="1" x="4047"/>
        <item m="1" x="4983"/>
        <item m="1" x="1368"/>
        <item m="1" x="3556"/>
        <item m="1" x="4837"/>
        <item m="1" x="2767"/>
        <item m="1" x="2575"/>
        <item m="1" x="852"/>
        <item m="1" x="2239"/>
        <item m="1" x="2513"/>
        <item m="1" x="6693"/>
        <item m="1" x="6376"/>
        <item m="1" x="7934"/>
        <item m="1" x="7976"/>
        <item m="1" x="4504"/>
        <item m="1" x="860"/>
        <item m="1" x="190"/>
        <item m="1" x="2009"/>
        <item m="1" x="1218"/>
        <item m="1" x="4014"/>
        <item m="1" x="5906"/>
        <item m="1" x="6600"/>
        <item m="1" x="2063"/>
        <item m="1" x="2132"/>
        <item m="1" x="7667"/>
        <item m="1" x="706"/>
        <item m="1" x="1706"/>
        <item m="1" x="7455"/>
        <item m="1" x="7523"/>
        <item m="1" x="1973"/>
        <item m="1" x="2217"/>
        <item m="1" x="7672"/>
        <item m="1" x="7704"/>
        <item m="1" x="871"/>
        <item m="1" x="2997"/>
        <item m="1" x="3525"/>
        <item m="1" x="1688"/>
        <item m="1" x="1972"/>
        <item m="1" x="2768"/>
        <item m="1" x="3731"/>
        <item m="1" x="448"/>
        <item m="1" x="898"/>
        <item m="1" x="2193"/>
        <item m="1" x="7591"/>
        <item m="1" x="2490"/>
        <item m="1" x="1439"/>
        <item m="1" x="7422"/>
        <item m="1" x="3311"/>
        <item m="1" x="2813"/>
        <item m="1" x="3089"/>
        <item m="1" x="241"/>
        <item m="1" x="6397"/>
        <item m="1" x="7940"/>
        <item m="1" x="224"/>
        <item m="1" x="6985"/>
        <item m="1" x="3035"/>
        <item m="1" x="2514"/>
        <item m="1" x="7889"/>
        <item m="1" x="3767"/>
        <item m="1" x="7117"/>
        <item m="1" x="6408"/>
        <item m="1" x="5885"/>
        <item m="1" x="1121"/>
        <item m="1" x="919"/>
        <item m="1" x="3348"/>
        <item m="1" x="3289"/>
        <item m="1" x="1881"/>
        <item m="1" x="4481"/>
        <item m="1" x="2610"/>
        <item m="1" x="349"/>
        <item m="1" x="2046"/>
        <item m="1" x="2352"/>
        <item m="1" x="3092"/>
        <item m="1" x="3367"/>
        <item m="1" x="3799"/>
        <item m="1" x="4000"/>
        <item m="1" x="4217"/>
        <item m="1" x="5721"/>
        <item m="1" x="6931"/>
        <item m="1" x="2798"/>
        <item m="1" x="207"/>
        <item m="1" x="258"/>
        <item m="1" x="433"/>
        <item m="1" x="750"/>
        <item m="1" x="3043"/>
        <item m="1" x="7014"/>
        <item m="1" x="2528"/>
        <item m="1" x="1918"/>
        <item m="1" x="3106"/>
        <item m="1" x="3364"/>
        <item m="1" x="2023"/>
        <item m="1" x="5134"/>
        <item m="1" x="5488"/>
        <item m="1" x="6003"/>
        <item m="1" x="7939"/>
        <item m="1" x="899"/>
        <item m="1" x="1404"/>
        <item m="1" x="2852"/>
        <item m="1" x="3551"/>
        <item m="1" x="3604"/>
        <item m="1" x="1049"/>
        <item m="1" x="413"/>
        <item m="1" x="7736"/>
        <item m="1" x="5027"/>
        <item m="1" x="466"/>
        <item m="1" x="4219"/>
        <item m="1" x="2325"/>
        <item m="1" x="3006"/>
        <item m="1" x="3144"/>
        <item m="1" x="3419"/>
        <item m="1" x="7697"/>
        <item m="1" x="3347"/>
        <item m="1" x="2064"/>
        <item m="1" x="3804"/>
        <item m="1" x="1143"/>
        <item m="1" x="3354"/>
        <item m="1" x="3571"/>
        <item m="1" x="5579"/>
        <item m="1" x="3145"/>
        <item m="1" x="3454"/>
        <item m="1" x="4492"/>
        <item m="1" x="4713"/>
        <item m="1" x="1705"/>
        <item m="1" x="5362"/>
        <item m="1" x="4310"/>
        <item m="1" x="6833"/>
        <item m="1" x="4077"/>
        <item m="1" x="5011"/>
        <item m="1" x="4949"/>
        <item m="1" x="5417"/>
        <item m="1" x="3593"/>
        <item m="1" x="1522"/>
        <item m="1" x="2570"/>
        <item m="1" x="3090"/>
        <item m="1" x="3787"/>
        <item m="1" x="5495"/>
        <item m="1" x="7370"/>
        <item m="1" x="3171"/>
        <item m="1" x="5496"/>
        <item m="1" x="3403"/>
        <item m="1" x="6020"/>
        <item m="1" x="6307"/>
        <item m="1" x="7790"/>
        <item m="1" x="3095"/>
        <item m="1" x="2666"/>
        <item m="1" x="3822"/>
        <item m="1" x="955"/>
        <item m="1" x="4739"/>
        <item m="1" x="1170"/>
        <item m="1" x="2238"/>
        <item m="1" x="3111"/>
        <item m="1" x="4966"/>
        <item m="1" x="6896"/>
        <item m="1" x="4354"/>
        <item m="1" x="1007"/>
        <item m="1" x="6192"/>
        <item m="1" x="6639"/>
        <item m="1" x="5267"/>
        <item m="1" x="959"/>
        <item m="1" x="3673"/>
        <item m="1" x="2877"/>
        <item m="1" x="3881"/>
        <item m="1" x="4098"/>
        <item m="1" x="3838"/>
        <item m="1" x="4276"/>
        <item m="1" x="4986"/>
        <item m="1" x="3616"/>
        <item m="1" x="3964"/>
        <item m="1" x="2070"/>
        <item m="1" x="2907"/>
        <item m="1" x="3449"/>
        <item m="1" x="4286"/>
        <item m="1" x="2101"/>
        <item m="1" x="1789"/>
        <item m="1" x="3158"/>
        <item m="1" x="4136"/>
        <item m="1" x="5418"/>
        <item m="1" x="6581"/>
        <item m="1" x="7112"/>
        <item m="1" x="7385"/>
        <item m="1" x="4285"/>
        <item m="1" x="3370"/>
        <item m="1" x="3467"/>
        <item m="1" x="5210"/>
        <item m="1" x="5802"/>
        <item m="1" x="5241"/>
        <item m="1" x="5480"/>
        <item m="1" x="6070"/>
        <item m="1" x="6392"/>
        <item m="1" x="5803"/>
        <item m="1" x="6088"/>
        <item m="1" x="5516"/>
        <item m="1" x="7435"/>
        <item m="1" x="1554"/>
        <item m="1" x="1816"/>
        <item m="1" x="4551"/>
        <item m="1" x="2561"/>
        <item m="1" x="4108"/>
        <item m="1" x="6054"/>
        <item m="1" x="7406"/>
        <item m="1" x="5715"/>
        <item m="1" x="4681"/>
        <item m="1" x="2050"/>
        <item m="1" x="6644"/>
        <item m="1" x="2085"/>
        <item m="1" x="2442"/>
        <item m="1" x="2172"/>
        <item m="1" x="3157"/>
        <item m="1" x="4756"/>
        <item m="1" x="5000"/>
        <item m="1" x="5462"/>
        <item m="1" x="2614"/>
        <item m="1" x="2891"/>
        <item m="1" x="7728"/>
        <item m="1" x="3455"/>
        <item m="1" x="7868"/>
        <item m="1" x="1278"/>
        <item m="1" x="3690"/>
        <item m="1" x="3184"/>
        <item m="1" x="667"/>
        <item m="1" x="3132"/>
        <item m="1" x="717"/>
        <item m="1" x="2878"/>
        <item m="1" x="3409"/>
        <item m="1" x="5226"/>
        <item m="1" x="2355"/>
        <item m="1" x="6426"/>
        <item m="1" x="6278"/>
        <item m="1" x="4080"/>
        <item m="1" x="2542"/>
        <item m="1" x="4575"/>
        <item m="1" x="2343"/>
        <item m="1" x="2879"/>
        <item m="1" x="3112"/>
        <item m="1" x="527"/>
        <item m="1" x="3081"/>
        <item m="1" x="2814"/>
        <item m="1" x="2784"/>
        <item m="1" x="5379"/>
        <item m="1" x="7451"/>
        <item m="1" x="1542"/>
        <item m="1" x="6368"/>
        <item m="1" x="1844"/>
        <item m="1" x="4287"/>
        <item m="1" x="4967"/>
        <item m="1" x="3130"/>
        <item m="1" x="3475"/>
        <item m="1" x="2941"/>
        <item m="1" x="4081"/>
        <item m="1" x="4705"/>
        <item m="1" x="5481"/>
        <item m="1" x="5814"/>
        <item m="1" x="6341"/>
        <item m="1" x="3653"/>
        <item m="1" x="2375"/>
        <item m="1" x="6964"/>
        <item m="1" x="2058"/>
        <item m="1" x="1271"/>
        <item m="1" x="4132"/>
        <item m="1" x="4142"/>
        <item m="1" x="2413"/>
        <item m="1" x="3196"/>
        <item m="1" x="4015"/>
        <item m="1" x="4847"/>
        <item m="1" x="2127"/>
        <item m="1" x="1573"/>
        <item m="1" x="6170"/>
        <item m="1" x="5306"/>
        <item m="1" x="5517"/>
        <item m="1" x="6905"/>
        <item m="1" x="6915"/>
        <item m="1" x="5838"/>
        <item m="1" x="6369"/>
        <item m="1" x="6707"/>
        <item m="1" x="7181"/>
        <item m="1" x="3456"/>
        <item m="1" x="4304"/>
        <item m="1" x="4313"/>
        <item m="1" x="7962"/>
        <item m="1" x="4533"/>
        <item m="1" x="6104"/>
        <item m="1" x="3882"/>
        <item m="1" x="4066"/>
        <item m="1" x="3924"/>
        <item m="1" x="6440"/>
        <item m="1" x="5207"/>
        <item m="1" x="3891"/>
        <item m="1" x="7764"/>
        <item m="1" x="3382"/>
        <item m="1" x="2168"/>
        <item m="1" x="4767"/>
        <item m="1" x="3937"/>
        <item m="1" x="7391"/>
        <item m="1" x="2359"/>
        <item m="1" x="3231"/>
        <item m="1" x="5227"/>
        <item m="1" x="5038"/>
        <item m="1" x="5815"/>
        <item m="1" x="4076"/>
        <item m="1" x="3477"/>
        <item m="1" x="4512"/>
        <item m="1" x="4751"/>
        <item m="1" x="1744"/>
        <item m="1" x="4331"/>
        <item m="1" x="2133"/>
        <item m="1" x="1339"/>
        <item m="1" x="4916"/>
        <item m="1" x="3951"/>
        <item m="1" x="438"/>
        <item m="1" x="2980"/>
        <item m="1" x="7467"/>
        <item m="1" x="5348"/>
        <item m="1" x="2206"/>
        <item m="1" x="3479"/>
        <item m="1" x="3911"/>
        <item m="1" x="4322"/>
        <item m="1" x="2640"/>
        <item m="1" x="6380"/>
        <item m="1" x="3732"/>
        <item m="1" x="4334"/>
        <item m="1" x="5012"/>
        <item m="1" x="984"/>
        <item m="1" x="2299"/>
        <item m="1" x="1282"/>
        <item m="1" x="724"/>
        <item m="1" x="4109"/>
        <item m="1" x="4212"/>
        <item m="1" x="5036"/>
        <item m="1" x="3745"/>
        <item m="1" x="3952"/>
        <item m="1" x="5945"/>
        <item m="1" x="3971"/>
        <item m="1" x="7522"/>
        <item m="1" x="7972"/>
        <item m="1" x="4786"/>
        <item m="1" x="4465"/>
        <item m="1" x="4333"/>
        <item m="1" x="7479"/>
        <item m="1" x="4800"/>
        <item m="1" x="2134"/>
        <item m="1" x="5518"/>
        <item m="1" x="5337"/>
        <item m="1" x="5609"/>
        <item m="1" x="4119"/>
        <item m="1" x="4515"/>
        <item m="1" x="4757"/>
        <item m="1" x="4346"/>
        <item m="1" x="4541"/>
        <item m="1" x="6277"/>
        <item m="1" x="3895"/>
        <item m="1" x="2961"/>
        <item m="1" x="3705"/>
        <item m="1" x="3720"/>
        <item m="1" x="1624"/>
        <item m="1" x="3273"/>
        <item m="1" x="2981"/>
        <item m="1" x="4137"/>
        <item m="1" x="7224"/>
        <item m="1" x="5510"/>
        <item m="1" x="7204"/>
        <item m="1" x="7513"/>
        <item m="1" x="211"/>
        <item m="1" x="3277"/>
        <item m="1" x="6953"/>
        <item m="1" x="5048"/>
        <item m="1" x="6684"/>
        <item m="1" x="600"/>
        <item m="1" x="3499"/>
        <item m="1" x="5923"/>
        <item m="1" x="230"/>
        <item m="1" x="4830"/>
        <item m="1" x="7495"/>
        <item m="1" x="3480"/>
        <item m="1" x="4401"/>
        <item m="1" x="3383"/>
        <item m="1" x="5578"/>
        <item m="1" x="5963"/>
        <item m="1" x="7958"/>
        <item m="1" x="7320"/>
        <item m="1" x="1158"/>
        <item m="1" x="7791"/>
        <item m="1" x="4719"/>
        <item m="1" x="5242"/>
        <item m="1" x="5289"/>
        <item m="1" x="7929"/>
        <item m="1" x="4785"/>
        <item m="1" x="5273"/>
        <item m="1" x="7287"/>
        <item m="1" x="7231"/>
        <item m="1" x="1358"/>
        <item m="1" x="3721"/>
        <item m="1" x="4377"/>
        <item m="1" x="5066"/>
        <item m="1" x="4844"/>
        <item m="1" x="1564"/>
        <item m="1" x="6053"/>
        <item m="1" x="6006"/>
        <item m="1" x="4026"/>
        <item m="1" x="6405"/>
        <item m="1" x="4589"/>
        <item m="1" x="4831"/>
        <item m="1" x="6200"/>
        <item m="1" x="7741"/>
        <item m="1" x="6515"/>
        <item m="1" x="6566"/>
        <item m="1" x="2443"/>
        <item m="1" x="5852"/>
        <item m="1" x="5631"/>
        <item m="1" x="5106"/>
        <item m="1" x="2277"/>
        <item m="1" x="4864"/>
        <item m="1" x="4058"/>
        <item m="1" x="515"/>
        <item m="1" x="1443"/>
        <item m="1" x="1750"/>
        <item m="1" x="942"/>
        <item m="1" x="1228"/>
        <item m="1" x="925"/>
        <item m="1" x="1460"/>
        <item m="1" x="1729"/>
        <item m="1" x="5598"/>
        <item m="1" x="6185"/>
        <item m="1" x="4490"/>
        <item m="1" x="2409"/>
        <item m="1" x="7009"/>
        <item m="1" x="3538"/>
        <item m="1" x="2260"/>
        <item m="1" x="7751"/>
        <item m="1" x="7526"/>
        <item m="1" x="7282"/>
        <item m="1" x="5964"/>
        <item m="1" x="3800"/>
        <item m="1" x="7307"/>
        <item m="1" x="676"/>
        <item m="1" x="6988"/>
        <item m="1" x="5944"/>
        <item m="1" x="7100"/>
        <item m="1" x="4466"/>
        <item m="1" x="1672"/>
        <item m="1" x="260"/>
        <item m="1" x="6607"/>
        <item m="1" x="3587"/>
        <item m="1" x="7792"/>
        <item m="1" x="3557"/>
        <item m="1" x="1159"/>
        <item m="1" x="1180"/>
        <item m="1" x="453"/>
        <item m="1" x="943"/>
        <item m="1" x="2339"/>
        <item m="1" x="7758"/>
        <item m="1" x="725"/>
        <item m="1" x="7776"/>
        <item m="1" x="468"/>
        <item m="1" x="2854"/>
        <item m="1" x="5619"/>
        <item m="1" x="7742"/>
        <item m="1" x="1466"/>
        <item m="1" x="5063"/>
        <item m="1" x="2855"/>
        <item m="1" x="7260"/>
        <item m="1" x="5363"/>
        <item m="1" x="6495"/>
        <item m="1" x="1125"/>
        <item m="1" x="7048"/>
        <item m="1" x="7743"/>
        <item m="1" x="1174"/>
        <item m="1" x="7011"/>
        <item m="1" x="708"/>
        <item m="1" x="6218"/>
        <item m="1" x="4979"/>
        <item m="1" x="3513"/>
        <item m="1" x="4539"/>
        <item m="1" x="4781"/>
        <item m="1" x="1781"/>
        <item m="1" x="4355"/>
        <item m="1" x="5943"/>
        <item m="1" x="2340"/>
        <item m="1" x="2353"/>
        <item m="1" x="2613"/>
        <item m="1" x="1171"/>
        <item m="1" x="1517"/>
        <item m="1" x="5801"/>
        <item m="1" x="6473"/>
        <item m="1" x="3619"/>
        <item m="1" x="7045"/>
        <item m="1" x="1229"/>
        <item m="1" x="7371"/>
        <item m="1" x="6803"/>
        <item m="1" x="7060"/>
        <item m="1" x="1014"/>
        <item m="1" x="1316"/>
        <item m="1" x="819"/>
        <item m="1" x="7777"/>
        <item m="1" x="481"/>
        <item m="1" x="387"/>
        <item m="1" x="1813"/>
        <item m="1" x="5338"/>
        <item m="1" x="7504"/>
        <item m="1" x="1764"/>
        <item m="1" x="726"/>
        <item m="1" x="1537"/>
        <item m="1" x="744"/>
        <item m="1" x="6219"/>
        <item m="1" x="1496"/>
        <item m="1" x="495"/>
        <item m="1" x="5389"/>
        <item m="1" x="7569"/>
        <item m="1" x="482"/>
        <item m="1" x="300"/>
        <item m="1" x="1518"/>
        <item m="1" x="957"/>
        <item m="1" x="284"/>
        <item m="1" x="5121"/>
        <item m="1" x="7759"/>
        <item m="1" x="7098"/>
        <item m="1" x="276"/>
        <item m="1" x="3851"/>
        <item m="1" x="7078"/>
        <item m="1" x="2103"/>
        <item m="1" x="3212"/>
        <item m="1" x="3478"/>
        <item m="1" x="1172"/>
        <item m="1" x="6781"/>
        <item m="1" x="7545"/>
        <item m="1" x="7558"/>
        <item m="1" x="3527"/>
        <item m="1" x="3498"/>
        <item m="1" x="743"/>
        <item m="1" x="759"/>
        <item m="1" x="1852"/>
        <item m="1" x="7030"/>
        <item m="1" x="6497"/>
        <item m="1" x="6271"/>
        <item m="1" x="1187"/>
        <item m="1" x="4423"/>
        <item m="1" x="2366"/>
        <item m="1" x="2424"/>
        <item m="1" x="2047"/>
        <item m="1" x="2581"/>
        <item m="1" x="5120"/>
        <item m="1" x="6471"/>
        <item m="1" x="7046"/>
        <item m="1" x="7811"/>
        <item m="1" x="2664"/>
        <item m="1" x="2130"/>
        <item m="1" x="5211"/>
        <item m="1" x="5292"/>
        <item m="1" x="1783"/>
        <item m="1" x="274"/>
        <item m="1" x="5243"/>
        <item m="1" x="3237"/>
        <item m="1" x="1029"/>
        <item m="1" x="3405"/>
        <item m="1" x="6780"/>
        <item m="1" x="2365"/>
        <item m="1" x="3874"/>
        <item m="1" x="3246"/>
        <item m="1" x="3514"/>
        <item m="1" x="1244"/>
        <item m="1" x="7824"/>
        <item m="1" x="262"/>
        <item m="1" x="1798"/>
        <item m="1" x="496"/>
        <item m="1" x="301"/>
        <item m="1" x="7353"/>
        <item m="1" x="7594"/>
        <item m="1" x="760"/>
        <item m="1" x="5459"/>
        <item m="1" x="3563"/>
        <item m="1" x="6496"/>
        <item m="1" x="7335"/>
        <item m="1" x="7559"/>
        <item m="1" x="261"/>
        <item m="1" x="7352"/>
        <item m="1" x="7869"/>
        <item m="1" x="506"/>
        <item m="1" x="6288"/>
        <item m="1" x="407"/>
        <item m="1" x="6877"/>
        <item m="1" x="2244"/>
        <item m="1" x="1264"/>
        <item m="1" x="3286"/>
        <item m="1" x="3535"/>
        <item m="1" x="329"/>
        <item m="1" x="2820"/>
        <item m="1" x="7129"/>
        <item m="1" x="531"/>
        <item m="1" x="7145"/>
        <item m="1" x="6987"/>
        <item m="1" x="1263"/>
        <item m="1" x="5683"/>
        <item m="1" x="7626"/>
        <item m="1" x="346"/>
        <item m="1" x="1078"/>
        <item m="1" x="1352"/>
        <item m="1" x="3459"/>
        <item m="1" x="5108"/>
        <item m="1" x="794"/>
        <item m="1" x="3560"/>
        <item m="1" x="2425"/>
        <item m="1" x="4156"/>
        <item m="1" x="777"/>
        <item m="1" x="1875"/>
        <item m="1" x="5684"/>
        <item m="1" x="2952"/>
        <item m="1" x="4110"/>
        <item m="1" x="153"/>
        <item m="1" x="7061"/>
        <item m="1" x="7793"/>
        <item m="1" x="6308"/>
        <item m="1" x="1245"/>
        <item m="1" x="3179"/>
        <item m="1" x="1797"/>
        <item m="1" x="1569"/>
        <item m="1" x="2695"/>
        <item m="1" x="529"/>
        <item m="1" x="2433"/>
        <item m="1" x="6456"/>
        <item m="1" x="4497"/>
        <item m="1" x="4778"/>
        <item m="1" x="3892"/>
        <item m="1" x="3360"/>
        <item m="1" x="5522"/>
        <item m="1" x="2278"/>
        <item m="1" x="2447"/>
        <item m="1" x="7546"/>
        <item m="1" x="3723"/>
        <item m="1" x="4576"/>
        <item m="1" x="5026"/>
        <item m="1" x="5069"/>
        <item m="1" x="2985"/>
        <item m="1" x="3223"/>
        <item m="1" x="6156"/>
        <item m="1" x="7500"/>
        <item m="1" x="4779"/>
        <item m="1" x="7086"/>
        <item m="1" x="7235"/>
        <item m="1" x="5419"/>
        <item m="1" x="5936"/>
        <item m="1" x="1365"/>
        <item m="1" x="5086"/>
        <item m="1" x="3396"/>
        <item m="1" x="3614"/>
        <item m="1" x="3549"/>
        <item m="1" x="7737"/>
        <item m="1" x="6467"/>
        <item m="1" x="3954"/>
        <item m="1" x="2080"/>
        <item m="1" x="2448"/>
        <item m="1" x="4555"/>
        <item m="1" x="3940"/>
        <item m="1" x="6343"/>
        <item m="1" x="5342"/>
        <item m="1" x="4164"/>
        <item m="1" x="7220"/>
        <item m="1" x="5639"/>
        <item m="1" x="6965"/>
        <item m="1" x="2262"/>
        <item m="1" x="5557"/>
        <item m="1" x="1343"/>
        <item m="1" x="5102"/>
        <item m="1" x="2199"/>
        <item m="1" x="5858"/>
        <item m="1" x="5343"/>
        <item m="1" x="7527"/>
        <item m="1" x="2128"/>
        <item m="1" x="3430"/>
        <item m="1" x="3650"/>
        <item m="1" x="1889"/>
        <item m="1" x="5574"/>
        <item m="1" x="5309"/>
        <item m="1" x="5327"/>
        <item m="1" x="7542"/>
        <item m="1" x="3939"/>
        <item m="1" x="4157"/>
        <item m="1" x="3526"/>
        <item m="1" x="793"/>
        <item m="1" x="6437"/>
        <item m="1" x="4140"/>
        <item m="1" x="4382"/>
        <item m="1" x="2449"/>
        <item m="1" x="6215"/>
        <item m="1" x="4613"/>
        <item m="1" x="3713"/>
        <item m="1" x="2082"/>
        <item m="1" x="3712"/>
        <item m="1" x="3000"/>
        <item m="1" x="4417"/>
        <item m="1" x="6710"/>
        <item m="1" x="6760"/>
        <item m="1" x="2747"/>
        <item m="1" x="6165"/>
        <item m="1" x="5902"/>
        <item m="1" x="7354"/>
        <item m="1" x="6055"/>
        <item m="1" x="811"/>
        <item m="1" x="4518"/>
        <item m="1" x="4338"/>
        <item m="1" x="6138"/>
        <item m="1" x="6711"/>
        <item m="1" x="6421"/>
        <item m="1" x="3756"/>
        <item m="1" x="810"/>
        <item m="1" x="4622"/>
        <item m="1" x="2875"/>
        <item m="1" x="6986"/>
        <item m="1" x="5040"/>
        <item m="1" x="5444"/>
        <item m="1" x="4577"/>
        <item m="1" x="3770"/>
        <item m="1" x="5558"/>
        <item m="1" x="4859"/>
        <item m="1" x="6748"/>
        <item m="1" x="5116"/>
        <item m="1" x="2177"/>
        <item m="1" x="3927"/>
        <item m="1" x="4592"/>
        <item m="1" x="3856"/>
        <item m="1" x="4051"/>
        <item m="1" x="6195"/>
        <item m="1" x="6734"/>
        <item m="1" x="1954"/>
        <item m="1" x="7236"/>
        <item m="1" x="7614"/>
        <item m="1" x="2696"/>
        <item m="1" x="3021"/>
        <item m="1" x="4165"/>
        <item m="1" x="3588"/>
        <item m="1" x="6524"/>
        <item m="1" x="7902"/>
        <item m="1" x="3001"/>
        <item m="1" x="7254"/>
        <item m="1" x="7719"/>
        <item m="1" x="1834"/>
        <item m="1" x="213"/>
        <item m="1" x="5117"/>
        <item m="1" x="562"/>
        <item m="1" x="492"/>
        <item m="1" x="1046"/>
        <item m="1" x="5614"/>
        <item m="1" x="7027"/>
        <item m="1" x="5179"/>
        <item m="1" x="5733"/>
        <item m="1" x="1735"/>
        <item m="1" x="4418"/>
        <item m="1" x="5638"/>
        <item m="1" x="6800"/>
        <item m="1" x="6231"/>
        <item m="1" x="2771"/>
        <item m="1" x="4201"/>
        <item m="1" x="1955"/>
        <item m="1" x="2200"/>
        <item m="1" x="2450"/>
        <item m="1" x="6321"/>
        <item m="1" x="4393"/>
        <item m="1" x="4614"/>
        <item m="1" x="4029"/>
        <item m="1" x="4642"/>
        <item m="1" x="6492"/>
        <item m="1" x="5208"/>
        <item m="1" x="6879"/>
        <item m="1" x="2860"/>
        <item m="1" x="7276"/>
        <item m="1" x="6268"/>
        <item m="1" x="831"/>
        <item m="1" x="530"/>
        <item m="1" x="846"/>
        <item m="1" x="5130"/>
        <item m="1" x="5145"/>
        <item m="1" x="5980"/>
        <item m="1" x="7333"/>
        <item m="1" x="7097"/>
        <item m="1" x="6342"/>
        <item m="1" x="6196"/>
        <item m="1" x="3769"/>
        <item m="1" x="6801"/>
        <item m="1" x="1903"/>
        <item m="1" x="1601"/>
        <item m="1" x="4615"/>
        <item m="1" x="4012"/>
        <item m="1" x="4659"/>
        <item m="1" x="7318"/>
        <item m="1" x="5482"/>
        <item m="1" x="5979"/>
        <item m="1" x="558"/>
        <item m="1" x="1730"/>
        <item m="1" x="4404"/>
        <item m="1" x="4278"/>
        <item m="1" x="5712"/>
        <item m="1" x="4243"/>
        <item m="1" x="4673"/>
        <item m="1" x="2293"/>
        <item m="1" x="2537"/>
        <item m="1" x="4203"/>
        <item m="1" x="4368"/>
        <item m="1" x="3948"/>
        <item m="1" x="7883"/>
        <item m="1" x="4202"/>
        <item m="1" x="6761"/>
        <item m="1" x="5681"/>
        <item m="1" x="6004"/>
        <item m="1" x="470"/>
        <item m="1" x="1126"/>
        <item m="1" x="2068"/>
        <item m="1" x="4909"/>
        <item m="1" x="3566"/>
        <item m="1" x="3771"/>
        <item m="1" x="3136"/>
        <item m="1" x="2801"/>
        <item m="1" x="3801"/>
        <item m="1" x="4612"/>
        <item m="1" x="3020"/>
        <item m="1" x="3254"/>
        <item m="1" x="4030"/>
        <item m="1" x="4419"/>
        <item m="1" x="4258"/>
        <item m="1" x="590"/>
        <item m="1" x="5519"/>
        <item m="1" x="4031"/>
        <item m="1" x="4244"/>
        <item m="1" x="3351"/>
        <item m="1" x="6869"/>
        <item m="1" x="6884"/>
        <item m="1" x="832"/>
        <item m="1" x="4964"/>
        <item m="1" x="3802"/>
        <item m="1" x="464"/>
        <item m="1" x="5695"/>
        <item m="1" x="5696"/>
        <item m="1" x="563"/>
        <item m="1" x="5146"/>
        <item m="1" x="4462"/>
        <item m="1" x="4049"/>
        <item m="1" x="5384"/>
        <item m="1" x="4898"/>
        <item m="1" x="1981"/>
        <item m="1" x="7015"/>
        <item m="1" x="6820"/>
        <item m="1" x="5434"/>
        <item m="1" x="1162"/>
        <item m="1" x="289"/>
        <item m="1" x="2170"/>
        <item m="1" x="1887"/>
        <item m="1" x="6506"/>
        <item m="1" x="5415"/>
        <item m="1" x="7384"/>
        <item m="1" x="3547"/>
        <item m="1" x="856"/>
        <item m="1" x="867"/>
        <item m="1" x="1497"/>
        <item m="1" x="6645"/>
        <item m="1" x="7075"/>
        <item m="1" x="2115"/>
        <item m="1" x="4878"/>
        <item m="1" x="1519"/>
        <item m="1" x="6491"/>
        <item m="1" x="5662"/>
        <item m="1" x="3073"/>
        <item m="1" x="4405"/>
        <item m="1" x="5640"/>
        <item m="1" x="6197"/>
        <item m="1" x="3074"/>
        <item m="1" x="2856"/>
        <item m="1" x="6232"/>
        <item m="1" x="6802"/>
        <item m="1" x="3331"/>
        <item m="1" x="2312"/>
        <item m="1" x="6541"/>
        <item m="1" x="6747"/>
        <item m="1" x="5813"/>
        <item m="1" x="1246"/>
        <item m="1" x="7507"/>
        <item m="1" x="4633"/>
        <item m="1" x="3836"/>
        <item m="1" x="5118"/>
        <item m="1" x="5160"/>
        <item m="1" x="5404"/>
        <item m="1" x="5180"/>
        <item m="1" x="6005"/>
        <item m="1" x="5713"/>
        <item m="1" x="6285"/>
        <item m="1" x="4454"/>
        <item m="1" x="6306"/>
        <item m="1" x="5161"/>
        <item m="1" x="2977"/>
        <item m="1" x="6220"/>
        <item m="1" x="6273"/>
        <item m="1" x="3840"/>
        <item m="1" x="6624"/>
        <item m="1" x="5478"/>
        <item m="1" x="1538"/>
        <item m="1" x="7388"/>
        <item m="1" x="6085"/>
        <item m="1" x="3620"/>
        <item m="1" x="6562"/>
        <item m="1" x="7930"/>
        <item m="1" x="7334"/>
        <item m="1" x="6018"/>
        <item m="1" x="5756"/>
        <item m="1" x="5690"/>
        <item m="1" x="4245"/>
        <item m="1" x="4312"/>
        <item m="1" x="4506"/>
        <item m="1" x="4737"/>
        <item m="1" x="4716"/>
        <item m="1" x="6035"/>
        <item m="1" x="6876"/>
        <item m="1" x="7423"/>
        <item m="1" x="7866"/>
        <item m="1" x="4990"/>
        <item m="1" x="5214"/>
        <item m="1" x="5737"/>
        <item m="1" x="7064"/>
        <item m="1" x="5466"/>
        <item m="1" x="4065"/>
        <item m="1" x="5460"/>
        <item m="1" x="5269"/>
        <item m="1" x="6559"/>
        <item m="1" x="7403"/>
        <item m="1" x="6010"/>
        <item m="1" x="1872"/>
        <item m="1" x="5551"/>
        <item m="1" x="7597"/>
        <item m="1" x="3685"/>
        <item m="1" x="4971"/>
        <item m="1" x="5201"/>
        <item m="1" x="334"/>
        <item m="1" x="797"/>
        <item m="1" x="2942"/>
        <item m="1" x="502"/>
        <item m="1" x="4954"/>
        <item m="1" x="2444"/>
        <item m="1" x="3197"/>
        <item m="1" x="7410"/>
        <item m="1" x="7610"/>
        <item m="1" x="5369"/>
        <item m="1" x="1570"/>
        <item m="1" x="1707"/>
        <item m="1" x="5723"/>
        <item m="1" x="5738"/>
        <item m="1" x="7427"/>
        <item m="1" x="6311"/>
        <item m="1" x="6587"/>
        <item m="1" x="6547"/>
        <item m="1" x="6838"/>
        <item m="1" x="7083"/>
        <item m="1" x="2152"/>
        <item m="1" x="7059"/>
        <item m="1" x="1335"/>
        <item m="1" x="689"/>
        <item m="1" x="6353"/>
        <item m="1" x="6017"/>
        <item m="1" x="1030"/>
        <item m="1" x="130"/>
        <item m="1" x="6011"/>
        <item m="1" x="6042"/>
        <item m="1" x="6570"/>
        <item m="1" x="5739"/>
        <item m="1" x="5278"/>
        <item m="1" x="1268"/>
        <item m="1" x="1802"/>
        <item m="1" x="2029"/>
        <item m="1" x="6569"/>
        <item m="1" x="5762"/>
        <item m="1" x="893"/>
        <item m="1" x="1602"/>
        <item m="1" x="6291"/>
        <item m="1" x="1109"/>
        <item m="1" x="519"/>
        <item m="1" x="2118"/>
        <item m="1" x="6292"/>
        <item m="1" x="7134"/>
        <item m="1" x="7583"/>
        <item m="1" x="6370"/>
        <item m="1" x="6269"/>
        <item m="1" x="7133"/>
        <item m="1" x="5859"/>
        <item m="1" x="6312"/>
        <item m="1" x="131"/>
        <item m="1" x="1637"/>
        <item m="1" x="7383"/>
        <item m="1" x="1016"/>
        <item m="1" x="7166"/>
        <item m="1" x="585"/>
        <item m="1" x="7890"/>
        <item m="1" x="1606"/>
        <item m="1" x="1031"/>
        <item m="1" x="731"/>
        <item m="1" x="1323"/>
        <item m="1" x="5784"/>
        <item m="1" x="4706"/>
        <item m="1" x="7065"/>
        <item m="1" x="7537"/>
        <item m="1" x="2494"/>
        <item m="1" x="7150"/>
        <item m="1" x="591"/>
        <item m="1" x="1160"/>
        <item m="1" x="5799"/>
        <item m="1" x="1638"/>
        <item m="1" x="4273"/>
        <item m="1" x="1340"/>
        <item m="1" x="3706"/>
        <item m="1" x="6898"/>
        <item m="1" x="5486"/>
        <item m="1" x="3835"/>
        <item m="1" x="7611"/>
        <item m="1" x="4641"/>
        <item m="1" x="3056"/>
        <item m="1" x="3295"/>
        <item m="1" x="4505"/>
        <item m="1" x="360"/>
        <item m="1" x="1359"/>
        <item m="1" x="172"/>
        <item m="1" x="630"/>
        <item m="1" x="5589"/>
        <item m="1" x="6571"/>
        <item m="1" x="7905"/>
        <item m="1" x="2176"/>
        <item m="1" x="825"/>
        <item m="1" x="6907"/>
        <item m="1" x="4690"/>
        <item m="1" x="397"/>
        <item m="1" x="1491"/>
        <item m="1" x="5777"/>
        <item m="1" x="1586"/>
        <item m="1" x="631"/>
        <item m="1" x="1662"/>
        <item m="1" x="6611"/>
        <item m="1" x="7135"/>
        <item m="1" x="7151"/>
        <item m="1" x="7917"/>
        <item m="1" x="7428"/>
        <item m="1" x="5788"/>
        <item m="1" x="6107"/>
        <item m="1" x="7470"/>
        <item m="1" x="2545"/>
        <item m="1" x="1909"/>
        <item m="1" x="181"/>
        <item m="1" x="3249"/>
        <item m="1" x="7906"/>
        <item m="1" x="2211"/>
        <item m="1" x="7915"/>
        <item m="1" x="1585"/>
        <item m="1" x="1336"/>
        <item m="1" x="1503"/>
        <item m="1" x="7778"/>
        <item m="1" x="1653"/>
        <item m="1" x="6348"/>
        <item m="1" x="3578"/>
        <item m="1" x="935"/>
        <item m="1" x="1701"/>
        <item m="1" x="861"/>
        <item m="1" x="144"/>
        <item m="1" x="2149"/>
        <item m="1" x="792"/>
        <item m="1" x="6850"/>
        <item m="1" x="6061"/>
        <item m="1" x="848"/>
        <item m="1" x="2153"/>
        <item m="1" x="3007"/>
        <item m="1" x="6880"/>
        <item m="1" x="6778"/>
        <item m="1" x="1588"/>
        <item m="1" x="549"/>
        <item m="1" x="5442"/>
        <item m="1" x="2678"/>
        <item m="1" x="6325"/>
        <item m="1" x="1374"/>
        <item m="1" x="6326"/>
        <item m="1" x="1551"/>
        <item m="1" x="5632"/>
        <item m="1" x="6050"/>
        <item m="1" x="6651"/>
        <item m="1" x="7237"/>
        <item m="1" x="596"/>
        <item m="1" x="2677"/>
        <item m="1" x="7186"/>
        <item m="1" x="1587"/>
        <item m="1" x="2982"/>
        <item m="1" x="3410"/>
        <item m="1" x="3292"/>
        <item m="1" x="1070"/>
        <item m="1" x="7951"/>
        <item m="1" x="7366"/>
        <item m="1" x="6051"/>
        <item m="1" x="5835"/>
        <item m="1" x="5722"/>
        <item m="1" x="6609"/>
        <item m="1" x="1933"/>
        <item m="1" x="1661"/>
        <item m="1" x="6393"/>
        <item m="1" x="2799"/>
        <item m="1" x="3312"/>
        <item m="1" x="670"/>
        <item m="1" x="1625"/>
        <item m="1" x="6610"/>
        <item m="1" x="2219"/>
        <item m="1" x="7167"/>
        <item m="1" x="6932"/>
        <item m="1" x="1929"/>
        <item m="1" x="4083"/>
        <item m="1" x="7884"/>
        <item m="1" x="1726"/>
        <item m="1" x="3290"/>
        <item m="1" x="4718"/>
        <item m="1" x="2010"/>
        <item m="1" x="2495"/>
        <item m="1" x="6399"/>
        <item m="1" x="7686"/>
        <item m="1" x="422"/>
        <item m="1" x="2261"/>
        <item m="1" x="6933"/>
        <item m="1" x="6712"/>
        <item m="1" x="7941"/>
        <item m="1" x="729"/>
        <item m="1" x="208"/>
        <item m="1" x="1708"/>
        <item m="1" x="3733"/>
        <item m="1" x="5523"/>
        <item m="1" x="7255"/>
        <item m="1" x="6182"/>
        <item m="1" x="6423"/>
        <item m="1" x="884"/>
        <item m="1" x="635"/>
        <item m="1" x="3313"/>
        <item m="1" x="225"/>
        <item m="1" x="6966"/>
        <item m="1" x="691"/>
        <item m="1" x="536"/>
        <item m="1" x="2275"/>
        <item m="1" x="970"/>
        <item m="1" x="6357"/>
        <item m="1" x="226"/>
        <item m="1" x="3291"/>
        <item m="1" x="6672"/>
        <item m="1" x="5502"/>
        <item m="1" x="947"/>
        <item m="1" x="6417"/>
        <item m="1" x="6305"/>
        <item m="1" x="1110"/>
        <item m="1" x="1727"/>
        <item m="1" x="242"/>
        <item m="1" x="434"/>
        <item m="1" x="1122"/>
        <item m="1" x="3053"/>
        <item m="1" x="6439"/>
        <item m="1" x="7644"/>
        <item m="1" x="3660"/>
        <item m="1" x="872"/>
        <item m="1" x="7954"/>
        <item m="1" x="3969"/>
        <item m="1" x="833"/>
        <item m="1" x="5477"/>
        <item m="1" x="690"/>
        <item m="1" x="5757"/>
        <item m="1" x="5834"/>
        <item m="1" x="7705"/>
        <item m="1" x="2011"/>
        <item m="1" x="1123"/>
        <item m="1" x="7486"/>
        <item m="1" x="6950"/>
        <item m="1" x="2815"/>
        <item m="1" x="3864"/>
        <item m="1" x="209"/>
        <item m="1" x="1144"/>
        <item m="1" x="3863"/>
        <item m="1" x="5103"/>
        <item m="1" x="7754"/>
        <item m="1" x="6166"/>
        <item m="1" x="1416"/>
        <item m="1" x="4672"/>
        <item m="1" x="3093"/>
        <item m="1" x="3330"/>
        <item m="1" x="4531"/>
        <item m="1" x="7738"/>
        <item m="1" x="2555"/>
        <item m="1" x="7317"/>
        <item m="1" x="1627"/>
        <item m="1" x="2533"/>
        <item m="1" x="5961"/>
        <item m="1" x="210"/>
        <item m="1" x="5087"/>
        <item m="1" x="7497"/>
        <item m="1" x="7992"/>
        <item m="1" x="4856"/>
        <item m="1" x="6846"/>
        <item m="1" x="7028"/>
        <item m="1" x="7305"/>
        <item m="1" x="2605"/>
        <item m="1" x="921"/>
        <item m="1" x="6894"/>
        <item m="1" x="6125"/>
        <item m="1" x="449"/>
        <item m="1" x="3365"/>
        <item m="1" x="7839"/>
        <item m="1" x="6183"/>
        <item m="1" x="922"/>
        <item m="1" x="273"/>
        <item m="1" x="1932"/>
        <item m="1" x="2218"/>
        <item m="1" x="2743"/>
        <item m="1" x="1481"/>
        <item m="1" x="3023"/>
        <item m="1" x="6083"/>
        <item m="1" x="4231"/>
        <item m="1" x="2253"/>
        <item m="1" x="3900"/>
        <item m="1" x="1372"/>
        <item m="1" x="1543"/>
        <item m="1" x="5812"/>
        <item m="1" x="7901"/>
        <item m="1" x="2025"/>
        <item m="1" x="5372"/>
        <item m="1" x="3605"/>
        <item m="1" x="1469"/>
        <item m="1" x="6398"/>
        <item m="1" x="6377"/>
        <item m="1" x="939"/>
        <item m="1" x="3349"/>
        <item m="1" x="2234"/>
        <item m="1" x="6713"/>
        <item m="1" x="299"/>
        <item m="1" x="6736"/>
        <item m="1" x="6400"/>
        <item m="1" x="7485"/>
        <item m="1" x="1205"/>
        <item m="1" x="2515"/>
        <item m="1" x="5575"/>
        <item m="1" x="191"/>
        <item m="1" x="7755"/>
        <item m="1" x="1745"/>
        <item m="1" x="2024"/>
        <item m="1" x="192"/>
        <item m="1" x="656"/>
        <item m="1" x="1441"/>
        <item m="1" x="3831"/>
        <item m="1" x="6469"/>
        <item m="1" x="2978"/>
        <item m="1" x="6819"/>
        <item m="1" x="2552"/>
        <item m="1" x="920"/>
        <item m="1" x="5826"/>
        <item m="1" x="1583"/>
        <item m="1" x="5423"/>
        <item m="1" x="5373"/>
        <item m="1" x="6653"/>
        <item m="1" x="5765"/>
        <item m="1" x="7189"/>
        <item m="1" x="6783"/>
        <item m="1" x="6474"/>
        <item m="1" x="6327"/>
        <item m="1" x="7561"/>
        <item m="1" x="7035"/>
        <item m="1" x="6763"/>
        <item m="1" x="6461"/>
        <item m="1" x="7337"/>
        <item m="1" x="7190"/>
        <item m="1" x="6475"/>
        <item m="1" x="6328"/>
        <item m="1" x="7548"/>
        <item m="1" x="7439"/>
        <item m="1" x="6359"/>
        <item m="1" x="7991"/>
        <item m="1" x="1666"/>
        <item m="1" x="1993"/>
        <item m="1" x="3079"/>
        <item m="1" x="4885"/>
        <item m="1" x="6235"/>
        <item m="1" x="6804"/>
        <item m="1" x="1165"/>
        <item m="1" x="4688"/>
        <item m="1" x="5407"/>
        <item m="1" x="3062"/>
        <item m="1" x="2827"/>
        <item m="1" x="5716"/>
        <item m="1" x="2521"/>
        <item m="1" x="4087"/>
        <item m="1" x="6602"/>
        <item m="1" x="3987"/>
        <item m="1" x="3788"/>
        <item m="1" x="1753"/>
        <item m="1" x="7182"/>
        <item m="1" x="5420"/>
        <item m="1" x="1440"/>
        <item m="1" x="6967"/>
        <item m="1" x="3134"/>
        <item m="1" x="3806"/>
        <item m="1" x="4689"/>
        <item m="1" x="4928"/>
        <item m="1" x="5421"/>
        <item m="1" x="6038"/>
        <item m="1" x="4913"/>
        <item m="1" x="1696"/>
        <item m="1" x="2052"/>
        <item m="1" x="3423"/>
        <item m="1" x="2435"/>
        <item m="1" x="5761"/>
        <item m="1" x="636"/>
        <item m="1" x="1111"/>
        <item m="1" x="7739"/>
        <item m="1" x="409"/>
        <item m="1" x="692"/>
        <item m="1" x="327"/>
        <item m="1" x="3805"/>
        <item m="1" x="2485"/>
        <item m="1" x="4003"/>
        <item m="1" x="4248"/>
        <item m="1" x="3696"/>
        <item m="1" x="1960"/>
        <item m="1" x="7079"/>
        <item m="1" x="3594"/>
        <item m="1" x="227"/>
        <item m="1" x="2562"/>
        <item m="1" x="4952"/>
        <item m="1" x="356"/>
        <item m="1" x="1154"/>
        <item m="1" x="4436"/>
        <item m="1" x="7607"/>
        <item m="1" x="2086"/>
        <item m="1" x="4082"/>
        <item m="1" x="7595"/>
        <item m="1" x="1790"/>
        <item m="1" x="3612"/>
        <item m="1" x="7338"/>
        <item m="1" x="3938"/>
        <item m="1" x="1524"/>
        <item m="1" x="989"/>
        <item m="1" x="4277"/>
        <item m="1" x="6438"/>
        <item m="1" x="423"/>
        <item m="1" x="2598"/>
        <item m="1" x="3424"/>
        <item m="1" x="4067"/>
        <item m="1" x="4969"/>
        <item m="1" x="5198"/>
        <item m="1" x="6582"/>
        <item m="1" x="7099"/>
        <item m="1" x="6289"/>
        <item m="1" x="4951"/>
        <item m="1" x="5182"/>
        <item m="1" x="6248"/>
        <item m="1" x="5408"/>
        <item m="1" x="5682"/>
        <item m="1" x="374"/>
        <item m="1" x="5385"/>
        <item m="1" x="6493"/>
        <item m="1" x="6749"/>
        <item m="1" x="7256"/>
        <item m="1" x="3581"/>
        <item m="1" x="4459"/>
        <item m="1" x="961"/>
        <item m="1" x="4460"/>
        <item m="1" x="978"/>
        <item m="1" x="3113"/>
        <item m="1" x="2400"/>
        <item m="1" x="3114"/>
        <item m="1" x="3629"/>
        <item m="1" x="1216"/>
        <item m="1" x="7761"/>
        <item m="1" x="3096"/>
        <item m="1" x="5445"/>
        <item m="1" x="4288"/>
        <item m="1" x="4740"/>
        <item m="1" x="2599"/>
        <item m="1" x="3115"/>
        <item m="1" x="2892"/>
        <item m="1" x="3135"/>
        <item m="1" x="6105"/>
        <item m="1" x="3883"/>
        <item m="1" x="7113"/>
        <item m="1" x="2543"/>
        <item m="1" x="4989"/>
        <item m="1" x="2626"/>
        <item m="1" x="173"/>
        <item m="1" x="5873"/>
        <item m="1" x="5535"/>
        <item m="1" x="7198"/>
        <item m="1" x="6916"/>
        <item m="1" x="1626"/>
        <item m="1" x="5759"/>
        <item m="1" x="2464"/>
        <item m="1" x="7184"/>
        <item m="1" x="7627"/>
        <item m="1" x="2615"/>
        <item m="1" x="4552"/>
        <item m="1" x="4720"/>
        <item m="1" x="4914"/>
        <item m="1" x="5782"/>
        <item m="1" x="5025"/>
        <item m="1" x="3133"/>
        <item m="1" x="4912"/>
        <item m="1" x="3439"/>
        <item m="1" x="3458"/>
        <item m="1" x="5758"/>
        <item m="1" x="1269"/>
        <item m="1" x="3440"/>
        <item m="1" x="1288"/>
        <item m="1" x="3651"/>
        <item m="1" x="3657"/>
        <item m="1" x="3147"/>
        <item m="1" x="2927"/>
        <item m="1" x="6472"/>
        <item m="1" x="1096"/>
        <item m="1" x="3839"/>
        <item m="1" x="1047"/>
        <item m="1" x="4741"/>
        <item m="1" x="4100"/>
        <item m="1" x="6356"/>
        <item m="1" x="4495"/>
        <item m="1" x="2651"/>
        <item m="1" x="3457"/>
        <item m="1" x="3174"/>
        <item m="1" x="5498"/>
        <item m="1" x="5898"/>
        <item m="1" x="1390"/>
        <item m="1" x="2532"/>
        <item m="1" x="2916"/>
        <item m="1" x="3159"/>
        <item m="1" x="3482"/>
        <item m="1" x="5484"/>
        <item m="1" x="2379"/>
        <item m="1" x="4875"/>
        <item m="1" x="6089"/>
        <item m="1" x="4897"/>
        <item m="1" x="7183"/>
        <item m="1" x="2679"/>
        <item m="1" x="6468"/>
        <item m="1" x="1082"/>
        <item m="1" x="3709"/>
        <item m="1" x="4289"/>
        <item m="1" x="4787"/>
        <item m="1" x="4035"/>
        <item m="1" x="5497"/>
        <item m="1" x="1817"/>
        <item m="1" x="3658"/>
        <item m="1" x="6071"/>
        <item m="1" x="6355"/>
        <item m="1" x="7631"/>
        <item m="1" x="4154"/>
        <item m="1" x="5571"/>
        <item m="1" x="6418"/>
        <item m="1" x="3216"/>
        <item m="1" x="4335"/>
        <item m="1" x="3899"/>
        <item m="1" x="3925"/>
        <item m="1" x="7774"/>
        <item m="1" x="3218"/>
        <item m="1" x="4572"/>
        <item m="1" x="4950"/>
        <item m="1" x="5817"/>
        <item m="1" x="3251"/>
        <item m="1" x="3528"/>
        <item m="1" x="6669"/>
        <item m="1" x="3985"/>
        <item m="1" x="3656"/>
        <item m="1" x="5307"/>
        <item m="1" x="3481"/>
        <item m="1" x="3687"/>
        <item m="1" x="3972"/>
        <item m="1" x="4378"/>
        <item m="1" x="5290"/>
        <item m="1" x="1607"/>
        <item m="1" x="6121"/>
        <item m="1" x="6338"/>
        <item m="1" x="2032"/>
        <item m="1" x="4554"/>
        <item m="1" x="5067"/>
        <item m="1" x="3896"/>
        <item m="1" x="4259"/>
        <item m="1" x="4461"/>
        <item m="1" x="4676"/>
        <item m="1" x="5050"/>
        <item m="1" x="2652"/>
        <item m="1" x="3913"/>
        <item m="1" x="3516"/>
        <item m="1" x="5572"/>
        <item m="1" x="2680"/>
        <item m="1" x="4178"/>
        <item m="1" x="7217"/>
        <item m="1" x="4631"/>
        <item m="1" x="5051"/>
        <item m="1" x="1484"/>
        <item m="1" x="5914"/>
        <item m="1" x="6743"/>
        <item m="1" x="4543"/>
        <item m="1" x="5552"/>
        <item m="1" x="5291"/>
        <item m="1" x="3217"/>
        <item m="1" x="1341"/>
        <item m="1" x="3926"/>
        <item m="1" x="5553"/>
        <item m="1" x="4645"/>
        <item m="1" x="6962"/>
        <item m="1" x="4930"/>
        <item m="1" x="5816"/>
        <item m="1" x="6928"/>
        <item m="1" x="4788"/>
        <item m="1" x="4802"/>
        <item m="1" x="5818"/>
        <item m="1" x="7809"/>
        <item m="1" x="4590"/>
        <item m="1" x="1415"/>
        <item m="1" x="6989"/>
        <item m="1" x="6992"/>
        <item m="1" x="4484"/>
        <item m="1" x="3052"/>
        <item m="1" x="4099"/>
        <item m="1" x="3250"/>
        <item m="1" x="5928"/>
        <item m="1" x="400"/>
        <item m="1" x="903"/>
        <item m="1" x="5864"/>
        <item m="1" x="6695"/>
        <item m="1" x="1124"/>
        <item m="1" x="3884"/>
        <item m="1" x="3865"/>
        <item m="1" x="7691"/>
        <item m="1" x="2294"/>
        <item m="1" x="2479"/>
        <item m="1" x="7982"/>
        <item m="1" x="7501"/>
        <item m="1" x="2242"/>
        <item m="1" x="3002"/>
        <item m="1" x="6750"/>
        <item m="1" x="317"/>
        <item m="1" x="1461"/>
        <item m="1" x="6939"/>
        <item m="1" x="7707"/>
        <item m="1" x="6395"/>
        <item m="1" x="7165"/>
        <item m="1" x="2378"/>
        <item m="1" x="2641"/>
        <item m="1" x="1378"/>
        <item m="1" x="7959"/>
        <item m="1" x="3994"/>
        <item m="1" x="5941"/>
        <item m="1" x="2692"/>
        <item m="1" x="3515"/>
        <item m="1" x="5323"/>
        <item m="1" x="5590"/>
        <item m="1" x="5536"/>
        <item m="1" x="5322"/>
        <item m="1" x="5937"/>
        <item m="1" x="4573"/>
        <item m="1" x="4816"/>
        <item m="1" x="4121"/>
        <item m="1" x="5308"/>
        <item m="1" x="1691"/>
        <item m="1" x="3567"/>
        <item m="1" x="7535"/>
        <item m="1" x="4968"/>
        <item m="1" x="7248"/>
        <item m="1" x="196"/>
        <item m="1" x="3438"/>
        <item m="1" x="6906"/>
        <item m="1" x="7284"/>
        <item m="1" x="7744"/>
        <item m="1" x="761"/>
        <item m="1" x="5324"/>
        <item m="1" x="3708"/>
        <item m="1" x="4609"/>
        <item m="1" x="7241"/>
        <item m="1" x="7980"/>
        <item m="1" x="5483"/>
        <item m="1" x="5781"/>
        <item m="1" x="6322"/>
        <item m="1" x="6603"/>
        <item m="1" x="6878"/>
        <item m="1" x="944"/>
        <item m="1" x="6971"/>
        <item m="1" x="5620"/>
        <item m="1" x="5927"/>
        <item m="1" x="6186"/>
        <item m="1" x="7960"/>
        <item m="1" x="7524"/>
        <item m="1" x="7336"/>
        <item m="1" x="5089"/>
        <item m="1" x="7285"/>
        <item m="1" x="411"/>
        <item m="1" x="1173"/>
        <item m="1" x="1712"/>
        <item m="1" x="1988"/>
        <item m="1" x="2279"/>
        <item m="1" x="2519"/>
        <item m="1" x="3686"/>
        <item m="1" x="245"/>
        <item m="1" x="469"/>
        <item m="1" x="745"/>
        <item m="1" x="945"/>
        <item m="1" x="7031"/>
        <item m="1" x="1188"/>
        <item m="1" x="5633"/>
        <item m="1" x="4619"/>
        <item m="1" x="5247"/>
        <item m="1" x="7995"/>
        <item m="1" x="2467"/>
        <item m="1" x="7402"/>
        <item m="1" x="6084"/>
        <item m="1" x="5874"/>
        <item m="1" x="6650"/>
        <item m="1" x="758"/>
        <item m="1" x="5162"/>
        <item m="1" x="1462"/>
        <item m="1" x="6201"/>
        <item m="1" x="4630"/>
        <item m="1" x="6632"/>
        <item m="1" x="7321"/>
        <item m="1" x="5985"/>
        <item m="1" x="7012"/>
        <item m="1" x="437"/>
        <item m="1" x="7300"/>
        <item m="1" x="3036"/>
        <item m="1" x="1463"/>
        <item m="1" x="1731"/>
        <item m="1" x="2295"/>
        <item m="1" x="2538"/>
        <item m="1" x="2821"/>
        <item m="1" x="3057"/>
        <item m="1" x="3568"/>
        <item m="1" x="926"/>
        <item m="1" x="1230"/>
        <item m="1" x="263"/>
        <item m="1" x="5677"/>
        <item m="1" x="6460"/>
        <item m="1" x="1226"/>
        <item m="1" x="4516"/>
        <item m="1" x="2376"/>
        <item m="1" x="5645"/>
        <item m="1" x="7063"/>
        <item m="1" x="4886"/>
        <item m="1" x="2048"/>
        <item m="1" x="2582"/>
        <item m="1" x="5642"/>
        <item m="1" x="3107"/>
        <item m="1" x="3707"/>
        <item m="1" x="7794"/>
        <item m="1" x="5971"/>
        <item m="1" x="3539"/>
        <item m="1" x="3754"/>
        <item m="1" x="5355"/>
        <item m="1" x="5706"/>
        <item m="1" x="1765"/>
        <item m="1" x="4988"/>
        <item m="1" x="5212"/>
        <item m="1" x="6354"/>
        <item m="1" x="2071"/>
        <item m="1" x="2079"/>
        <item m="1" x="5248"/>
        <item m="1" x="6203"/>
        <item m="1" x="4987"/>
        <item m="1" x="1464"/>
        <item m="1" x="497"/>
        <item m="1" x="762"/>
        <item m="1" x="5643"/>
        <item m="1" x="2539"/>
        <item m="1" x="7329"/>
        <item m="1" x="6805"/>
        <item m="1" x="7147"/>
        <item m="1" x="1523"/>
        <item m="1" x="7067"/>
        <item m="1" x="5949"/>
        <item m="1" x="5750"/>
        <item m="1" x="958"/>
        <item m="1" x="6022"/>
        <item m="1" x="2911"/>
        <item m="1" x="5853"/>
        <item m="1" x="6961"/>
        <item m="1" x="4817"/>
        <item m="1" x="4832"/>
        <item m="1" x="7322"/>
        <item m="1" x="1457"/>
        <item m="1" x="1253"/>
        <item m="1" x="516"/>
        <item m="1" x="4677"/>
        <item m="1" x="5163"/>
        <item m="1" x="1444"/>
        <item m="1" x="1989"/>
        <item m="1" x="986"/>
        <item m="1" x="1520"/>
        <item m="1" x="1814"/>
        <item m="1" x="2624"/>
        <item m="1" x="5451"/>
        <item m="1" x="1784"/>
        <item m="1" x="7062"/>
        <item m="1" x="7560"/>
        <item m="1" x="1498"/>
        <item m="1" x="2296"/>
        <item m="1" x="7826"/>
        <item m="1" x="6202"/>
        <item m="1" x="7013"/>
        <item m="1" x="1155"/>
        <item m="1" x="3912"/>
        <item m="1" x="6563"/>
        <item m="1" x="763"/>
        <item m="1" x="988"/>
        <item m="1" x="1265"/>
        <item m="1" x="5644"/>
        <item m="1" x="4656"/>
        <item m="1" x="578"/>
        <item m="1" x="6249"/>
        <item m="1" x="114"/>
        <item m="1" x="3975"/>
        <item m="1" x="285"/>
        <item m="1" x="484"/>
        <item m="1" x="7838"/>
        <item m="1" x="498"/>
        <item m="1" x="987"/>
        <item m="1" x="330"/>
        <item m="1" x="2083"/>
        <item m="1" x="544"/>
        <item m="1" x="6433"/>
        <item m="1" x="1002"/>
        <item m="1" x="7047"/>
        <item m="1" x="2104"/>
        <item m="1" x="1006"/>
        <item m="1" x="7043"/>
        <item m="1" x="2742"/>
        <item m="1" x="3564"/>
        <item m="1" x="7608"/>
        <item m="1" x="7357"/>
        <item m="1" x="1800"/>
        <item m="1" x="5981"/>
        <item m="1" x="1785"/>
        <item m="1" x="2069"/>
        <item m="1" x="1799"/>
        <item m="1" x="3645"/>
        <item m="1" x="5409"/>
        <item m="1" x="6021"/>
        <item m="1" x="6509"/>
        <item m="1" x="5001"/>
        <item m="1" x="7783"/>
        <item m="1" x="1499"/>
        <item m="1" x="7580"/>
        <item m="1" x="4929"/>
        <item m="1" x="5383"/>
        <item m="1" x="7283"/>
        <item m="1" x="7130"/>
        <item m="1" x="7837"/>
        <item m="1" x="1066"/>
        <item m="1" x="2637"/>
        <item m="1" x="2367"/>
        <item m="1" x="1003"/>
        <item m="1" x="7408"/>
        <item m="1" x="3753"/>
        <item m="1" x="5422"/>
        <item m="1" x="5783"/>
        <item m="1" x="1552"/>
        <item m="1" x="2398"/>
        <item m="1" x="2648"/>
        <item m="1" x="7386"/>
        <item m="1" x="7131"/>
        <item m="1" x="2116"/>
        <item m="1" x="7372"/>
        <item m="1" x="1603"/>
        <item m="1" x="791"/>
        <item m="1" x="5197"/>
        <item m="1" x="2649"/>
        <item m="1" x="517"/>
        <item m="1" x="2117"/>
        <item m="1" x="545"/>
        <item m="1" x="5672"/>
        <item m="1" x="1015"/>
        <item m="1" x="2397"/>
        <item m="1" x="7425"/>
        <item m="1" x="2410"/>
        <item m="1" x="115"/>
        <item m="1" x="7582"/>
        <item m="1" x="730"/>
        <item m="1" x="7114"/>
        <item m="1" x="2129"/>
        <item m="1" x="1104"/>
        <item m="1" x="2638"/>
        <item m="1" x="2690"/>
        <item m="1" x="7355"/>
        <item m="1" x="1853"/>
        <item m="1" x="6821"/>
        <item m="1" x="7642"/>
        <item m="1" x="4542"/>
        <item m="1" x="7199"/>
        <item m="1" x="1584"/>
        <item m="1" x="1611"/>
        <item m="1" x="3213"/>
        <item m="1" x="2946"/>
        <item m="1" x="5249"/>
        <item m="1" x="1682"/>
        <item m="1" x="2001"/>
        <item m="1" x="3296"/>
        <item m="1" x="2426"/>
        <item m="1" x="3589"/>
        <item m="1" x="4120"/>
        <item m="1" x="5439"/>
        <item m="1" x="2151"/>
        <item m="1" x="4339"/>
        <item m="1" x="5360"/>
        <item m="1" x="4383"/>
        <item m="1" x="4323"/>
        <item m="1" x="5929"/>
        <item m="1" x="2160"/>
        <item m="1" x="6367"/>
        <item m="1" x="5013"/>
        <item m="1" x="5244"/>
        <item m="1" x="6394"/>
        <item m="1" x="2106"/>
        <item m="1" x="2090"/>
        <item m="1" x="6830"/>
        <item m="1" x="5805"/>
        <item m="1" x="5500"/>
        <item m="1" x="5367"/>
        <item m="1" x="4052"/>
        <item m="1" x="1186"/>
        <item m="1" x="4034"/>
        <item m="1" x="5524"/>
        <item m="1" x="5823"/>
        <item m="1" x="4369"/>
        <item m="1" x="3274"/>
        <item m="1" x="4805"/>
        <item m="1" x="6465"/>
        <item m="1" x="3530"/>
        <item m="1" x="2785"/>
        <item m="1" x="3621"/>
        <item m="1" x="1835"/>
        <item m="1" x="4789"/>
        <item m="1" x="5310"/>
        <item m="1" x="6086"/>
        <item m="1" x="7477"/>
        <item m="1" x="6358"/>
        <item m="1" x="4141"/>
        <item m="1" x="5277"/>
        <item m="1" x="7867"/>
        <item m="1" x="1867"/>
        <item m="1" x="2451"/>
        <item m="1" x="3734"/>
        <item m="1" x="7457"/>
        <item m="1" x="2414"/>
        <item m="1" x="5024"/>
        <item m="1" x="1771"/>
        <item m="1" x="2459"/>
        <item m="1" x="6510"/>
        <item m="1" x="3484"/>
        <item m="1" x="5806"/>
        <item m="1" x="2720"/>
        <item m="1" x="6378"/>
        <item m="1" x="7830"/>
        <item m="1" x="7570"/>
        <item m="1" x="5328"/>
        <item m="1" x="601"/>
        <item m="1" x="2922"/>
        <item m="1" x="1630"/>
        <item m="1" x="4122"/>
        <item m="1" x="2434"/>
        <item m="1" x="3941"/>
        <item m="1" x="7433"/>
        <item m="1" x="6117"/>
        <item m="1" x="5915"/>
        <item m="1" x="6694"/>
        <item m="1" x="435"/>
        <item m="1" x="820"/>
        <item m="1" x="5228"/>
        <item m="1" x="1890"/>
        <item m="1" x="1692"/>
        <item m="1" x="3592"/>
        <item m="1" x="1099"/>
        <item m="1" x="1655"/>
        <item m="1" x="1379"/>
        <item m="1" x="2749"/>
        <item m="1" x="1114"/>
        <item m="1" x="1644"/>
        <item m="1" x="4866"/>
        <item m="1" x="3198"/>
        <item m="1" x="888"/>
        <item m="1" x="2894"/>
        <item m="1" x="6139"/>
        <item m="1" x="6934"/>
        <item m="1" x="4359"/>
        <item m="1" x="3235"/>
        <item m="1" x="2480"/>
        <item m="1" x="2787"/>
        <item m="1" x="4806"/>
        <item m="1" x="1938"/>
        <item m="1" x="7146"/>
        <item m="1" x="1658"/>
        <item m="1" x="2918"/>
        <item m="1" x="2483"/>
        <item m="1" x="1633"/>
        <item m="1" x="2466"/>
        <item m="1" x="2987"/>
        <item m="1" x="3411"/>
        <item m="1" x="3897"/>
        <item m="1" x="4494"/>
        <item m="1" x="3898"/>
        <item m="1" x="2154"/>
        <item m="1" x="2744"/>
        <item m="1" x="4801"/>
        <item m="1" x="6122"/>
        <item m="1" x="1421"/>
        <item m="1" x="2881"/>
        <item m="1" x="3275"/>
        <item m="1" x="2653"/>
        <item m="1" x="1408"/>
        <item m="1" x="1270"/>
        <item m="1" x="4883"/>
        <item m="1" x="1479"/>
        <item m="1" x="2559"/>
        <item m="1" x="7996"/>
        <item m="1" x="6508"/>
        <item m="1" x="7407"/>
        <item m="1" x="483"/>
        <item m="1" x="1284"/>
        <item m="1" x="3627"/>
        <item m="1" x="4663"/>
        <item m="1" x="7581"/>
        <item m="1" x="7356"/>
        <item m="1" x="2150"/>
        <item m="1" x="2354"/>
        <item m="1" x="3129"/>
        <item m="1" x="7812"/>
        <item m="1" x="4953"/>
        <item m="1" x="564"/>
        <item m="1" x="1299"/>
        <item m="1" x="1571"/>
        <item m="1" x="6056"/>
        <item m="1" x="4192"/>
        <item m="1" x="5245"/>
        <item m="1" x="4861"/>
        <item m="1" x="518"/>
        <item m="1" x="4848"/>
        <item m="1" x="7882"/>
        <item m="1" x="5463"/>
        <item m="1" x="1553"/>
        <item m="1" x="142"/>
        <item m="1" x="1300"/>
        <item m="1" x="1592"/>
        <item m="1" x="2139"/>
        <item m="1" x="2403"/>
        <item m="1" x="3180"/>
        <item m="1" x="3902"/>
        <item m="1" x="4111"/>
        <item m="1" x="4761"/>
        <item m="1" x="3569"/>
        <item m="1" x="5014"/>
        <item m="1" x="5246"/>
        <item m="1" x="4593"/>
        <item m="1" x="5276"/>
        <item m="1" x="963"/>
        <item m="1" x="2057"/>
        <item m="1" x="2404"/>
        <item m="1" x="7854"/>
        <item m="1" x="7671"/>
        <item m="1" x="4571"/>
        <item m="1" x="5595"/>
        <item m="1" x="5925"/>
        <item m="1" x="4595"/>
        <item m="1" x="4594"/>
        <item m="1" x="5131"/>
        <item m="1" x="3974"/>
        <item m="1" x="6401"/>
        <item m="1" x="5899"/>
        <item m="1" x="2227"/>
        <item m="1" x="1087"/>
        <item m="1" x="1612"/>
        <item m="1" x="7498"/>
        <item m="1" x="2201"/>
        <item m="1" x="2721"/>
        <item m="1" x="4022"/>
        <item m="1" x="4153"/>
        <item m="1" x="1956"/>
        <item m="1" x="1422"/>
        <item m="1" x="2772"/>
        <item m="1" x="6457"/>
        <item m="1" x="641"/>
        <item m="1" x="3039"/>
        <item m="1" x="5039"/>
        <item m="1" x="2135"/>
        <item m="1" x="116"/>
        <item m="1" x="6470"/>
        <item m="1" x="2496"/>
        <item m="1" x="5312"/>
        <item m="1" x="5104"/>
        <item m="1" x="4660"/>
        <item m="1" x="5406"/>
        <item m="1" x="1493"/>
        <item m="1" x="3297"/>
        <item m="1" x="4834"/>
        <item m="1" x="7891"/>
        <item m="1" x="1100"/>
        <item m="1" x="3676"/>
        <item m="1" x="3876"/>
        <item m="1" x="2161"/>
        <item m="1" x="4384"/>
        <item m="1" x="6236"/>
        <item m="1" x="5615"/>
        <item m="1" x="582"/>
        <item m="1" x="6379"/>
        <item m="1" x="4166"/>
        <item m="1" x="3955"/>
        <item m="1" x="5070"/>
        <item m="1" x="3531"/>
        <item m="1" x="4879"/>
        <item m="1" x="4360"/>
        <item m="1" x="4348"/>
        <item m="1" x="3983"/>
        <item m="1" x="1426"/>
        <item m="1" x="6424"/>
        <item m="1" x="6949"/>
        <item m="1" x="889"/>
        <item m="1" x="5900"/>
        <item m="1" x="4204"/>
        <item m="1" x="2986"/>
        <item m="1" x="3532"/>
        <item m="1" x="4181"/>
        <item m="1" x="2280"/>
        <item m="1" x="6968"/>
        <item m="1" x="2965"/>
        <item m="1" x="5576"/>
        <item m="1" x="3550"/>
        <item m="1" x="3942"/>
        <item m="1" x="3022"/>
        <item m="1" x="7899"/>
        <item m="1" x="1915"/>
        <item m="1" x="2748"/>
        <item m="1" x="5311"/>
        <item m="1" x="7658"/>
        <item m="1" x="3735"/>
        <item m="1" x="5049"/>
        <item m="1" x="2964"/>
        <item m="1" x="5386"/>
        <item m="1" x="3316"/>
        <item m="1" x="6494"/>
        <item m="1" x="6507"/>
        <item m="1" x="1423"/>
        <item m="1" x="5344"/>
        <item m="1" x="4860"/>
        <item m="1" x="2228"/>
        <item m="1" x="1766"/>
        <item m="1" x="6216"/>
        <item m="1" x="4406"/>
        <item m="1" x="2597"/>
        <item m="1" x="5387"/>
        <item m="1" x="3773"/>
        <item m="1" x="7465"/>
        <item m="1" x="6147"/>
        <item m="1" x="5950"/>
        <item m="1" x="6735"/>
        <item m="1" x="5258"/>
        <item m="1" x="3315"/>
        <item m="1" x="3757"/>
        <item m="1" x="3963"/>
        <item m="1" x="4578"/>
        <item m="1" x="4820"/>
        <item m="1" x="3772"/>
        <item m="1" x="4190"/>
        <item m="1" x="4743"/>
        <item m="1" x="5938"/>
        <item m="1" x="5664"/>
        <item m="1" x="4880"/>
        <item m="1" x="5361"/>
        <item m="1" x="2049"/>
        <item m="1" x="2327"/>
        <item m="1" x="4643"/>
        <item m="1" x="7042"/>
        <item m="1" x="927"/>
        <item m="1" x="2930"/>
        <item m="1" x="2837"/>
        <item m="1" x="6233"/>
        <item m="1" x="5132"/>
        <item m="1" x="3003"/>
        <item m="1" x="2822"/>
        <item m="1" x="727"/>
        <item m="1" x="2625"/>
        <item m="1" x="4407"/>
        <item m="1" x="2889"/>
        <item m="1" x="2838"/>
        <item m="1" x="5416"/>
        <item m="1" x="1976"/>
        <item m="1" x="3943"/>
        <item m="1" x="5939"/>
        <item m="1" x="5181"/>
        <item m="1" x="4608"/>
        <item m="1" x="1084"/>
        <item m="1" x="4246"/>
        <item m="1" x="3332"/>
        <item m="1" x="7058"/>
        <item m="1" x="4674"/>
        <item m="1" x="1161"/>
        <item m="1" x="5926"/>
        <item m="1" x="2905"/>
        <item m="1" x="7557"/>
        <item m="1" x="5443"/>
        <item m="1" x="2857"/>
        <item m="1" x="4685"/>
        <item m="1" x="2481"/>
        <item m="1" x="6412"/>
        <item m="1" x="1212"/>
        <item m="1" x="2954"/>
        <item m="1" x="6246"/>
        <item m="1" x="6521"/>
        <item m="1" x="5209"/>
        <item m="1" x="5785"/>
        <item m="1" x="1990"/>
        <item m="1" x="2281"/>
        <item m="1" x="5195"/>
        <item m="1" x="4752"/>
        <item m="1" x="5494"/>
        <item m="1" x="3042"/>
        <item m="1" x="3369"/>
        <item m="1" x="4881"/>
        <item m="1" x="3837"/>
        <item m="1" x="4435"/>
        <item m="1" x="1713"/>
        <item m="1" x="3333"/>
        <item m="1" x="2328"/>
        <item m="1" x="2430"/>
        <item m="1" x="2314"/>
        <item m="1" x="2156"/>
        <item m="1" x="3819"/>
        <item m="1" x="3037"/>
        <item m="1" x="2691"/>
        <item m="1" x="499"/>
        <item m="1" x="2839"/>
        <item m="1" x="7577"/>
        <item m="1" x="5479"/>
        <item m="1" x="5371"/>
        <item m="1" x="4228"/>
        <item m="1" x="4911"/>
        <item m="1" x="2934"/>
        <item m="1" x="5892"/>
        <item m="1" x="4906"/>
        <item m="1" x="3818"/>
        <item m="1" x="2313"/>
        <item m="1" x="3078"/>
        <item m="1" x="4894"/>
        <item m="1" x="3893"/>
        <item m="1" x="3298"/>
        <item m="1" x="4420"/>
        <item m="1" x="3820"/>
        <item m="1" x="5714"/>
        <item m="1" x="5983"/>
        <item m="1" x="1189"/>
        <item m="1" x="4910"/>
        <item m="1" x="3984"/>
        <item m="1" x="3209"/>
        <item m="1" x="4434"/>
        <item m="1" x="4095"/>
        <item m="1" x="5514"/>
        <item m="1" x="4229"/>
        <item m="1" x="4421"/>
        <item m="1" x="4455"/>
        <item m="1" x="3005"/>
        <item m="1" x="5982"/>
        <item m="1" x="6826"/>
        <item m="1" x="4032"/>
        <item m="1" x="4274"/>
        <item m="1" x="3059"/>
        <item m="1" x="3854"/>
        <item m="1" x="7010"/>
        <item m="1" x="3004"/>
        <item m="1" x="4130"/>
        <item m="1" x="5616"/>
        <item m="1" x="5691"/>
        <item m="1" x="2560"/>
        <item m="1" x="3058"/>
        <item m="1" x="3041"/>
        <item m="1" x="7578"/>
        <item m="1" x="4927"/>
        <item m="1" x="5081"/>
        <item m="1" x="3075"/>
        <item m="1" x="2823"/>
        <item m="1" x="1210"/>
        <item m="1" x="7924"/>
        <item m="1" x="6542"/>
        <item m="1" x="5370"/>
        <item m="1" x="6279"/>
        <item m="1" x="3368"/>
        <item m="1" x="4926"/>
        <item m="1" x="547"/>
        <item m="1" x="6522"/>
        <item m="1" x="4433"/>
        <item m="1" x="7340"/>
        <item m="1" x="5033"/>
        <item m="1" x="4661"/>
        <item m="1" x="1574"/>
        <item m="1" x="3175"/>
        <item m="1" x="3425"/>
        <item m="1" x="4934"/>
        <item m="1" x="6274"/>
        <item m="1" x="3040"/>
        <item m="1" x="3785"/>
        <item m="1" x="6019"/>
        <item m="1" x="7629"/>
        <item m="1" x="1837"/>
        <item m="1" x="2380"/>
        <item m="1" x="6588"/>
        <item m="1" x="7841"/>
        <item m="1" x="2401"/>
        <item m="1" x="2928"/>
        <item m="1" x="520"/>
        <item m="1" x="3108"/>
        <item m="1" x="145"/>
        <item m="1" x="6313"/>
        <item m="1" x="2381"/>
        <item m="1" x="4965"/>
        <item m="1" x="7201"/>
        <item m="1" x="7656"/>
        <item m="1" x="835"/>
        <item m="1" x="4437"/>
        <item m="1" x="132"/>
        <item m="1" x="1608"/>
        <item m="1" x="597"/>
        <item m="1" x="6714"/>
        <item m="1" x="1251"/>
        <item m="1" x="5133"/>
        <item m="1" x="5239"/>
        <item m="1" x="1855"/>
        <item m="1" x="2943"/>
        <item m="1" x="7584"/>
        <item m="1" x="6899"/>
        <item m="1" x="873"/>
        <item m="1" x="1083"/>
        <item m="1" x="3146"/>
        <item m="1" x="7152"/>
        <item m="1" x="5789"/>
        <item m="1" x="2880"/>
        <item m="1" x="160"/>
        <item m="1" x="1342"/>
        <item m="1" x="5429"/>
        <item m="1" x="6863"/>
        <item m="1" x="5448"/>
        <item m="1" x="1048"/>
        <item m="1" x="4940"/>
        <item m="1" x="3853"/>
        <item m="1" x="1324"/>
        <item m="1" x="2174"/>
        <item m="1" x="2445"/>
        <item m="1" x="2693"/>
        <item m="1" x="3500"/>
        <item m="1" x="615"/>
        <item m="1" x="316"/>
        <item m="1" x="193"/>
        <item m="1" x="4945"/>
        <item m="1" x="4686"/>
        <item m="1" x="826"/>
        <item m="1" x="7935"/>
        <item m="1" x="6052"/>
        <item m="1" x="2983"/>
        <item m="1" x="3252"/>
        <item m="1" x="6851"/>
        <item m="1" x="2221"/>
        <item m="1" x="133"/>
        <item m="1" x="1360"/>
        <item m="1" x="1934"/>
        <item m="1" x="1145"/>
        <item m="1" x="1097"/>
        <item m="1" x="7041"/>
        <item m="1" x="3038"/>
        <item m="1" x="7438"/>
        <item m="1" x="436"/>
        <item m="1" x="5663"/>
        <item m="1" x="4474"/>
        <item m="1" x="243"/>
        <item m="1" x="1375"/>
        <item m="1" x="874"/>
        <item m="1" x="5114"/>
        <item m="1" x="3173"/>
        <item m="1" x="657"/>
        <item m="1" x="146"/>
        <item m="1" x="5002"/>
        <item m="1" x="6094"/>
        <item m="1" x="6579"/>
        <item m="1" x="2195"/>
        <item m="1" x="5405"/>
        <item m="1" x="4997"/>
        <item m="1" x="616"/>
        <item m="1" x="194"/>
        <item m="1" x="1112"/>
        <item m="1" x="1910"/>
        <item m="1" x="7673"/>
        <item m="1" x="1361"/>
        <item m="1" x="4473"/>
        <item m="1" x="7187"/>
        <item m="1" x="6612"/>
        <item m="1" x="7411"/>
        <item m="1" x="7643"/>
        <item m="1" x="2446"/>
        <item m="1" x="4717"/>
        <item m="1" x="5467"/>
        <item m="1" x="6935"/>
        <item m="1" x="3077"/>
        <item m="1" x="3817"/>
        <item m="1" x="7168"/>
        <item m="1" x="7948"/>
        <item m="1" x="7720"/>
        <item m="1" x="1442"/>
        <item m="1" x="6629"/>
        <item m="1" x="6402"/>
        <item m="1" x="6140"/>
        <item m="1" x="6920"/>
        <item m="1" x="3214"/>
        <item m="1" x="658"/>
        <item m="1" x="7687"/>
        <item m="1" x="5501"/>
        <item m="1" x="598"/>
        <item m="1" x="7277"/>
        <item m="1" x="4556"/>
        <item m="1" x="6823"/>
        <item m="1" x="7840"/>
        <item m="1" x="7169"/>
        <item m="1" x="259"/>
        <item m="1" x="3565"/>
        <item m="1" x="5824"/>
        <item m="1" x="5055"/>
        <item m="1" x="6390"/>
        <item m="1" x="6613"/>
        <item m="1" x="885"/>
        <item m="1" x="1405"/>
        <item m="1" x="5538"/>
        <item m="1" x="7936"/>
        <item m="1" x="7238"/>
        <item m="1" x="6560"/>
        <item m="1" x="5270"/>
        <item m="1" x="2012"/>
        <item m="1" x="2516"/>
        <item m="1" x="7688"/>
        <item m="1" x="3406"/>
        <item m="1" x="424"/>
        <item m="1" x="7456"/>
        <item m="1" x="1952"/>
        <item m="1" x="6715"/>
        <item m="1" x="7278"/>
        <item m="1" x="7471"/>
        <item m="1" x="900"/>
        <item m="1" x="4984"/>
        <item m="1" x="886"/>
        <item m="1" x="4753"/>
        <item m="1" x="195"/>
        <item m="1" x="6087"/>
        <item m="1" x="6881"/>
        <item m="1" x="3019"/>
        <item m="1" x="1709"/>
        <item m="1" x="941"/>
        <item m="1" x="7076"/>
        <item m="1" x="3076"/>
        <item m="1" x="940"/>
        <item m="1" x="1392"/>
        <item m="1" x="6425"/>
        <item m="1" x="5697"/>
        <item m="1" x="2173"/>
        <item m="1" x="7756"/>
        <item m="1" x="4956"/>
        <item m="1" x="660"/>
        <item m="1" x="1206"/>
        <item m="1" x="6458"/>
        <item m="1" x="3094"/>
        <item m="1" x="1911"/>
        <item m="1" x="244"/>
        <item m="1" x="410"/>
        <item m="1" x="659"/>
        <item m="1" x="2026"/>
        <item m="1" x="5539"/>
        <item m="1" x="6126"/>
        <item m="1" x="7257"/>
        <item m="1" x="674"/>
        <item m="1" x="1494"/>
        <item m="1" x="5860"/>
        <item m="1" x="7955"/>
        <item m="1" x="1407"/>
        <item m="1" x="5606"/>
        <item m="1" x="4527"/>
        <item m="1" x="2998"/>
        <item m="1" x="4493"/>
        <item m="1" x="7993"/>
        <item m="1" x="1689"/>
        <item m="1" x="7188"/>
        <item m="1" x="5020"/>
        <item m="1" x="228"/>
        <item m="1" x="1406"/>
        <item m="1" x="1146"/>
        <item m="1" x="4782"/>
        <item m="1" x="450"/>
        <item m="1" x="1728"/>
        <item m="1" x="6167"/>
        <item m="1" x="6737"/>
        <item m="1" x="1417"/>
        <item m="1" x="3109"/>
        <item m="1" x="3852"/>
        <item m="1" x="7202"/>
        <item m="1" x="2183"/>
        <item m="1" x="3437"/>
        <item m="1" x="5045"/>
        <item m="1" x="2307"/>
        <item m="1" x="2593"/>
        <item m="1" x="2276"/>
        <item m="1" x="5507"/>
        <item m="1" x="7721"/>
        <item m="1" x="3606"/>
        <item m="1" x="3384"/>
        <item m="1" x="3607"/>
        <item m="1" x="1763"/>
        <item m="1" x="3574"/>
        <item m="1" x="5303"/>
        <item m="1" x="7363"/>
        <item m="1" x="4941"/>
        <item m="1" x="1204"/>
        <item m="1" x="7599"/>
        <item m="1" x="2556"/>
        <item m="1" x="2220"/>
        <item m="1" x="3640"/>
        <item m="1" x="7415"/>
        <item m="1" x="4862"/>
        <item m="1" x="7069"/>
        <item m="1" x="2044"/>
        <item m="1" x="2027"/>
        <item m="1" x="5333"/>
        <item m="1" x="3641"/>
        <item m="1" x="2341"/>
        <item m="1" x="3110"/>
        <item m="1" x="3385"/>
        <item m="1" x="3815"/>
        <item m="1" x="4430"/>
        <item m="1" x="4255"/>
        <item m="1" x="4640"/>
        <item m="1" x="5727"/>
        <item m="1" x="4044"/>
        <item m="1" x="6677"/>
        <item m="1" x="4468"/>
        <item m="1" x="5793"/>
        <item m="1" x="2926"/>
        <item m="1" x="5455"/>
        <item m="1" x="5707"/>
        <item m="1" x="5968"/>
        <item m="1" x="1796"/>
        <item x="82"/>
        <item m="1" x="1391"/>
        <item m="1" x="4074"/>
        <item m="1" x="5530"/>
        <item m="1" x="5252"/>
        <item m="1" x="2557"/>
        <item m="1" x="3386"/>
        <item m="1" x="2634"/>
        <item m="1" x="4059"/>
        <item m="1" x="1830"/>
        <item m="1" x="3350"/>
        <item m="1" x="3832"/>
        <item m="1" x="1514"/>
        <item m="1" x="3127"/>
        <item m="1" x="1307"/>
        <item m="1" x="2973"/>
        <item m="1" x="2729"/>
        <item m="1" x="5109"/>
        <item m="1" x="1262"/>
        <item m="1" x="2374"/>
        <item m="1" x="2207"/>
        <item m="1" x="6334"/>
        <item m="1" x="540"/>
        <item m="1" x="3470"/>
        <item m="1" x="351"/>
        <item m="1" x="7474"/>
        <item m="1" x="929"/>
        <item m="1" x="7589"/>
        <item m="1" x="369"/>
        <item m="1" x="485"/>
        <item m="1" x="912"/>
        <item m="1" x="7505"/>
        <item m="1" x="5634"/>
        <item m="1" x="5976"/>
        <item m="1" x="1760"/>
        <item m="1" x="1559"/>
        <item m="1" x="511"/>
        <item m="1" x="1033"/>
        <item m="1" x="1824"/>
        <item m="1" x="5122"/>
        <item m="1" x="2921"/>
        <item m="1" x="3201"/>
        <item m="1" x="7314"/>
        <item m="1" x="212"/>
        <item m="1" x="4915"/>
        <item m="1" x="5282"/>
        <item m="1" x="5999"/>
        <item m="1" x="754"/>
        <item m="1" x="3165"/>
        <item m="1" x="7554"/>
        <item m="1" x="7364"/>
        <item m="1" x="324"/>
        <item m="1" x="1038"/>
        <item m="1" x="7847"/>
        <item m="1" x="7585"/>
        <item m="1" x="981"/>
        <item m="1" x="2308"/>
        <item m="1" x="1495"/>
        <item m="1" x="3191"/>
        <item m="1" x="5204"/>
        <item m="1" x="3436"/>
        <item m="1" x="7531"/>
        <item m="1" x="7344"/>
        <item m="1" x="4085"/>
        <item m="1" x="3215"/>
        <item m="1" x="2501"/>
        <item m="1" x="6078"/>
        <item m="1" x="3816"/>
        <item m="1" x="3622"/>
        <item m="1" x="4750"/>
        <item m="1" x="7429"/>
        <item m="1" x="2730"/>
        <item m="1" x="7661"/>
        <item m="1" x="3387"/>
        <item m="1" x="3236"/>
        <item m="1" x="1424"/>
        <item m="1" x="928"/>
        <item m="1" x="6142"/>
        <item m="1" x="5221"/>
        <item m="1" x="7943"/>
        <item m="1" x="685"/>
        <item m="1" x="1613"/>
        <item m="1" x="2604"/>
        <item m="1" x="2682"/>
        <item m="1" x="4977"/>
        <item m="1" x="5830"/>
        <item m="1" x="4060"/>
        <item m="1" x="3491"/>
        <item m="1" x="5262"/>
        <item m="1" x="3028"/>
        <item m="1" x="1325"/>
        <item m="1" x="3681"/>
        <item m="1" x="6831"/>
        <item m="1" x="6265"/>
        <item m="1" x="6000"/>
        <item m="1" x="2285"/>
        <item m="1" x="737"/>
        <item m="1" x="7768"/>
        <item m="1" x="7330"/>
        <item m="1" x="7802"/>
        <item m="1" x="753"/>
        <item m="1" x="7070"/>
        <item m="1" x="7803"/>
        <item m="1" x="2038"/>
        <item m="1" x="2884"/>
        <item m="1" x="3120"/>
        <item m="1" x="1275"/>
        <item m="1" x="7071"/>
        <item m="1" x="971"/>
        <item m="1" x="7850"/>
        <item m="1" x="7804"/>
        <item m="1" x="772"/>
        <item m="1" x="1809"/>
        <item m="1" x="3662"/>
        <item m="1" x="1859"/>
        <item m="1" x="2140"/>
        <item m="1" x="3181"/>
        <item m="1" x="4086"/>
        <item m="1" x="1393"/>
        <item m="1" x="1810"/>
        <item m="1" x="2122"/>
        <item m="1" x="5147"/>
        <item m="1" x="1778"/>
        <item m="1" x="803"/>
        <item m="1" x="7821"/>
        <item m="1" x="6031"/>
        <item m="1" x="2697"/>
        <item m="1" x="1578"/>
        <item m="1" x="2955"/>
        <item m="1" x="3485"/>
        <item m="1" x="1917"/>
        <item m="1" x="5388"/>
        <item m="1" x="120"/>
        <item m="1" x="7747"/>
        <item m="1" x="7615"/>
        <item m="1" x="7139"/>
        <item m="1" x="2948"/>
        <item m="1" x="3182"/>
        <item m="1" x="3502"/>
        <item m="1" x="3689"/>
        <item m="1" x="5986"/>
        <item m="1" x="1891"/>
        <item m="1" x="325"/>
        <item m="1" x="510"/>
        <item m="1" x="7588"/>
        <item m="1" x="2175"/>
        <item m="1" x="7399"/>
        <item m="1" x="2141"/>
        <item m="1" x="5666"/>
        <item m="1" x="1547"/>
        <item m="1" x="6834"/>
        <item m="1" x="2065"/>
        <item m="1" x="2337"/>
        <item m="1" x="2872"/>
        <item m="1" x="3608"/>
        <item m="1" x="2078"/>
        <item m="1" x="2757"/>
        <item m="1" x="2938"/>
        <item m="1" x="4776"/>
        <item m="1" x="7271"/>
        <item m="1" x="7852"/>
        <item m="1" x="7440"/>
        <item m="1" x="1504"/>
        <item m="1" x="2203"/>
        <item m="1" x="7877"/>
        <item m="1" x="7662"/>
        <item m="1" x="583"/>
        <item m="1" x="525"/>
        <item m="1" x="571"/>
        <item m="1" x="1631"/>
        <item m="1" x="6620"/>
        <item m="1" x="7896"/>
        <item m="1" x="1235"/>
        <item m="1" x="3462"/>
        <item m="1" x="6247"/>
        <item m="1" x="5771"/>
        <item m="1" x="6065"/>
        <item m="1" x="2933"/>
        <item m="1" x="2675"/>
        <item m="1" x="3202"/>
        <item m="1" x="3503"/>
        <item m="1" x="1500"/>
        <item m="1" x="1892"/>
        <item m="1" x="2202"/>
        <item m="1" x="722"/>
        <item m="1" x="7600"/>
        <item m="1" x="1326"/>
        <item m="1" x="7912"/>
        <item m="1" x="2723"/>
        <item m="1" x="3915"/>
        <item m="1" x="1366"/>
        <item m="1" x="2947"/>
        <item m="1" x="1276"/>
        <item m="1" x="1034"/>
        <item m="1" x="804"/>
        <item m="1" x="555"/>
        <item m="1" x="818"/>
        <item m="1" x="1035"/>
        <item m="1" x="1293"/>
        <item m="1" x="1825"/>
        <item m="1" x="2108"/>
        <item m="1" x="363"/>
        <item m="1" x="570"/>
        <item m="1" x="2388"/>
        <item m="1" x="2932"/>
        <item m="1" x="1344"/>
        <item m="1" x="1614"/>
        <item m="1" x="2722"/>
        <item m="1" x="2427"/>
        <item m="1" x="5317"/>
        <item m="1" x="788"/>
        <item m="1" x="3247"/>
        <item m="1" x="2960"/>
        <item m="1" x="6074"/>
        <item m="1" x="4123"/>
        <item m="1" x="2974"/>
        <item m="1" x="5531"/>
        <item m="1" x="3536"/>
        <item m="1" x="5565"/>
        <item m="1" x="5836"/>
        <item m="1" x="1044"/>
        <item m="1" x="7677"/>
        <item m="1" x="2013"/>
        <item m="1" x="1645"/>
        <item m="1" x="6100"/>
        <item m="1" x="7430"/>
        <item m="1" x="4160"/>
        <item m="1" x="5875"/>
        <item m="1" x="4429"/>
        <item m="1" x="5126"/>
        <item m="1" x="7876"/>
        <item m="1" x="1649"/>
        <item m="1" x="2455"/>
        <item m="1" x="2951"/>
        <item m="1" x="1945"/>
        <item m="1" x="3909"/>
        <item m="1" x="2776"/>
        <item m="1" x="1926"/>
        <item m="1" x="2246"/>
        <item m="1" x="370"/>
        <item m="1" x="3976"/>
        <item m="1" x="2738"/>
        <item m="1" x="1312"/>
        <item m="1" x="246"/>
        <item m="1" x="6523"/>
        <item m="1" x="7227"/>
        <item m="1" x="3496"/>
        <item m="1" x="5916"/>
        <item m="1" x="4850"/>
        <item m="1" x="1904"/>
        <item m="1" x="2460"/>
        <item m="1" x="2471"/>
        <item m="1" x="3267"/>
        <item m="1" x="2711"/>
        <item m="1" x="7369"/>
        <item m="1" x="1458"/>
        <item m="1" x="4568"/>
        <item m="1" x="1539"/>
        <item m="1" x="2243"/>
        <item m="1" x="3054"/>
        <item m="1" x="7851"/>
        <item m="1" x="7289"/>
        <item m="1" x="3923"/>
        <item m="1" x="4344"/>
        <item m="1" x="6824"/>
        <item m="1" x="4356"/>
        <item m="1" x="3764"/>
        <item m="1" x="3967"/>
        <item m="1" x="5953"/>
        <item m="1" x="4260"/>
        <item m="1" x="4537"/>
        <item m="1" x="5743"/>
        <item m="1" x="3740"/>
        <item m="1" x="2712"/>
        <item m="1" x="3009"/>
        <item m="1" x="1927"/>
        <item m="1" x="6148"/>
        <item m="1" x="4813"/>
        <item m="1" x="1595"/>
        <item m="1" x="3958"/>
        <item m="1" x="4798"/>
        <item m="1" x="2213"/>
        <item m="1" x="7765"/>
        <item m="1" x="2710"/>
        <item m="1" x="4840"/>
        <item m="1" x="5046"/>
        <item m="1" x="1751"/>
        <item m="1" x="1939"/>
        <item m="1" x="2282"/>
        <item m="1" x="5148"/>
        <item m="1" x="2212"/>
        <item m="1" x="2796"/>
        <item m="1" x="3979"/>
        <item m="1" x="3050"/>
        <item m="1" x="5566"/>
        <item m="1" x="7579"/>
        <item m="1" x="3288"/>
        <item m="1" x="5508"/>
        <item m="1" x="2544"/>
        <item m="1" x="7745"/>
        <item m="1" x="2342"/>
        <item m="1" x="339"/>
        <item m="1" x="2529"/>
        <item m="1" x="3015"/>
        <item m="1" x="1946"/>
        <item m="1" x="4196"/>
        <item m="1" x="5287"/>
        <item m="1" x="6716"/>
        <item m="1" x="6131"/>
        <item m="1" x="4605"/>
        <item m="1" x="4872"/>
        <item m="1" x="5351"/>
        <item m="1" x="7018"/>
        <item m="1" x="5931"/>
        <item m="1" x="7263"/>
        <item m="1" x="3730"/>
        <item m="1" x="6480"/>
        <item m="1" x="6942"/>
        <item m="1" x="5095"/>
        <item m="1" x="5335"/>
        <item m="1" x="5794"/>
        <item m="1" x="6160"/>
        <item m="1" x="6958"/>
        <item m="1" x="6753"/>
        <item m="1" x="7262"/>
        <item m="1" x="4586"/>
        <item m="1" x="4841"/>
        <item m="1" x="5075"/>
        <item m="1" x="2809"/>
        <item m="1" x="6428"/>
        <item m="1" x="6704"/>
        <item m="1" x="6994"/>
        <item m="1" x="1337"/>
        <item m="1" x="6190"/>
        <item m="1" x="6463"/>
        <item m="1" x="1808"/>
        <item m="1" x="1683"/>
        <item m="1" x="6149"/>
        <item m="1" x="5876"/>
        <item m="1" x="1334"/>
        <item m="1" x="1673"/>
        <item m="1" x="3935"/>
        <item m="1" x="2254"/>
        <item m="1" x="4627"/>
        <item m="1" x="7459"/>
        <item m="1" x="5112"/>
        <item m="1" x="3287"/>
        <item m="1" x="6591"/>
        <item m="1" x="3374"/>
        <item m="1" x="5567"/>
        <item m="1" x="1105"/>
        <item m="1" x="6973"/>
        <item m="1" x="5113"/>
        <item m="1" x="2255"/>
        <item m="1" x="605"/>
        <item m="1" x="6446"/>
        <item m="1" x="1968"/>
        <item m="1" x="1115"/>
        <item x="64"/>
        <item m="1" x="6294"/>
        <item m="1" x="5568"/>
        <item m="1" x="4855"/>
        <item m="1" x="5096"/>
        <item m="1" x="5586"/>
        <item m="1" x="4161"/>
        <item m="1" x="1454"/>
        <item m="1" x="7796"/>
        <item m="1" x="778"/>
        <item m="1" x="2713"/>
        <item m="1" x="5202"/>
        <item m="1" x="4606"/>
        <item m="1" x="4483"/>
        <item m="1" x="5378"/>
        <item m="1" x="4809"/>
        <item m="1" x="1088"/>
        <item x="100"/>
        <item x="101"/>
        <item m="1" x="6413"/>
        <item m="1" x="4626"/>
        <item m="1" x="4854"/>
        <item m="1" x="5334"/>
        <item m="1" x="5585"/>
        <item m="1" x="5889"/>
        <item m="1" x="6161"/>
        <item m="1" x="4638"/>
        <item m="1" x="4936"/>
        <item m="1" x="6787"/>
        <item m="1" x="1169"/>
        <item m="1" x="1721"/>
        <item m="1" x="2002"/>
        <item m="1" x="2530"/>
        <item m="1" x="853"/>
        <item m="1" x="2550"/>
        <item m="1" x="7515"/>
        <item m="1" x="2764"/>
        <item m="1" x="2357"/>
        <item m="1" x="4039"/>
        <item m="1" x="841"/>
        <item m="1" x="3341"/>
        <item m="1" x="4019"/>
        <item m="1" x="2332"/>
        <item m="1" x="5395"/>
        <item m="1" x="6191"/>
        <item m="1" x="4476"/>
        <item m="1" x="5137"/>
        <item m="1" x="3064"/>
        <item m="1" x="1138"/>
        <item m="1" x="5669"/>
        <item m="1" x="7341"/>
        <item m="1" x="2003"/>
        <item m="1" x="1740"/>
        <item m="1" x="3779"/>
        <item m="1" x="2571"/>
        <item m="1" x="4390"/>
        <item m="1" x="7766"/>
        <item m="1" x="3326"/>
        <item m="1" x="4412"/>
        <item m="1" x="6207"/>
        <item m="1" x="4545"/>
        <item m="1" x="4639"/>
        <item m="1" x="4197"/>
        <item m="1" x="2810"/>
        <item m="1" x="5740"/>
        <item m="1" x="6043"/>
        <item m="1" x="3511"/>
        <item m="1" x="1714"/>
        <item m="1" x="3397"/>
        <item x="85"/>
        <item m="1" x="4223"/>
        <item m="1" x="4651"/>
        <item m="1" x="5124"/>
        <item m="1" x="4040"/>
        <item m="1" x="2750"/>
        <item m="1" x="3934"/>
        <item m="1" x="3949"/>
        <item m="1" x="6788"/>
        <item m="1" x="7037"/>
        <item m="1" x="5166"/>
        <item m="1" x="5412"/>
        <item m="1" x="6527"/>
        <item m="1" x="6828"/>
        <item m="1" x="4900"/>
        <item m="1" x="3045"/>
        <item m="1" x="4899"/>
        <item m="1" x="3376"/>
        <item m="1" x="2847"/>
        <item m="1" x="5365"/>
        <item m="1" x="2846"/>
        <item m="1" x="3811"/>
        <item m="1" x="4198"/>
        <item m="1" x="3121"/>
        <item m="1" x="4267"/>
        <item m="1" x="5152"/>
        <item m="1" x="6811"/>
        <item m="1" x="6528"/>
        <item m="1" x="7358"/>
        <item m="1" x="7814"/>
        <item m="1" x="6027"/>
        <item m="1" x="7871"/>
        <item m="1" x="3624"/>
        <item m="1" x="6237"/>
        <item m="1" x="4667"/>
        <item m="1" x="1201"/>
        <item m="1" x="5424"/>
        <item m="1" x="3444"/>
        <item m="1" x="5185"/>
        <item m="1" x="6656"/>
        <item m="1" x="2845"/>
        <item m="1" x="4680"/>
        <item m="1" x="5790"/>
        <item m="1" x="3561"/>
        <item m="1" x="6240"/>
        <item m="1" x="4464"/>
        <item m="1" x="7543"/>
        <item m="1" x="5969"/>
        <item m="1" x="4279"/>
        <item m="1" x="4710"/>
        <item m="1" x="7052"/>
        <item m="1" x="3398"/>
        <item m="1" x="5230"/>
        <item m="1" x="3342"/>
        <item m="1" x="3069"/>
        <item m="1" x="2039"/>
        <item m="1" x="6840"/>
        <item m="1" x="6514"/>
        <item m="1" x="6239"/>
        <item m="1" x="6839"/>
        <item m="1" x="4725"/>
        <item m="1" x="4957"/>
        <item m="1" x="6549"/>
        <item m="1" x="7290"/>
        <item m="1" x="3855"/>
        <item m="1" x="6238"/>
        <item m="1" x="7612"/>
        <item m="1" x="5825"/>
        <item m="1" x="4124"/>
        <item m="1" x="6062"/>
        <item m="1" x="5196"/>
        <item m="1" x="6893"/>
        <item m="1" x="6625"/>
        <item m="1" x="7404"/>
        <item m="1" x="6270"/>
        <item m="1" x="7963"/>
        <item m="1" x="7085"/>
        <item m="1" x="7881"/>
        <item m="1" x="5561"/>
        <item m="1" x="6590"/>
        <item m="1" x="6892"/>
        <item m="1" x="6678"/>
        <item m="1" x="1895"/>
        <item m="1" x="6860"/>
        <item m="1" x="7077"/>
        <item m="1" x="165"/>
        <item m="1" x="5861"/>
        <item m="1" x="6864"/>
        <item m="1" x="3533"/>
        <item m="1" x="1398"/>
        <item m="1" x="5778"/>
        <item m="1" x="1831"/>
        <item m="1" x="1650"/>
        <item m="1" x="7389"/>
        <item m="1" x="214"/>
        <item m="1" x="7050"/>
        <item m="1" x="5215"/>
        <item m="1" x="385"/>
        <item m="1" x="2699"/>
        <item m="1" x="4937"/>
        <item m="1" x="6852"/>
        <item m="1" x="2869"/>
        <item m="1" x="2345"/>
        <item m="1" x="4901"/>
        <item m="1" x="5167"/>
        <item m="1" x="5430"/>
        <item m="1" x="821"/>
        <item m="1" x="7143"/>
        <item m="1" x="1842"/>
        <item m="1" x="4695"/>
        <item m="1" x="1065"/>
        <item m="1" x="2256"/>
        <item m="1" x="2097"/>
        <item m="1" x="7668"/>
        <item m="1" x="3959"/>
        <item m="1" x="5186"/>
        <item m="1" x="6349"/>
        <item m="1" x="7390"/>
        <item m="1" x="822"/>
        <item m="1" x="1961"/>
        <item m="1" x="3082"/>
        <item m="1" x="3828"/>
        <item m="1" x="4214"/>
        <item m="1" x="2868"/>
        <item m="1" x="3101"/>
        <item m="1" x="3599"/>
        <item m="1" x="3615"/>
        <item m="1" x="3343"/>
        <item m="1" x="1761"/>
        <item m="1" x="2572"/>
        <item m="1" x="4053"/>
        <item m="1" x="4441"/>
        <item m="1" x="3859"/>
        <item m="1" x="2589"/>
        <item m="1" x="3377"/>
        <item m="1" x="3139"/>
        <item m="1" x="5991"/>
        <item m="1" x="6253"/>
        <item m="1" x="2382"/>
        <item m="1" x="2264"/>
        <item m="1" x="6095"/>
        <item m="1" x="6044"/>
        <item m="1" x="6295"/>
        <item m="1" x="6882"/>
        <item m="1" x="7375"/>
        <item m="1" x="6063"/>
        <item m="1" x="7367"/>
        <item m="1" x="3906"/>
        <item m="1" x="1168"/>
        <item m="1" x="3523"/>
        <item m="1" x="6242"/>
        <item m="1" x="2169"/>
        <item m="1" x="2418"/>
        <item m="1" x="6861"/>
        <item m="1" x="6601"/>
        <item m="1" x="4440"/>
        <item m="1" x="6891"/>
        <item m="1" x="4485"/>
        <item m="1" x="3702"/>
        <item m="1" x="5901"/>
        <item m="1" x="7144"/>
        <item m="1" x="1593"/>
        <item m="1" x="1450"/>
        <item m="1" x="328"/>
        <item m="1" x="126"/>
        <item m="1" x="6189"/>
        <item m="1" x="6721"/>
        <item m="1" x="608"/>
        <item m="1" x="2731"/>
        <item m="1" x="7434"/>
        <item m="1" x="809"/>
        <item m="1" x="577"/>
        <item m="1" x="1348"/>
        <item m="1" x="1651"/>
        <item m="1" x="7698"/>
        <item m="1" x="7914"/>
        <item m="1" x="5779"/>
        <item m="1" x="5047"/>
        <item m="1" x="6069"/>
        <item m="1" x="5433"/>
        <item m="1" x="6275"/>
        <item m="1" x="4724"/>
        <item m="1" x="6913"/>
        <item m="1" x="6615"/>
        <item m="1" x="6286"/>
        <item m="1" x="5461"/>
        <item m="1" x="880"/>
        <item m="1" x="6646"/>
        <item m="1" x="5940"/>
        <item m="1" x="2486"/>
        <item m="1" x="2184"/>
        <item m="1" x="3460"/>
        <item m="1" x="4871"/>
        <item m="1" x="627"/>
        <item m="1" x="1660"/>
        <item m="1" x="7679"/>
        <item m="1" x="1076"/>
        <item m="1" x="2732"/>
        <item m="1" x="3555"/>
        <item m="1" x="7405"/>
        <item m="1" x="6914"/>
        <item m="1" x="855"/>
        <item m="1" x="166"/>
        <item m="1" x="1092"/>
        <item m="1" x="5984"/>
        <item m="1" x="3554"/>
        <item m="1" x="2989"/>
        <item m="1" x="3302"/>
        <item m="1" x="5800"/>
        <item m="1" x="1982"/>
        <item m="1" x="3957"/>
        <item m="1" x="3966"/>
        <item m="1" x="3486"/>
        <item m="1" x="2504"/>
        <item m="1" x="4935"/>
        <item m="1" x="699"/>
        <item m="1" x="1200"/>
        <item m="1" x="6626"/>
        <item m="1" x="1678"/>
        <item m="1" x="4557"/>
        <item m="1" x="5256"/>
        <item m="1" x="7900"/>
        <item m="1" x="7925"/>
        <item m="1" x="167"/>
        <item m="1" x="588"/>
        <item m="1" x="2185"/>
        <item m="1" x="651"/>
        <item m="1" x="845"/>
        <item m="1" x="4998"/>
        <item m="1" x="7669"/>
        <item m="1" x="184"/>
        <item m="1" x="218"/>
        <item m="1" x="1383"/>
        <item m="1" x="2208"/>
        <item m="1" x="3047"/>
        <item m="1" x="2733"/>
        <item m="1" x="4101"/>
        <item m="1" x="4762"/>
        <item m="1" x="3046"/>
        <item m="1" x="1899"/>
        <item m="1" x="628"/>
        <item m="1" x="609"/>
        <item m="1" x="6504"/>
        <item m="1" x="4400"/>
        <item m="1" x="5271"/>
        <item m="1" x="610"/>
        <item m="1" x="7670"/>
        <item m="1" x="158"/>
        <item m="1" x="7493"/>
        <item m="1" x="6868"/>
        <item m="1" x="2795"/>
        <item m="1" x="7066"/>
        <item m="1" x="3375"/>
        <item m="1" x="3102"/>
        <item m="1" x="3244"/>
        <item m="1" x="1135"/>
        <item m="1" x="1962"/>
        <item m="1" x="7212"/>
        <item m="1" x="4408"/>
        <item m="1" x="6391"/>
        <item m="1" x="6686"/>
        <item m="1" x="6548"/>
        <item m="1" x="1239"/>
        <item m="1" x="2247"/>
        <item m="1" x="6616"/>
        <item m="1" x="6738"/>
        <item m="1" x="3956"/>
        <item m="1" x="368"/>
        <item m="1" x="589"/>
        <item m="1" x="5288"/>
        <item m="1" x="2758"/>
        <item m="1" x="251"/>
        <item m="1" x="1979"/>
        <item m="1" x="7967"/>
        <item m="1" x="404"/>
        <item m="1" x="7653"/>
        <item m="1" x="4704"/>
        <item m="1" x="909"/>
        <item m="1" x="7567"/>
        <item m="1" x="3978"/>
        <item m="1" x="7292"/>
        <item m="1" x="652"/>
        <item m="1" x="1117"/>
        <item m="1" x="892"/>
        <item m="1" x="7127"/>
        <item m="1" x="118"/>
        <item m="1" x="5878"/>
        <item m="1" x="3522"/>
        <item m="1" x="6687"/>
        <item m="1" x="1384"/>
        <item m="1" x="1980"/>
        <item m="1" x="2268"/>
        <item m="1" x="6631"/>
        <item m="1" x="6959"/>
        <item m="1" x="5569"/>
        <item m="1" x="7690"/>
        <item m="1" x="7211"/>
        <item m="1" x="386"/>
        <item m="1" x="430"/>
        <item m="1" x="1194"/>
        <item m="1" x="7641"/>
        <item m="1" x="6118"/>
        <item m="1" x="375"/>
        <item m="1" x="5732"/>
        <item m="1" x="4222"/>
        <item m="1" x="491"/>
        <item m="1" x="3582"/>
        <item m="1" x="1430"/>
        <item m="1" x="7424"/>
        <item m="1" x="7926"/>
        <item m="1" x="1431"/>
        <item m="1" x="7927"/>
        <item m="1" x="168"/>
        <item m="1" x="7938"/>
        <item m="1" x="376"/>
        <item m="1" x="4511"/>
        <item m="1" x="7845"/>
        <item m="1" x="7084"/>
        <item m="1" x="7654"/>
        <item m="1" x="844"/>
        <item m="1" x="7180"/>
        <item m="1" x="2759"/>
        <item m="1" x="3024"/>
        <item m="1" x="3303"/>
        <item m="1" x="5603"/>
        <item m="1" x="1876"/>
        <item m="1" x="557"/>
        <item m="1" x="4790"/>
        <item m="1" x="650"/>
        <item m="1" x="611"/>
        <item m="1" x="5837"/>
        <item m="1" x="2015"/>
        <item m="1" x="2585"/>
        <item m="1" x="2828"/>
        <item m="1" x="865"/>
        <item m="1" x="1349"/>
        <item m="1" x="1596"/>
        <item m="1" x="1432"/>
        <item m="1" x="458"/>
        <item m="1" x="1943"/>
        <item m="1" x="6174"/>
        <item m="1" x="4252"/>
        <item m="1" x="1534"/>
        <item m="1" x="1433"/>
        <item m="1" x="1697"/>
        <item m="1" x="1448"/>
        <item m="1" x="1679"/>
        <item m="1" x="3117"/>
        <item m="1" x="6221"/>
        <item m="1" x="6752"/>
        <item m="1" x="7213"/>
        <item m="1" x="6722"/>
        <item m="1" x="3080"/>
        <item m="1" x="6589"/>
        <item m="1" x="1277"/>
        <item m="1" x="439"/>
        <item m="1" x="203"/>
        <item m="1" x="6770"/>
        <item m="1" x="7998"/>
        <item m="1" x="234"/>
        <item m="1" x="683"/>
        <item m="1" x="1449"/>
        <item m="1" x="2502"/>
        <item m="1" x="3336"/>
        <item m="1" x="2840"/>
        <item m="1" x="5604"/>
        <item m="1" x="7246"/>
        <item m="1" x="6996"/>
        <item m="1" x="1148"/>
        <item m="1" x="7782"/>
        <item m="1" x="7968"/>
        <item m="1" x="2700"/>
        <item m="1" x="4821"/>
        <item m="1" x="4818"/>
        <item m="1" x="2055"/>
        <item m="1" x="2630"/>
        <item m="1" x="1178"/>
        <item m="1" x="3595"/>
        <item m="1" x="1746"/>
        <item m="1" x="7038"/>
        <item m="1" x="3669"/>
        <item m="1" x="1791"/>
        <item m="1" x="7749"/>
        <item m="1" x="7153"/>
        <item m="1" x="1863"/>
        <item x="38"/>
        <item m="1" x="3328"/>
        <item m="1" x="3848"/>
        <item m="1" x="5142"/>
        <item m="1" x="4091"/>
        <item m="1" x="4924"/>
        <item m="1" x="5173"/>
        <item m="1" x="4701"/>
        <item m="1" x="3219"/>
        <item m="1" x="4256"/>
        <item m="1" x="1720"/>
        <item m="1" x="2088"/>
        <item m="1" x="3677"/>
        <item m="1" x="3648"/>
        <item m="1" x="5877"/>
        <item m="1" x="5657"/>
        <item m="1" x="1535"/>
        <item m="1" x="3849"/>
        <item m="1" x="7416"/>
        <item m="1" x="5058"/>
        <item m="1" x="3930"/>
        <item m="1" x="2066"/>
        <item m="1" x="2788"/>
        <item m="1" x="3977"/>
        <item m="1" x="3993"/>
        <item m="1" x="5260"/>
        <item m="1" x="3520"/>
        <item m="1" x="6685"/>
        <item m="1" x="202"/>
        <item m="1" x="405"/>
        <item m="1" x="2034"/>
        <item m="1" x="2563"/>
        <item m="1" x="3355"/>
        <item m="1" x="2054"/>
        <item m="1" x="2309"/>
        <item m="1" x="3450"/>
        <item m="1" x="3642"/>
        <item m="1" x="6532"/>
        <item m="1" x="7853"/>
        <item m="1" x="5191"/>
        <item m="1" x="4972"/>
        <item m="1" x="3929"/>
        <item m="1" x="7574"/>
        <item m="1" x="1207"/>
        <item m="1" x="4270"/>
        <item m="1" x="1297"/>
        <item m="1" x="3609"/>
        <item m="1" x="4045"/>
        <item m="1" x="4450"/>
        <item m="1" x="4907"/>
        <item m="1" x="4733"/>
        <item m="1" x="4942"/>
        <item m="1" x="5456"/>
        <item m="1" x="5751"/>
        <item m="1" x="2523"/>
        <item m="1" x="3633"/>
        <item m="1" x="2072"/>
        <item m="1" x="2315"/>
        <item m="1" x="2829"/>
        <item m="1" x="4958"/>
        <item m="1" x="6518"/>
        <item m="1" x="975"/>
        <item m="1" x="2611"/>
        <item m="1" x="4846"/>
        <item m="1" x="4508"/>
        <item m="1" x="4050"/>
        <item m="1" x="3907"/>
        <item m="1" x="4299"/>
        <item m="1" x="7090"/>
        <item m="1" x="2579"/>
        <item m="1" x="1782"/>
        <item m="1" x="6243"/>
        <item m="1" x="4488"/>
        <item m="1" x="3623"/>
        <item m="1" x="6533"/>
        <item m="1" x="2114"/>
        <item m="1" x="7872"/>
        <item m="1" x="3775"/>
        <item m="1" x="5076"/>
        <item m="1" x="5890"/>
        <item m="1" x="6977"/>
        <item m="1" x="7245"/>
        <item m="1" x="7714"/>
        <item m="1" x="7949"/>
        <item m="1" x="185"/>
        <item m="1" x="390"/>
        <item m="1" x="6755"/>
        <item m="1" x="6995"/>
        <item m="1" x="7520"/>
        <item m="1" x="7729"/>
        <item m="1" x="653"/>
        <item m="1" x="881"/>
        <item m="1" x="7293"/>
        <item m="1" x="7529"/>
        <item m="1" x="3988"/>
        <item m="1" x="5097"/>
        <item m="1" x="5336"/>
        <item m="1" x="7228"/>
        <item m="1" x="7494"/>
        <item m="1" x="5918"/>
        <item m="1" x="4036"/>
        <item m="1" x="7715"/>
        <item m="1" x="4016"/>
        <item m="1" x="7019"/>
        <item m="1" x="7538"/>
        <item m="1" x="1698"/>
        <item m="1" x="266"/>
        <item m="1" x="459"/>
        <item m="1" x="1179"/>
        <item m="1" x="2300"/>
        <item m="1" x="2830"/>
        <item m="1" x="3063"/>
        <item m="1" x="1214"/>
        <item m="1" x="1485"/>
        <item m="1" x="2035"/>
        <item m="1" x="2316"/>
        <item m="1" x="2564"/>
        <item m="1" x="2841"/>
        <item m="1" x="3392"/>
        <item m="1" x="3649"/>
        <item m="1" x="1770"/>
        <item m="1" x="344"/>
        <item m="1" x="911"/>
        <item m="1" x="808"/>
        <item m="1" x="1747"/>
        <item m="1" x="4027"/>
        <item m="1" x="1515"/>
        <item m="1" x="7102"/>
        <item m="1" x="3413"/>
        <item m="1" x="3138"/>
        <item m="1" x="1166"/>
        <item m="1" x="1994"/>
        <item m="1" x="4469"/>
        <item m="1" x="5728"/>
        <item m="1" x="798"/>
        <item m="1" x="4960"/>
        <item m="1" x="6013"/>
        <item m="1" x="5752"/>
        <item m="1" x="4093"/>
        <item m="1" x="4470"/>
        <item m="1" x="3643"/>
        <item m="1" x="5016"/>
        <item m="1" x="6782"/>
        <item m="1" x="7590"/>
        <item m="1" x="5487"/>
        <item m="1" x="6144"/>
        <item m="1" x="2350"/>
        <item m="1" x="3889"/>
        <item m="1" x="7781"/>
        <item m="1" x="5772"/>
        <item m="1" x="5394"/>
        <item m="1" x="4489"/>
        <item m="1" x="5192"/>
        <item m="1" x="6317"/>
        <item m="1" x="6596"/>
        <item m="1" x="6673"/>
        <item m="1" x="1181"/>
        <item m="1" x="5413"/>
        <item m="1" x="4703"/>
        <item m="1" x="4978"/>
        <item m="1" x="643"/>
        <item m="1" x="7291"/>
        <item m="1" x="4777"/>
        <item m="1" x="5174"/>
        <item m="1" x="6652"/>
        <item m="1" x="1468"/>
        <item m="1" x="4006"/>
        <item m="1" x="5917"/>
        <item m="1" x="1213"/>
        <item m="1" x="1536"/>
        <item m="1" x="2903"/>
        <item m="1" x="3128"/>
        <item m="1" x="6553"/>
        <item m="1" x="1768"/>
        <item m="1" x="7123"/>
        <item m="1" x="3260"/>
        <item m="1" x="2349"/>
        <item m="1" x="5158"/>
        <item m="1" x="5694"/>
        <item m="1" x="5223"/>
        <item m="1" x="1916"/>
        <item m="1" x="5325"/>
        <item m="1" x="1411"/>
        <item m="1" x="682"/>
        <item m="1" x="4509"/>
        <item m="1" x="4671"/>
        <item m="1" x="2053"/>
        <item m="1" x="2616"/>
        <item m="1" x="2859"/>
        <item m="1" x="6079"/>
        <item m="1" x="3388"/>
        <item m="1" x="2028"/>
        <item m="1" x="4925"/>
        <item m="1" x="5708"/>
        <item m="1" x="7834"/>
        <item m="1" x="985"/>
        <item m="1" x="4451"/>
        <item m="1" x="4702"/>
        <item m="1" x="6266"/>
        <item m="1" x="6032"/>
        <item m="1" x="6283"/>
        <item m="1" x="5222"/>
        <item m="1" x="6576"/>
        <item m="1" x="3172"/>
        <item m="1" x="3451"/>
        <item m="1" x="5930"/>
        <item m="1" x="1308"/>
        <item m="1" x="5253"/>
        <item m="1" x="5235"/>
        <item m="1" x="6111"/>
        <item m="1" x="5503"/>
        <item m="1" x="6636"/>
        <item m="1" x="5006"/>
        <item m="1" x="4300"/>
        <item m="1" x="4961"/>
        <item m="1" x="6303"/>
        <item m="1" x="3153"/>
        <item m="1" x="5017"/>
        <item m="1" x="7674"/>
        <item m="1" x="7173"/>
        <item m="1" x="7878"/>
        <item m="1" x="1028"/>
        <item m="1" x="4062"/>
        <item m="1" x="3878"/>
        <item m="1" x="4562"/>
        <item m="1" x="6252"/>
        <item m="1" x="6786"/>
        <item m="1" x="6754"/>
        <item m="1" x="6383"/>
        <item m="1" x="1832"/>
        <item m="1" x="2102"/>
        <item m="1" x="7033"/>
        <item m="1" x="3652"/>
        <item m="1" x="5458"/>
        <item m="1" x="1042"/>
        <item m="1" x="6028"/>
        <item m="1" x="3680"/>
        <item m="1" x="5031"/>
        <item m="1" x="4329"/>
        <item m="1" x="4563"/>
        <item m="1" x="5263"/>
        <item m="1" x="2148"/>
        <item m="1" x="7897"/>
        <item m="1" x="7431"/>
        <item m="1" x="7158"/>
        <item m="1" x="4491"/>
        <item m="1" x="6451"/>
        <item m="1" x="7444"/>
        <item m="1" x="1882"/>
        <item m="1" x="4075"/>
        <item m="1" x="747"/>
        <item m="1" x="5809"/>
        <item m="1" x="6538"/>
        <item m="1" x="4038"/>
        <item m="1" x="4061"/>
        <item m="1" x="5457"/>
        <item m="1" x="2419"/>
        <item m="1" x="3932"/>
        <item m="1" x="2636"/>
        <item m="1" x="3464"/>
        <item m="1" x="2394"/>
        <item m="1" x="4599"/>
        <item m="1" x="3540"/>
        <item m="1" x="6630"/>
        <item m="1" x="4318"/>
        <item m="1" x="4510"/>
        <item m="1" x="4995"/>
        <item m="1" x="6318"/>
        <item m="1" x="6101"/>
        <item m="1" x="3670"/>
        <item m="1" x="2734"/>
        <item m="1" x="3452"/>
        <item m="1" x="2230"/>
        <item m="1" x="4948"/>
        <item m="1" x="5951"/>
        <item m="1" x="1252"/>
        <item m="1" x="3870"/>
        <item m="1" x="2824"/>
        <item m="1" x="2020"/>
        <item m="1" x="4018"/>
        <item m="1" x="5882"/>
        <item m="1" x="5003"/>
        <item m="1" x="5264"/>
        <item m="1" x="6384"/>
        <item m="1" x="4765"/>
        <item m="1" x="6351"/>
        <item m="1" x="1317"/>
        <item m="1" x="5473"/>
        <item m="1" x="6637"/>
        <item m="1" x="5283"/>
        <item m="1" x="5831"/>
        <item m="1" x="5296"/>
        <item m="1" x="2407"/>
        <item m="1" x="5504"/>
        <item m="1" x="5018"/>
        <item m="1" x="6622"/>
        <item m="1" x="7533"/>
        <item m="1" x="4309"/>
        <item m="1" x="7592"/>
        <item m="1" x="2635"/>
        <item m="1" x="4092"/>
        <item m="1" x="3207"/>
        <item m="1" x="2420"/>
        <item m="1" x="6363"/>
        <item m="1" x="3443"/>
        <item m="1" x="1193"/>
        <item m="1" x="2033"/>
        <item m="1" x="3116"/>
        <item m="1" x="3208"/>
        <item m="1" x="2231"/>
        <item m="1" x="3871"/>
        <item m="1" x="5491"/>
        <item m="1" x="3453"/>
        <item m="1" x="3671"/>
        <item m="1" x="2438"/>
        <item m="1" x="3748"/>
        <item m="1" x="4107"/>
        <item m="1" x="4766"/>
        <item m="1" x="4558"/>
        <item m="1" x="1786"/>
        <item m="1" x="1565"/>
        <item m="1" x="4319"/>
        <item m="1" x="4068"/>
        <item m="1" x="3857"/>
        <item m="1" x="1345"/>
        <item m="1" x="5265"/>
        <item m="1" x="7475"/>
        <item m="1" x="5472"/>
        <item m="1" x="1674"/>
        <item m="1" x="7325"/>
        <item m="1" x="5529"/>
        <item m="1" x="5883"/>
        <item m="1" x="5234"/>
        <item m="1" x="4148"/>
        <item m="1" x="6036"/>
        <item m="1" x="4117"/>
        <item m="1" x="6143"/>
        <item m="1" x="3933"/>
        <item m="1" x="6954"/>
        <item m="1" x="1634"/>
        <item m="1" x="4811"/>
        <item m="1" x="5865"/>
        <item m="1" x="6364"/>
        <item m="1" x="6696"/>
        <item m="1" x="3465"/>
        <item m="1" x="6660"/>
        <item m="1" x="6676"/>
        <item m="1" x="1093"/>
        <item m="1" x="7174"/>
        <item m="1" x="3492"/>
        <item m="1" x="4362"/>
        <item m="1" x="3512"/>
        <item m="1" x="5236"/>
        <item m="1" x="6102"/>
        <item m="1" x="4564"/>
        <item m="1" x="4810"/>
        <item m="1" x="6675"/>
        <item m="1" x="7921"/>
        <item m="1" x="1077"/>
        <item m="1" x="2939"/>
        <item m="1" x="1957"/>
        <item m="1" x="445"/>
        <item m="1" x="2991"/>
        <item m="1" x="3727"/>
        <item m="1" x="5090"/>
        <item m="1" x="4149"/>
        <item m="1" x="5042"/>
        <item m="1" x="6112"/>
        <item m="1" x="5297"/>
        <item m="1" x="5107"/>
        <item m="1" x="5318"/>
        <item m="1" x="716"/>
        <item m="1" x="3572"/>
        <item m="1" x="3694"/>
        <item m="1" x="3890"/>
        <item m="1" x="2087"/>
        <item m="1" x="2642"/>
        <item m="1" x="2893"/>
        <item m="1" x="2674"/>
        <item m="1" x="4620"/>
        <item m="1" x="4565"/>
        <item m="1" x="1873"/>
        <item m="1" x="930"/>
        <item m="1" x="5057"/>
        <item m="1" x="5506"/>
        <item m="1" x="7460"/>
        <item m="1" x="3280"/>
        <item m="1" x="3534"/>
        <item m="1" x="5866"/>
        <item m="1" x="2665"/>
        <item m="1" x="3947"/>
        <item m="1" x="6406"/>
        <item m="1" x="1699"/>
        <item m="1" x="6293"/>
        <item m="1" x="6827"/>
        <item m="1" x="6789"/>
        <item m="1" x="5846"/>
        <item m="1" x="3154"/>
        <item m="1" x="7989"/>
        <item m="1" x="371"/>
        <item m="1" x="6945"/>
        <item m="1" x="1964"/>
        <item m="1" x="6940"/>
        <item x="39"/>
        <item x="40"/>
        <item m="1" x="2990"/>
        <item m="1" x="5284"/>
        <item m="1" x="6697"/>
        <item m="1" x="7681"/>
        <item m="1" x="6134"/>
        <item m="1" x="1476"/>
        <item m="1" x="671"/>
        <item m="1" x="220"/>
        <item m="1" x="419"/>
        <item m="1" x="406"/>
        <item m="1" x="7769"/>
        <item m="1" x="2506"/>
        <item m="1" x="2074"/>
        <item m="1" x="3029"/>
        <item m="1" x="2551"/>
        <item m="1" x="391"/>
        <item x="5"/>
        <item m="1" x="3600"/>
        <item m="1" x="703"/>
        <item m="1" x="6135"/>
        <item m="1" x="2286"/>
        <item m="1" x="1202"/>
        <item m="1" x="7988"/>
        <item x="44"/>
        <item x="45"/>
        <item x="46"/>
        <item x="52"/>
        <item m="1" x="3344"/>
        <item m="1" x="5673"/>
        <item m="1" x="936"/>
        <item x="61"/>
        <item m="1" x="655"/>
        <item m="1" x="702"/>
        <item m="1" x="205"/>
        <item m="1" x="1152"/>
        <item x="66"/>
        <item x="67"/>
        <item x="68"/>
        <item x="69"/>
        <item m="1" x="256"/>
        <item m="1" x="3596"/>
        <item m="1" x="4184"/>
        <item m="1" x="281"/>
        <item x="77"/>
        <item m="1" x="7303"/>
        <item m="1" x="7345"/>
        <item x="81"/>
        <item m="1" x="6193"/>
        <item x="86"/>
        <item x="88"/>
        <item m="1" x="4696"/>
        <item m="1" x="239"/>
        <item m="1" x="240"/>
        <item m="1" x="2890"/>
        <item m="1" x="4213"/>
        <item m="1" x="3780"/>
        <item m="1" x="5082"/>
        <item m="1" x="5573"/>
        <item m="1" x="5881"/>
        <item m="1" x="2870"/>
        <item m="1" x="1826"/>
        <item m="1" x="6980"/>
        <item m="1" x="6420"/>
        <item m="1" x="7506"/>
        <item m="1" x="738"/>
        <item m="1" x="1328"/>
        <item x="50"/>
        <item m="1" x="7716"/>
        <item m="1" x="5724"/>
        <item m="1" x="2590"/>
        <item m="1" x="2319"/>
        <item m="1" x="7003"/>
        <item m="1" x="2848"/>
        <item m="1" x="3140"/>
        <item m="1" x="3414"/>
        <item m="1" x="3844"/>
        <item m="1" x="5144"/>
        <item m="1" x="5659"/>
        <item m="1" x="4738"/>
        <item m="1" x="7555"/>
        <item m="1" x="2673"/>
        <item m="1" x="2322"/>
        <item m="1" x="7400"/>
        <item m="1" x="402"/>
        <item m="1" x="739"/>
        <item m="1" x="5635"/>
        <item m="1" x="7273"/>
        <item m="1" x="7025"/>
        <item m="1" x="7771"/>
        <item m="1" x="1489"/>
        <item m="1" x="5893"/>
        <item m="1" x="6434"/>
        <item m="1" x="6728"/>
        <item m="1" x="7232"/>
        <item m="1" x="5611"/>
        <item m="1" x="6179"/>
        <item m="1" x="6450"/>
        <item m="1" x="7136"/>
        <item m="1" x="1851"/>
        <item m="1" x="2249"/>
        <item m="1" x="6058"/>
        <item m="1" x="5734"/>
        <item m="1" x="2162"/>
        <item m="1" x="5709"/>
        <item m="1" x="3399"/>
        <item m="1" x="5780"/>
        <item m="1" x="7699"/>
        <item m="1" x="7717"/>
        <item m="1" x="7752"/>
        <item m="1" x="5863"/>
        <item m="1" x="2811"/>
        <item m="1" x="1203"/>
        <item m="1" x="2021"/>
        <item m="1" x="2016"/>
        <item m="1" x="2802"/>
        <item m="1" x="257"/>
        <item m="1" x="7565"/>
        <item m="1" x="1560"/>
        <item m="1" x="7541"/>
        <item m="1" x="5127"/>
        <item m="1" x="7092"/>
        <item m="1" x="7302"/>
        <item m="1" x="2123"/>
        <item m="1" x="2333"/>
        <item m="1" x="2620"/>
        <item m="1" x="2899"/>
        <item m="1" x="1011"/>
        <item m="1" x="1294"/>
        <item m="1" x="1861"/>
        <item m="1" x="2109"/>
        <item m="1" x="2573"/>
        <item m="1" x="5505"/>
        <item m="1" x="3630"/>
        <item m="1" x="307"/>
        <item m="1" x="5591"/>
        <item m="1" x="1475"/>
        <item m="1" x="512"/>
        <item m="1" x="463"/>
        <item m="1" x="7249"/>
        <item m="1" x="5007"/>
        <item m="1" x="5032"/>
        <item m="1" x="4823"/>
        <item m="1" x="3426"/>
        <item m="1" x="6727"/>
        <item m="1" x="632"/>
        <item m="1" x="7272"/>
        <item m="1" x="7532"/>
        <item m="1" x="6708"/>
        <item m="1" x="1490"/>
        <item m="1" x="283"/>
        <item m="1" x="1864"/>
        <item m="1" x="1991"/>
        <item m="1" x="7040"/>
        <item m="1" x="779"/>
        <item m="1" x="774"/>
        <item m="1" x="5099"/>
        <item m="1" x="2119"/>
        <item m="1" x="2681"/>
        <item m="1" x="2917"/>
        <item m="1" x="2643"/>
        <item x="8"/>
        <item x="9"/>
        <item m="1" x="4261"/>
        <item x="15"/>
        <item m="1" x="723"/>
        <item m="1" x="7274"/>
        <item m="1" x="1716"/>
        <item m="1" x="2334"/>
        <item m="1" x="1843"/>
        <item m="1" x="2040"/>
        <item m="1" x="513"/>
        <item m="1" x="2041"/>
        <item m="1" x="3122"/>
        <item x="89"/>
        <item m="1" x="4325"/>
        <item m="1" x="2591"/>
        <item m="1" x="3141"/>
        <item m="1" x="6487"/>
        <item m="1" x="6853"/>
        <item m="1" x="4863"/>
        <item x="103"/>
        <item x="105"/>
        <item x="106"/>
        <item x="107"/>
        <item m="1" x="740"/>
        <item m="1" x="972"/>
        <item m="1" x="5710"/>
        <item x="30"/>
        <item m="1" x="2098"/>
        <item m="1" x="4291"/>
        <item m="1" x="7575"/>
        <item m="1" x="6466"/>
        <item m="1" x="7806"/>
        <item m="1" x="6535"/>
        <item m="1" x="6832"/>
        <item m="1" x="7822"/>
        <item m="1" x="1804"/>
        <item m="1" x="998"/>
        <item m="1" x="1236"/>
        <item x="53"/>
        <item m="1" x="152"/>
        <item m="1" x="335"/>
        <item m="1" x="728"/>
        <item m="1" x="1435"/>
        <item m="1" x="297"/>
        <item m="1" x="7072"/>
        <item m="1" x="1877"/>
        <item m="1" x="1260"/>
        <item m="1" x="2075"/>
        <item m="1" x="541"/>
        <item m="1" x="1561"/>
        <item m="1" x="7346"/>
        <item m="1" x="6244"/>
        <item x="90"/>
        <item m="1" x="6777"/>
        <item m="1" x="6534"/>
        <item m="1" x="1562"/>
        <item m="1" x="1862"/>
        <item m="1" x="7073"/>
        <item m="1" x="3634"/>
        <item m="1" x="7566"/>
        <item m="1" x="6323"/>
        <item m="1" x="1819"/>
        <item m="1" x="556"/>
        <item m="1" x="6554"/>
        <item m="1" x="490"/>
        <item m="1" x="309"/>
        <item m="1" x="3149"/>
        <item m="1" x="1656"/>
        <item m="1" x="3659"/>
        <item m="1" x="340"/>
        <item m="1" x="1240"/>
        <item m="1" x="1509"/>
        <item m="1" x="2914"/>
        <item m="1" x="4237"/>
        <item m="1" x="3812"/>
        <item m="1" x="5115"/>
        <item m="1" x="5610"/>
        <item m="1" x="2898"/>
        <item m="1" x="1860"/>
        <item m="1" x="7024"/>
        <item m="1" x="7999"/>
        <item x="10"/>
        <item m="1" x="3858"/>
        <item m="1" x="756"/>
        <item m="1" x="1532"/>
        <item m="1" x="3663"/>
        <item m="1" x="3866"/>
        <item m="1" x="7094"/>
        <item m="1" x="1533"/>
        <item x="51"/>
        <item m="1" x="2773"/>
        <item m="1" x="6319"/>
        <item m="1" x="542"/>
        <item m="1" x="3597"/>
        <item m="1" x="7108"/>
        <item m="1" x="5559"/>
        <item m="1" x="4917"/>
        <item m="1" x="1693"/>
        <item m="1" x="2708"/>
        <item m="1" x="6857"/>
        <item m="1" x="176"/>
        <item m="1" x="904"/>
        <item m="1" x="342"/>
        <item m="1" x="6817"/>
        <item m="1" x="2910"/>
        <item m="1" x="1309"/>
        <item m="1" x="799"/>
        <item m="1" x="1883"/>
        <item m="1" x="6419"/>
        <item m="1" x="3319"/>
        <item m="1" x="7461"/>
        <item m="1" x="1261"/>
        <item m="1" x="1795"/>
        <item m="1" x="7462"/>
        <item m="1" x="331"/>
        <item m="1" x="4791"/>
        <item m="1" x="7124"/>
        <item m="1" x="4182"/>
        <item m="1" x="776"/>
        <item m="1" x="3203"/>
        <item m="1" x="1098"/>
        <item m="1" x="1231"/>
        <item m="1" x="6903"/>
        <item m="1" x="1732"/>
        <item m="1" x="7417"/>
        <item m="1" x="840"/>
        <item x="91"/>
        <item m="1" x="5193"/>
        <item m="1" x="1894"/>
        <item m="1" x="2617"/>
        <item m="1" x="603"/>
        <item m="1" x="1616"/>
        <item m="1" x="6577"/>
        <item m="1" x="5183"/>
        <item m="1" x="2661"/>
        <item m="1" x="6033"/>
        <item m="1" x="311"/>
        <item m="1" x="3461"/>
        <item m="1" x="3786"/>
        <item m="1" x="282"/>
        <item m="1" x="3183"/>
        <item m="1" x="2629"/>
        <item m="1" x="1767"/>
        <item m="1" x="364"/>
        <item m="1" x="946"/>
        <item m="1" x="352"/>
        <item x="92"/>
        <item m="1" x="7301"/>
        <item m="1" x="7093"/>
        <item m="1" x="2885"/>
        <item m="1" x="741"/>
        <item m="1" x="755"/>
        <item m="1" x="1425"/>
        <item m="1" x="2370"/>
        <item m="1" x="6536"/>
        <item m="1" x="7347"/>
        <item m="1" x="5729"/>
        <item m="1" x="7365"/>
        <item m="1" x="6858"/>
        <item m="1" x="298"/>
        <item m="1" x="6873"/>
        <item m="1" x="7418"/>
        <item m="1" x="1058"/>
        <item m="1" x="6847"/>
        <item x="54"/>
        <item m="1" x="310"/>
        <item m="1" x="2517"/>
        <item m="1" x="7140"/>
        <item m="1" x="813"/>
        <item m="1" x="3688"/>
        <item m="1" x="1310"/>
        <item m="1" x="2155"/>
        <item m="1" x="2715"/>
        <item m="1" x="2944"/>
        <item m="1" x="773"/>
        <item m="1" x="711"/>
        <item m="1" x="121"/>
        <item m="1" x="122"/>
        <item m="1" x="5425"/>
        <item m="1" x="7419"/>
        <item m="1" x="1067"/>
        <item m="1" x="2142"/>
        <item m="1" x="2405"/>
        <item m="1" x="1879"/>
        <item m="1" x="2739"/>
        <item m="1" x="572"/>
        <item m="1" x="2326"/>
        <item m="1" x="3487"/>
        <item m="1" x="3194"/>
        <item m="1" x="7443"/>
        <item m="1" x="6886"/>
        <item m="1" x="2662"/>
        <item m="1" x="775"/>
        <item m="1" x="997"/>
        <item m="1" x="1878"/>
        <item m="1" x="3166"/>
        <item m="1" x="6688"/>
        <item m="1" x="7622"/>
        <item m="1" x="151"/>
        <item x="31"/>
        <item m="1" x="7648"/>
        <item m="1" x="2465"/>
        <item m="1" x="3230"/>
        <item m="1" x="5037"/>
        <item m="1" x="7175"/>
        <item m="1" x="5021"/>
        <item m="1" x="4133"/>
        <item m="1" x="6150"/>
        <item m="1" x="7214"/>
        <item m="1" x="602"/>
        <item m="1" x="3404"/>
        <item m="1" x="3910"/>
        <item m="1" x="5515"/>
        <item m="1" x="2740"/>
        <item m="1" x="4513"/>
        <item m="1" x="5891"/>
        <item m="1" x="1604"/>
        <item m="1" x="1868"/>
        <item x="0"/>
        <item m="1" x="2975"/>
        <item m="1" x="3248"/>
        <item x="26"/>
        <item m="1" x="6120"/>
        <item m="1" x="4540"/>
        <item m="1" x="5304"/>
        <item m="1" x="3268"/>
        <item m="1" x="4357"/>
        <item m="1" x="4799"/>
        <item m="1" x="4569"/>
        <item m="1" x="5850"/>
        <item m="1" x="5605"/>
        <item m="1" x="4134"/>
        <item m="1" x="4374"/>
        <item m="1" x="642"/>
        <item m="1" x="4271"/>
        <item m="1" x="4842"/>
        <item m="1" x="3710"/>
        <item m="1" x="382"/>
        <item m="1" x="7730"/>
        <item m="1" x="3813"/>
        <item m="1" x="5548"/>
        <item m="1" x="6133"/>
        <item m="1" x="6213"/>
        <item m="1" x="2096"/>
        <item m="1" x="3843"/>
        <item m="1" x="5143"/>
        <item m="1" x="1893"/>
        <item m="1" x="3276"/>
        <item m="1" x="4174"/>
        <item m="1" x="5879"/>
        <item m="1" x="3497"/>
        <item m="1" x="4814"/>
        <item m="1" x="1353"/>
        <item m="1" x="1623"/>
        <item m="1" x="2344"/>
        <item m="1" x="2204"/>
        <item m="1" x="4827"/>
        <item m="1" x="5305"/>
        <item m="1" x="5078"/>
        <item m="1" x="5321"/>
        <item m="1" x="3744"/>
        <item x="62"/>
        <item m="1" x="4628"/>
        <item m="1" x="7205"/>
        <item m="1" x="5272"/>
        <item m="1" x="677"/>
        <item m="1" x="4873"/>
        <item m="1" x="2760"/>
        <item m="1" x="3400"/>
        <item m="1" x="977"/>
        <item m="1" x="1928"/>
        <item m="1" x="4815"/>
        <item m="1" x="2461"/>
        <item x="93"/>
        <item m="1" x="4135"/>
        <item m="1" x="6668"/>
        <item m="1" x="4828"/>
        <item m="1" x="5065"/>
        <item m="1" x="6978"/>
        <item m="1" x="960"/>
        <item m="1" x="3655"/>
        <item m="1" x="2214"/>
        <item m="1" x="7215"/>
        <item m="1" x="1923"/>
        <item m="1" x="7514"/>
        <item m="1" x="1295"/>
        <item m="1" x="4238"/>
        <item m="1" x="6723"/>
        <item x="16"/>
        <item m="1" x="6657"/>
        <item m="1" x="4396"/>
        <item m="1" x="2976"/>
        <item m="1" x="1663"/>
        <item m="1" x="1983"/>
        <item m="1" x="6724"/>
        <item m="1" x="6822"/>
        <item m="1" x="7770"/>
        <item m="1" x="709"/>
        <item m="1" x="4938"/>
        <item m="1" x="7445"/>
        <item m="1" x="1004"/>
        <item m="1" x="5587"/>
        <item x="87"/>
        <item m="1" x="5079"/>
        <item m="1" x="5396"/>
        <item m="1" x="5626"/>
        <item m="1" x="1388"/>
        <item m="1" x="1886"/>
        <item m="1" x="4629"/>
        <item m="1" x="3765"/>
        <item m="1" x="5919"/>
        <item m="1" x="175"/>
        <item m="1" x="4175"/>
        <item m="1" x="2472"/>
        <item m="1" x="343"/>
        <item m="1" x="4644"/>
        <item m="1" x="308"/>
        <item m="1" x="2660"/>
        <item m="1" x="746"/>
        <item m="1" x="5542"/>
        <item m="1" x="401"/>
        <item m="1" x="1516"/>
        <item m="1" x="6865"/>
        <item m="1" x="4413"/>
        <item m="1" x="6430"/>
        <item m="1" x="7331"/>
        <item m="1" x="4570"/>
        <item m="1" x="3968"/>
        <item m="1" x="5533"/>
        <item m="1" x="6132"/>
        <item m="1" x="6429"/>
        <item m="1" x="1373"/>
        <item m="1" x="4902"/>
        <item m="1" x="6997"/>
        <item m="1" x="1702"/>
        <item m="1" x="5188"/>
        <item m="1" x="5952"/>
        <item m="1" x="6771"/>
        <item m="1" x="6222"/>
        <item m="1" x="4162"/>
        <item m="1" x="2797"/>
        <item m="1" x="3070"/>
        <item m="1" x="3579"/>
        <item m="1" x="7242"/>
        <item m="1" x="1285"/>
        <item m="1" x="2741"/>
        <item m="1" x="5366"/>
        <item m="1" x="5549"/>
        <item m="1" x="4890"/>
        <item m="1" x="5153"/>
        <item m="1" x="4375"/>
        <item m="1" x="7247"/>
        <item m="1" x="2196"/>
        <item m="1" x="2769"/>
        <item m="1" x="2962"/>
        <item m="1" x="6241"/>
        <item m="1" x="4345"/>
        <item m="1" x="4366"/>
        <item m="1" x="4607"/>
        <item m="1" x="6119"/>
        <item m="1" x="6667"/>
        <item m="1" x="4826"/>
        <item m="1" x="5064"/>
        <item m="1" x="5547"/>
        <item m="1" x="6943"/>
        <item m="1" x="7480"/>
        <item m="1" x="7680"/>
        <item m="1" x="5022"/>
        <item m="1" x="4587"/>
        <item m="1" x="5077"/>
        <item m="1" x="2428"/>
        <item m="1" x="2440"/>
        <item m="1" x="2765"/>
        <item m="1" x="4151"/>
        <item m="1" x="2781"/>
        <item m="1" x="3537"/>
        <item m="1" x="3950"/>
        <item m="1" x="4553"/>
        <item m="1" x="3795"/>
        <item m="1" x="4187"/>
        <item m="1" x="4829"/>
        <item m="1" x="6447"/>
        <item m="1" x="3345"/>
        <item m="1" x="1722"/>
        <item m="1" x="3378"/>
        <item m="1" x="3814"/>
        <item m="1" x="4007"/>
        <item m="1" x="805"/>
        <item m="1" x="197"/>
        <item m="1" x="3544"/>
        <item m="1" x="3016"/>
        <item m="1" x="4224"/>
        <item m="1" x="2766"/>
        <item m="1" x="5329"/>
        <item m="1" x="1941"/>
        <item m="1" x="7401"/>
        <item m="1" x="4652"/>
        <item m="1" x="6756"/>
        <item m="1" x="7805"/>
        <item m="1" x="6175"/>
        <item m="1" x="2338"/>
        <item m="1" x="5004"/>
        <item m="1" x="3672"/>
        <item m="1" x="4903"/>
        <item m="1" x="5398"/>
        <item m="1" x="6223"/>
        <item m="1" x="1615"/>
        <item m="1" x="806"/>
        <item m="1" x="1023"/>
        <item m="1" x="1958"/>
        <item m="1" x="3346"/>
        <item m="1" x="7359"/>
        <item m="1" x="7116"/>
        <item m="1" x="6854"/>
        <item m="1" x="5543"/>
        <item m="1" x="6407"/>
        <item m="1" x="6257"/>
        <item m="1" x="6529"/>
        <item m="1" x="7446"/>
        <item m="1" x="7310"/>
        <item m="1" x="1465"/>
        <item m="1" x="7596"/>
        <item m="1" x="6258"/>
        <item m="1" x="7746"/>
        <item m="1" x="1217"/>
        <item m="1" x="712"/>
        <item x="1"/>
        <item x="2"/>
        <item x="17"/>
        <item x="18"/>
        <item m="1" x="637"/>
        <item m="1" x="2287"/>
        <item m="1" x="5397"/>
        <item m="1" x="1684"/>
        <item m="1" x="5229"/>
        <item m="1" x="3030"/>
        <item m="1" x="2835"/>
        <item m="1" x="3576"/>
        <item m="1" x="147"/>
        <item m="1" x="3334"/>
        <item m="1" x="4884"/>
        <item m="1" x="2753"/>
        <item m="1" x="2600"/>
        <item m="1" x="137"/>
        <item m="1" x="661"/>
        <item m="1" x="3420"/>
        <item m="1" x="5474"/>
        <item m="1" x="5625"/>
        <item m="1" x="3752"/>
        <item m="1" x="5138"/>
        <item m="1" x="5627"/>
        <item m="1" x="4442"/>
        <item m="1" x="4653"/>
        <item m="1" x="2694"/>
        <item x="12"/>
        <item m="1" x="1667"/>
        <item m="1" x="6276"/>
        <item m="1" x="5139"/>
        <item m="1" x="6499"/>
        <item m="1" x="3782"/>
        <item m="1" x="3829"/>
        <item m="1" x="3083"/>
        <item m="1" x="5671"/>
        <item m="1" x="4588"/>
        <item m="1" x="5154"/>
        <item m="1" x="5399"/>
        <item m="1" x="3362"/>
        <item m="1" x="1741"/>
        <item x="75"/>
        <item m="1" x="901"/>
        <item m="1" x="6638"/>
        <item m="1" x="4939"/>
        <item m="1" x="7797"/>
        <item m="1" x="4477"/>
        <item m="1" x="5168"/>
        <item m="1" x="2940"/>
        <item m="1" x="4266"/>
        <item m="1" x="5175"/>
        <item m="1" x="5658"/>
        <item m="1" x="1940"/>
        <item m="1" x="2849"/>
        <item x="13"/>
        <item x="19"/>
        <item x="20"/>
        <item x="21"/>
        <item x="22"/>
        <item m="1" x="2800"/>
        <item m="1" x="7842"/>
        <item m="1" x="1241"/>
        <item m="1" x="1742"/>
        <item m="1" x="2022"/>
        <item m="1" x="1762"/>
        <item x="43"/>
        <item m="1" x="6790"/>
        <item m="1" x="7051"/>
        <item m="1" x="7326"/>
        <item m="1" x="3051"/>
        <item m="1" x="3584"/>
        <item m="1" x="3379"/>
        <item x="48"/>
        <item x="55"/>
        <item m="1" x="5993"/>
        <item m="1" x="3845"/>
        <item x="60"/>
        <item m="1" x="5970"/>
        <item m="1" x="4617"/>
        <item m="1" x="1690"/>
        <item m="1" x="3123"/>
        <item m="1" x="5431"/>
        <item m="1" x="5741"/>
        <item m="1" x="6254"/>
        <item m="1" x="4727"/>
        <item m="1" x="5169"/>
        <item m="1" x="3432"/>
        <item m="1" x="2791"/>
        <item m="1" x="7663"/>
        <item m="1" x="3781"/>
        <item m="1" x="6296"/>
        <item m="1" x="4305"/>
        <item m="1" x="5187"/>
        <item m="1" x="3361"/>
        <item m="1" x="6604"/>
        <item m="1" x="3380"/>
        <item m="1" x="2051"/>
        <item m="1" x="1963"/>
        <item m="1" x="1367"/>
        <item m="1" x="5170"/>
        <item x="6"/>
        <item x="23"/>
        <item x="27"/>
        <item x="28"/>
        <item x="29"/>
        <item m="1" x="4001"/>
        <item x="37"/>
        <item m="1" x="5617"/>
        <item x="63"/>
        <item m="1" x="7825"/>
        <item m="1" x="2351"/>
        <item m="1" x="5240"/>
        <item m="1" x="1646"/>
        <item m="1" x="4534"/>
        <item m="1" x="7091"/>
        <item x="3"/>
        <item x="11"/>
        <item x="24"/>
        <item x="25"/>
        <item x="32"/>
        <item x="33"/>
        <item m="1" x="7855"/>
        <item m="1" x="7103"/>
        <item m="1" x="493"/>
        <item m="1" x="365"/>
        <item m="1" x="3718"/>
        <item m="1" x="341"/>
        <item m="1" x="2751"/>
        <item x="74"/>
        <item m="1" x="1987"/>
        <item m="1" x="7476"/>
        <item m="1" x="5670"/>
        <item m="1" x="7858"/>
        <item m="1" x="5698"/>
        <item x="83"/>
        <item x="84"/>
        <item m="1" x="4946"/>
        <item m="1" x="3224"/>
        <item m="1" x="1298"/>
        <item m="1" x="2186"/>
        <item x="4"/>
        <item x="7"/>
        <item x="14"/>
        <item m="1" x="4253"/>
        <item m="1" x="3601"/>
        <item x="47"/>
        <item m="1" x="3796"/>
        <item m="1" x="4041"/>
        <item m="1" x="5140"/>
        <item m="1" x="6605"/>
        <item m="1" x="4711"/>
        <item m="1" x="5449"/>
        <item m="1" x="6255"/>
        <item m="1" x="6550"/>
        <item m="1" x="6841"/>
        <item m="1" x="5450"/>
        <item m="1" x="6287"/>
        <item x="56"/>
        <item x="57"/>
        <item m="1" x="5155"/>
        <item m="1" x="2816"/>
        <item m="1" x="560"/>
        <item m="1" x="1833"/>
        <item m="1" x="2399"/>
        <item m="1" x="1380"/>
        <item m="1" x="4324"/>
        <item m="1" x="6829"/>
        <item m="1" x="1505"/>
        <item m="1" x="2240"/>
        <item m="1" x="3270"/>
        <item m="1" x="2999"/>
        <item m="1" x="1043"/>
        <item m="1" x="6561"/>
        <item m="1" x="828"/>
        <item m="1" x="4726"/>
        <item m="1" x="2305"/>
        <item m="1" x="5992"/>
        <item m="1" x="6772"/>
        <item m="1" x="3431"/>
        <item m="1" x="4008"/>
        <item m="1" x="4020"/>
        <item m="1" x="4427"/>
        <item m="1" x="4654"/>
        <item m="1" x="4443"/>
        <item m="1" x="5763"/>
        <item m="1" x="2042"/>
        <item m="1" x="2574"/>
        <item m="1" x="3084"/>
        <item m="1" x="3401"/>
        <item m="1" x="4239"/>
        <item x="34"/>
        <item x="35"/>
        <item x="36"/>
        <item x="41"/>
        <item x="42"/>
        <item x="49"/>
        <item x="58"/>
        <item x="59"/>
        <item x="65"/>
        <item x="70"/>
        <item x="71"/>
        <item x="72"/>
        <item x="73"/>
        <item x="76"/>
        <item x="78"/>
        <item x="79"/>
        <item x="80"/>
        <item x="94"/>
        <item x="95"/>
        <item x="96"/>
        <item x="97"/>
        <item x="98"/>
        <item x="99"/>
        <item x="102"/>
        <item x="104"/>
        <item x="108"/>
        <item x="109"/>
        <item x="110"/>
        <item x="111"/>
        <item x="112"/>
        <item x="1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3391">
        <item n=" " x="1"/>
        <item m="1" x="180"/>
        <item x="31"/>
        <item m="1" x="2898"/>
        <item m="1" x="1372"/>
        <item m="1" x="1472"/>
        <item m="1" x="3067"/>
        <item m="1" x="2917"/>
        <item m="1" x="1847"/>
        <item m="1" x="650"/>
        <item m="1" x="1351"/>
        <item m="1" x="3013"/>
        <item m="1" x="3119"/>
        <item m="1" x="59"/>
        <item m="1" x="64"/>
        <item m="1" x="2936"/>
        <item m="1" x="2824"/>
        <item m="1" x="1189"/>
        <item m="1" x="2865"/>
        <item m="1" x="1238"/>
        <item m="1" x="2782"/>
        <item m="1" x="1147"/>
        <item m="1" x="1326"/>
        <item m="1" x="2955"/>
        <item m="1" x="2901"/>
        <item m="1" x="1374"/>
        <item m="1" x="126"/>
        <item m="1" x="1921"/>
        <item m="1" x="3053"/>
        <item m="1" x="63"/>
        <item m="1" x="1415"/>
        <item m="1" x="3195"/>
        <item m="1" x="1041"/>
        <item m="1" x="1914"/>
        <item m="1" x="1465"/>
        <item m="1" x="2530"/>
        <item m="1" x="2855"/>
        <item m="1" x="2932"/>
        <item m="1" x="1470"/>
        <item m="1" x="3096"/>
        <item m="1" x="1322"/>
        <item m="1" x="1686"/>
        <item m="1" x="1840"/>
        <item m="1" x="1408"/>
        <item m="1" x="1618"/>
        <item m="1" x="3200"/>
        <item m="1" x="1400"/>
        <item m="1" x="1504"/>
        <item m="1" x="1446"/>
        <item m="1" x="3267"/>
        <item m="1" x="3353"/>
        <item m="1" x="1280"/>
        <item m="1" x="3123"/>
        <item m="1" x="1715"/>
        <item m="1" x="964"/>
        <item m="1" x="295"/>
        <item m="1" x="3062"/>
        <item m="1" x="1639"/>
        <item m="1" x="1298"/>
        <item m="1" x="233"/>
        <item m="1" x="2699"/>
        <item m="1" x="1212"/>
        <item m="1" x="300"/>
        <item m="1" x="1854"/>
        <item m="1" x="181"/>
        <item m="1" x="1784"/>
        <item m="1" x="2573"/>
        <item m="1" x="2623"/>
        <item m="1" x="3040"/>
        <item m="1" x="2141"/>
        <item m="1" x="2690"/>
        <item m="1" x="2464"/>
        <item m="1" x="2755"/>
        <item m="1" x="2721"/>
        <item m="1" x="976"/>
        <item m="1" x="2669"/>
        <item m="1" x="817"/>
        <item m="1" x="2631"/>
        <item m="1" x="770"/>
        <item m="1" x="3295"/>
        <item m="1" x="1126"/>
        <item m="1" x="1497"/>
        <item m="1" x="867"/>
        <item m="1" x="2663"/>
        <item m="1" x="871"/>
        <item m="1" x="2423"/>
        <item m="1" x="1348"/>
        <item m="1" x="2349"/>
        <item m="1" x="2902"/>
        <item m="1" x="2008"/>
        <item m="1" x="743"/>
        <item m="1" x="1496"/>
        <item m="1" x="510"/>
        <item m="1" x="505"/>
        <item m="1" x="2794"/>
        <item m="1" x="1159"/>
        <item m="1" x="564"/>
        <item m="1" x="975"/>
        <item m="1" x="2630"/>
        <item m="1" x="2592"/>
        <item m="1" x="929"/>
        <item m="1" x="767"/>
        <item m="1" x="2527"/>
        <item m="1" x="1109"/>
        <item m="1" x="1684"/>
        <item m="1" x="1373"/>
        <item m="1" x="662"/>
        <item m="1" x="992"/>
        <item m="1" x="2439"/>
        <item m="1" x="2974"/>
        <item m="1" x="2519"/>
        <item m="1" x="2046"/>
        <item m="1" x="1205"/>
        <item m="1" x="2835"/>
        <item m="1" x="3046"/>
        <item m="1" x="1860"/>
        <item m="1" x="1735"/>
        <item m="1" x="2329"/>
        <item m="1" x="911"/>
        <item m="1" x="1845"/>
        <item m="1" x="1117"/>
        <item m="1" x="2526"/>
        <item m="1" x="626"/>
        <item m="1" x="1683"/>
        <item m="1" x="1812"/>
        <item m="1" x="1099"/>
        <item m="1" x="1763"/>
        <item m="1" x="2804"/>
        <item m="1" x="933"/>
        <item m="1" x="2598"/>
        <item m="1" x="908"/>
        <item m="1" x="862"/>
        <item m="1" x="941"/>
        <item m="1" x="823"/>
        <item m="1" x="783"/>
        <item m="1" x="2451"/>
        <item m="1" x="2884"/>
        <item m="1" x="1908"/>
        <item m="1" x="531"/>
        <item m="1" x="2231"/>
        <item m="1" x="454"/>
        <item m="1" x="829"/>
        <item m="1" x="2541"/>
        <item m="1" x="2893"/>
        <item m="1" x="1020"/>
        <item m="1" x="2664"/>
        <item m="1" x="3130"/>
        <item m="1" x="1204"/>
        <item m="1" x="2784"/>
        <item m="1" x="1196"/>
        <item m="1" x="2934"/>
        <item m="1" x="2763"/>
        <item m="1" x="1072"/>
        <item m="1" x="2749"/>
        <item m="1" x="1342"/>
        <item m="1" x="2949"/>
        <item m="1" x="1291"/>
        <item m="1" x="1247"/>
        <item m="1" x="925"/>
        <item m="1" x="1487"/>
        <item m="1" x="950"/>
        <item m="1" x="2614"/>
        <item m="1" x="895"/>
        <item m="1" x="2559"/>
        <item m="1" x="1115"/>
        <item m="1" x="2761"/>
        <item m="1" x="1070"/>
        <item m="1" x="2717"/>
        <item m="1" x="1029"/>
        <item m="1" x="2678"/>
        <item m="1" x="989"/>
        <item m="1" x="2640"/>
        <item m="1" x="943"/>
        <item m="1" x="2608"/>
        <item m="1" x="1162"/>
        <item m="1" x="3163"/>
        <item m="1" x="1523"/>
        <item m="1" x="3106"/>
        <item m="1" x="1459"/>
        <item m="1" x="3052"/>
        <item m="1" x="2157"/>
        <item m="1" x="2330"/>
        <item m="1" x="2726"/>
        <item m="1" x="907"/>
        <item m="1" x="2477"/>
        <item m="1" x="763"/>
        <item m="1" x="2430"/>
        <item m="1" x="706"/>
        <item m="1" x="2375"/>
        <item m="1" x="635"/>
        <item m="1" x="1398"/>
        <item m="1" x="2310"/>
        <item m="1" x="2841"/>
        <item m="1" x="582"/>
        <item m="1" x="1164"/>
        <item m="1" x="2797"/>
        <item m="1" x="2080"/>
        <item m="1" x="868"/>
        <item m="1" x="2572"/>
        <item m="1" x="1979"/>
        <item m="1" x="1103"/>
        <item m="1" x="2872"/>
        <item m="1" x="1545"/>
        <item m="1" x="861"/>
        <item m="1" x="205"/>
        <item m="1" x="1049"/>
        <item m="1" x="2731"/>
        <item m="1" x="2017"/>
        <item m="1" x="924"/>
        <item m="1" x="3000"/>
        <item m="1" x="1336"/>
        <item m="1" x="3155"/>
        <item m="1" x="697"/>
        <item m="1" x="2709"/>
        <item m="1" x="2747"/>
        <item m="1" x="1101"/>
        <item m="1" x="2368"/>
        <item m="1" x="958"/>
        <item m="1" x="2474"/>
        <item m="1" x="3212"/>
        <item m="1" x="2947"/>
        <item m="1" x="1637"/>
        <item m="1" x="2261"/>
        <item m="1" x="1576"/>
        <item m="1" x="2425"/>
        <item m="1" x="757"/>
        <item m="1" x="948"/>
        <item m="1" x="1789"/>
        <item m="1" x="2922"/>
        <item m="1" x="813"/>
        <item m="1" x="3099"/>
        <item m="1" x="1454"/>
        <item m="1" x="3045"/>
        <item m="1" x="1390"/>
        <item m="1" x="3039"/>
        <item m="1" x="369"/>
        <item m="1" x="2790"/>
        <item m="1" x="1516"/>
        <item m="1" x="62"/>
        <item m="1" x="2384"/>
        <item m="1" x="1493"/>
        <item m="1" x="1654"/>
        <item m="1" x="3302"/>
        <item m="1" x="2625"/>
        <item m="1" x="320"/>
        <item m="1" x="117"/>
        <item m="1" x="1155"/>
        <item m="1" x="1748"/>
        <item m="1" x="1216"/>
        <item m="1" x="2593"/>
        <item m="1" x="882"/>
        <item m="1" x="2619"/>
        <item m="1" x="799"/>
        <item m="1" x="187"/>
        <item m="1" x="1283"/>
        <item m="1" x="2732"/>
        <item m="1" x="778"/>
        <item m="1" x="3341"/>
        <item m="1" x="2404"/>
        <item m="1" x="987"/>
        <item m="1" x="792"/>
        <item m="1" x="734"/>
        <item m="1" x="2460"/>
        <item m="1" x="439"/>
        <item m="1" x="2719"/>
        <item m="1" x="1260"/>
        <item m="1" x="2995"/>
        <item m="1" x="1692"/>
        <item m="1" x="3259"/>
        <item m="1" x="1631"/>
        <item m="1" x="3204"/>
        <item m="1" x="1569"/>
        <item m="1" x="3147"/>
        <item m="1" x="1509"/>
        <item m="1" x="3093"/>
        <item m="1" x="1449"/>
        <item m="1" x="1464"/>
        <item m="1" x="3061"/>
        <item m="1" x="191"/>
        <item m="1" x="1716"/>
        <item m="1" x="1625"/>
        <item m="1" x="1059"/>
        <item m="1" x="2417"/>
        <item m="1" x="3140"/>
        <item m="1" x="1500"/>
        <item m="1" x="2469"/>
        <item m="1" x="808"/>
        <item m="1" x="1153"/>
        <item m="1" x="3088"/>
        <item m="1" x="1793"/>
        <item m="1" x="789"/>
        <item m="1" x="2082"/>
        <item m="1" x="1502"/>
        <item m="1" x="840"/>
        <item m="1" x="1553"/>
        <item m="1" x="3342"/>
        <item m="1" x="428"/>
        <item m="1" x="409"/>
        <item m="1" x="1210"/>
        <item m="1" x="3198"/>
        <item m="1" x="1562"/>
        <item m="1" x="1017"/>
        <item m="1" x="2705"/>
        <item m="1" x="678"/>
        <item m="1" x="905"/>
        <item m="1" x="856"/>
        <item m="1" x="1733"/>
        <item m="1" x="3369"/>
        <item m="1" x="595"/>
        <item m="1" x="1198"/>
        <item m="1" x="2830"/>
        <item m="1" x="2570"/>
        <item m="1" x="1723"/>
        <item m="1" x="371"/>
        <item m="1" x="2491"/>
        <item m="1" x="939"/>
        <item m="1" x="2693"/>
        <item m="1" x="997"/>
        <item m="1" x="801"/>
        <item m="1" x="659"/>
        <item m="1" x="973"/>
        <item m="1" x="2627"/>
        <item m="1" x="1681"/>
        <item m="1" x="1782"/>
        <item m="1" x="430"/>
        <item m="1" x="1039"/>
        <item m="1" x="1223"/>
        <item m="1" x="329"/>
        <item m="1" x="2771"/>
        <item m="1" x="3350"/>
        <item m="1" x="1742"/>
        <item m="1" x="793"/>
        <item m="1" x="1022"/>
        <item m="1" x="848"/>
        <item m="1" x="1355"/>
        <item m="1" x="3299"/>
        <item m="1" x="2653"/>
        <item m="1" x="2958"/>
        <item m="1" x="172"/>
        <item m="1" x="1693"/>
        <item m="1" x="381"/>
        <item m="1" x="1306"/>
        <item m="1" x="995"/>
        <item m="1" x="1112"/>
        <item m="1" x="2760"/>
        <item m="1" x="2644"/>
        <item m="1" x="772"/>
        <item m="1" x="2925"/>
        <item m="1" x="588"/>
        <item m="1" x="902"/>
        <item m="1" x="2520"/>
        <item m="1" x="850"/>
        <item m="1" x="2567"/>
        <item m="1" x="1031"/>
        <item m="1" x="802"/>
        <item m="1" x="2617"/>
        <item m="1" x="2681"/>
        <item m="1" x="773"/>
        <item m="1" x="3186"/>
        <item m="1" x="631"/>
        <item m="1" x="2725"/>
        <item m="1" x="1781"/>
        <item m="1" x="1143"/>
        <item m="1" x="1113"/>
        <item m="1" x="2606"/>
        <item m="1" x="2918"/>
        <item m="1" x="1386"/>
        <item m="1" x="1300"/>
        <item m="1" x="1265"/>
        <item m="1" x="116"/>
        <item m="1" x="755"/>
        <item m="1" x="2857"/>
        <item m="1" x="2418"/>
        <item m="1" x="749"/>
        <item m="1" x="3298"/>
        <item m="1" x="1675"/>
        <item m="1" x="3249"/>
        <item m="1" x="1619"/>
        <item m="1" x="3194"/>
        <item m="1" x="1558"/>
        <item m="1" x="3138"/>
        <item m="1" x="366"/>
        <item m="1" x="955"/>
        <item m="1" x="3058"/>
        <item m="1" x="1405"/>
        <item m="1" x="3005"/>
        <item m="1" x="1343"/>
        <item m="1" x="2950"/>
        <item m="1" x="1292"/>
        <item m="1" x="2912"/>
        <item m="1" x="1249"/>
        <item m="1" x="2874"/>
        <item m="1" x="1522"/>
        <item m="1" x="3105"/>
        <item m="1" x="1458"/>
        <item m="1" x="574"/>
        <item m="1" x="1397"/>
        <item m="1" x="949"/>
        <item m="1" x="113"/>
        <item m="1" x="946"/>
        <item m="1" x="927"/>
        <item m="1" x="993"/>
        <item m="1" x="2643"/>
        <item m="1" x="2786"/>
        <item m="1" x="1396"/>
        <item m="1" x="2997"/>
        <item m="1" x="1334"/>
        <item m="1" x="2944"/>
        <item m="1" x="894"/>
        <item m="1" x="2613"/>
        <item m="1" x="1287"/>
        <item m="1" x="2907"/>
        <item m="1" x="1245"/>
        <item m="1" x="2870"/>
        <item m="1" x="1195"/>
        <item m="1" x="169"/>
        <item m="1" x="2827"/>
        <item m="1" x="2999"/>
        <item m="1" x="2558"/>
        <item m="1" x="1452"/>
        <item m="1" x="1252"/>
        <item m="1" x="735"/>
        <item m="1" x="1736"/>
        <item m="1" x="854"/>
        <item m="1" x="1665"/>
        <item m="1" x="3081"/>
        <item m="1" x="1471"/>
        <item m="1" x="173"/>
        <item m="1" x="876"/>
        <item m="1" x="1055"/>
        <item m="1" x="2392"/>
        <item m="1" x="354"/>
        <item m="1" x="1842"/>
        <item m="1" x="1033"/>
        <item m="1" x="431"/>
        <item m="1" x="2091"/>
        <item m="1" x="488"/>
        <item m="1" x="2891"/>
        <item m="1" x="422"/>
        <item m="1" x="642"/>
        <item m="1" x="714"/>
        <item m="1" x="2846"/>
        <item m="1" x="1169"/>
        <item m="1" x="1217"/>
        <item m="1" x="860"/>
        <item m="1" x="915"/>
        <item m="1" x="2769"/>
        <item m="1" x="1272"/>
        <item m="1" x="3253"/>
        <item m="1" x="2946"/>
        <item m="1" x="171"/>
        <item m="1" x="2484"/>
        <item m="1" x="1237"/>
        <item m="1" x="1550"/>
        <item m="1" x="766"/>
        <item m="1" x="1613"/>
        <item m="1" x="1199"/>
        <item m="1" x="2873"/>
        <item m="1" x="1077"/>
        <item m="1" x="1902"/>
        <item m="1" x="3042"/>
        <item m="1" x="1388"/>
        <item m="1" x="2993"/>
        <item m="1" x="1331"/>
        <item m="1" x="1335"/>
        <item m="1" x="2708"/>
        <item m="1" x="3154"/>
        <item m="1" x="1575"/>
        <item m="1" x="2908"/>
        <item m="1" x="1288"/>
        <item m="1" x="2456"/>
        <item m="1" x="2929"/>
        <item m="1" x="1120"/>
        <item m="1" x="2444"/>
        <item m="1" x="594"/>
        <item m="1" x="2802"/>
        <item m="1" x="957"/>
        <item m="1" x="273"/>
        <item m="1" x="2877"/>
        <item m="1" x="310"/>
        <item m="1" x="2028"/>
        <item m="1" x="238"/>
        <item m="1" x="1967"/>
        <item m="1" x="603"/>
        <item m="1" x="2288"/>
        <item m="1" x="524"/>
        <item m="1" x="2226"/>
        <item m="1" x="447"/>
        <item m="1" x="2148"/>
        <item m="1" x="376"/>
        <item m="1" x="2087"/>
        <item m="1" x="307"/>
        <item m="1" x="2025"/>
        <item m="1" x="674"/>
        <item m="1" x="2342"/>
        <item m="1" x="598"/>
        <item m="1" x="2282"/>
        <item m="1" x="520"/>
        <item m="1" x="2220"/>
        <item m="1" x="443"/>
        <item m="1" x="2144"/>
        <item m="1" x="2085"/>
        <item m="1" x="2400"/>
        <item m="1" x="670"/>
        <item m="1" x="2338"/>
        <item m="1" x="1515"/>
        <item m="1" x="3098"/>
        <item m="1" x="1453"/>
        <item m="1" x="2280"/>
        <item m="1" x="518"/>
        <item m="1" x="2218"/>
        <item m="1" x="442"/>
        <item m="1" x="2142"/>
        <item m="1" x="223"/>
        <item m="1" x="2859"/>
        <item m="1" x="2923"/>
        <item m="1" x="1307"/>
        <item m="1" x="2964"/>
        <item m="1" x="1069"/>
        <item m="1" x="2509"/>
        <item m="1" x="2014"/>
        <item m="1" x="652"/>
        <item m="1" x="2945"/>
        <item m="1" x="1206"/>
        <item m="1" x="843"/>
        <item m="1" x="1841"/>
        <item m="1" x="161"/>
        <item m="1" x="1362"/>
        <item m="1" x="556"/>
        <item m="1" x="1302"/>
        <item m="1" x="3087"/>
        <item m="1" x="2722"/>
        <item m="1" x="2806"/>
        <item m="1" x="216"/>
        <item m="1" x="2735"/>
        <item m="1" x="1001"/>
        <item m="1" x="960"/>
        <item m="1" x="231"/>
        <item m="1" x="3317"/>
        <item m="1" x="1680"/>
        <item m="1" x="3252"/>
        <item m="1" x="1624"/>
        <item m="1" x="3197"/>
        <item m="1" x="1825"/>
        <item m="1" x="1382"/>
        <item m="1" x="2885"/>
        <item m="1" x="2764"/>
        <item m="1" x="1359"/>
        <item m="1" x="1261"/>
        <item m="1" x="2990"/>
        <item m="1" x="663"/>
        <item m="1" x="284"/>
        <item m="1" x="2208"/>
        <item m="1" x="3038"/>
        <item m="1" x="1448"/>
        <item m="1" x="3092"/>
        <item m="1" x="3248"/>
        <item m="1" x="2555"/>
        <item m="1" x="98"/>
        <item m="1" x="1887"/>
        <item m="1" x="1561"/>
        <item m="1" x="3139"/>
        <item m="1" x="1499"/>
        <item m="1" x="1445"/>
        <item m="1" x="3136"/>
        <item m="1" x="122"/>
        <item m="1" x="1920"/>
        <item m="1" x="1770"/>
        <item m="1" x="1118"/>
        <item m="1" x="3382"/>
        <item m="1" x="2011"/>
        <item m="1" x="2076"/>
        <item m="1" x="1207"/>
        <item m="1" x="220"/>
        <item m="1" x="3242"/>
        <item m="1" x="2986"/>
        <item m="1" x="1508"/>
        <item m="1" x="3044"/>
        <item m="1" x="1389"/>
        <item m="1" x="2994"/>
        <item m="1" x="1333"/>
        <item m="1" x="2942"/>
        <item m="1" x="1630"/>
        <item m="1" x="3203"/>
        <item m="1" x="1568"/>
        <item m="1" x="3146"/>
        <item m="1" x="2792"/>
        <item m="1" x="3060"/>
        <item m="1" x="3034"/>
        <item m="1" x="1310"/>
        <item m="1" x="2119"/>
        <item m="1" x="1165"/>
        <item m="1" x="869"/>
        <item m="1" x="870"/>
        <item m="1" x="1127"/>
        <item m="1" x="1128"/>
        <item m="1" x="1040"/>
        <item m="1" x="2188"/>
        <item m="1" x="405"/>
        <item m="1" x="1211"/>
        <item m="1" x="2842"/>
        <item m="1" x="2739"/>
        <item m="1" x="981"/>
        <item m="1" x="102"/>
        <item m="1" x="3026"/>
        <item m="1" x="1966"/>
        <item m="1" x="1598"/>
        <item m="1" x="2798"/>
        <item m="1" x="1739"/>
        <item m="1" x="3347"/>
        <item m="1" x="2756"/>
        <item m="1" x="338"/>
        <item m="1" x="3188"/>
        <item m="1" x="178"/>
        <item m="1" x="1676"/>
        <item m="1" x="279"/>
        <item m="1" x="1926"/>
        <item m="1" x="3149"/>
        <item m="1" x="909"/>
        <item m="1" x="115"/>
        <item m="1" x="513"/>
        <item m="1" x="1657"/>
        <item m="1" x="2062"/>
        <item m="1" x="1428"/>
        <item m="1" x="2650"/>
        <item m="1" x="170"/>
        <item m="1" x="166"/>
        <item m="1" x="2070"/>
        <item m="1" x="1853"/>
        <item m="1" x="1788"/>
        <item m="1" x="152"/>
        <item m="1" x="1946"/>
        <item m="1" x="212"/>
        <item m="1" x="2002"/>
        <item m="1" x="495"/>
        <item m="1" x="1876"/>
        <item m="1" x="2199"/>
        <item m="1" x="2495"/>
        <item m="1" x="250"/>
        <item m="1" x="2043"/>
        <item m="1" x="327"/>
        <item m="1" x="2109"/>
        <item m="1" x="397"/>
        <item m="1" x="2180"/>
        <item m="1" x="476"/>
        <item m="1" x="2252"/>
        <item m="1" x="552"/>
        <item m="1" x="1441"/>
        <item m="1" x="2489"/>
        <item m="1" x="937"/>
        <item m="1" x="2662"/>
        <item m="1" x="417"/>
        <item m="1" x="350"/>
        <item m="1" x="1548"/>
        <item m="1" x="3132"/>
        <item m="1" x="360"/>
        <item m="1" x="2134"/>
        <item m="1" x="424"/>
        <item m="1" x="1819"/>
        <item m="1" x="92"/>
        <item m="1" x="1881"/>
        <item m="1" x="1952"/>
        <item m="1" x="157"/>
        <item m="1" x="196"/>
        <item m="1" x="1983"/>
        <item m="1" x="2051"/>
        <item m="1" x="926"/>
        <item m="1" x="2129"/>
        <item m="1" x="1976"/>
        <item m="1" x="2815"/>
        <item m="1" x="1901"/>
        <item m="1" x="1175"/>
        <item m="1" x="257"/>
        <item m="1" x="3016"/>
        <item m="1" x="2772"/>
        <item m="1" x="2795"/>
        <item m="1" x="1132"/>
        <item m="1" x="2909"/>
        <item m="1" x="270"/>
        <item m="1" x="2356"/>
        <item m="1" x="436"/>
        <item m="1" x="1407"/>
        <item m="1" x="888"/>
        <item m="1" x="628"/>
        <item m="1" x="1937"/>
        <item m="1" x="204"/>
        <item m="1" x="367"/>
        <item m="1" x="1082"/>
        <item m="1" x="1172"/>
        <item m="1" x="2534"/>
        <item m="1" x="1222"/>
        <item m="1" x="2146"/>
        <item m="1" x="563"/>
        <item m="1" x="2304"/>
        <item m="1" x="3283"/>
        <item m="1" x="543"/>
        <item m="1" x="1383"/>
        <item m="1" x="3084"/>
        <item m="1" x="581"/>
        <item m="1" x="467"/>
        <item m="1" x="2364"/>
        <item m="1" x="3305"/>
        <item m="1" x="2658"/>
        <item m="1" x="2584"/>
        <item m="1" x="566"/>
        <item m="1" x="1419"/>
        <item m="1" x="2470"/>
        <item m="1" x="2727"/>
        <item m="1" x="3230"/>
        <item m="1" x="163"/>
        <item m="1" x="502"/>
        <item m="1" x="3290"/>
        <item m="1" x="3240"/>
        <item m="1" x="258"/>
        <item m="1" x="1776"/>
        <item m="1" x="339"/>
        <item m="1" x="2052"/>
        <item m="1" x="3332"/>
        <item m="1" x="1984"/>
        <item m="1" x="639"/>
        <item m="1" x="1701"/>
        <item m="1" x="3134"/>
        <item m="1" x="1994"/>
        <item m="1" x="406"/>
        <item m="1" x="2120"/>
        <item m="1" x="2189"/>
        <item m="1" x="485"/>
        <item m="1" x="2260"/>
        <item m="1" x="1718"/>
        <item m="1" x="935"/>
        <item m="1" x="1186"/>
        <item m="1" x="692"/>
        <item m="1" x="2101"/>
        <item m="1" x="2066"/>
        <item m="1" x="388"/>
        <item m="1" x="105"/>
        <item m="1" x="2836"/>
        <item m="1" x="2242"/>
        <item m="1" x="179"/>
        <item m="1" x="1971"/>
        <item m="1" x="368"/>
        <item m="1" x="1964"/>
        <item m="1" x="618"/>
        <item m="1" x="2007"/>
        <item m="1" x="322"/>
        <item m="1" x="2038"/>
        <item m="1" x="245"/>
        <item m="1" x="1913"/>
        <item m="1" x="1653"/>
        <item m="1" x="3109"/>
        <item m="1" x="1356"/>
        <item m="1" x="2810"/>
        <item m="1" x="785"/>
        <item m="1" x="1889"/>
        <item m="1" x="101"/>
        <item m="1" x="1829"/>
        <item m="1" x="3385"/>
        <item m="1" x="1774"/>
        <item m="1" x="3330"/>
        <item m="1" x="1713"/>
        <item m="1" x="3279"/>
        <item m="1" x="1650"/>
        <item m="1" x="222"/>
        <item m="1" x="1955"/>
        <item m="1" x="160"/>
        <item m="1" x="1886"/>
        <item m="1" x="97"/>
        <item m="1" x="1824"/>
        <item m="1" x="3381"/>
        <item m="1" x="1769"/>
        <item m="1" x="3324"/>
        <item m="1" x="1707"/>
        <item m="1" x="283"/>
        <item m="1" x="2010"/>
        <item m="1" x="2941"/>
        <item m="1" x="1284"/>
        <item m="1" x="2905"/>
        <item m="1" x="1242"/>
        <item m="1" x="2867"/>
        <item m="1" x="1130"/>
        <item m="1" x="2688"/>
        <item m="1" x="998"/>
        <item m="1" x="2646"/>
        <item m="1" x="2094"/>
        <item m="1" x="380"/>
        <item m="1" x="2160"/>
        <item m="1" x="457"/>
        <item m="1" x="2235"/>
        <item m="1" x="535"/>
        <item m="1" x="2297"/>
        <item m="1" x="900"/>
        <item m="1" x="1728"/>
        <item m="1" x="1219"/>
        <item m="1" x="3175"/>
        <item m="1" x="3228"/>
        <item m="1" x="1597"/>
        <item m="1" x="3224"/>
        <item m="1" x="1538"/>
        <item m="1" x="3384"/>
        <item m="1" x="100"/>
        <item m="1" x="1773"/>
        <item m="1" x="3329"/>
        <item m="1" x="1712"/>
        <item m="1" x="1828"/>
        <item m="1" x="1649"/>
        <item m="1" x="1591"/>
        <item m="1" x="1885"/>
        <item m="1" x="159"/>
        <item m="1" x="96"/>
        <item m="1" x="1768"/>
        <item m="1" x="3380"/>
        <item m="1" x="872"/>
        <item m="1" x="2602"/>
        <item m="1" x="318"/>
        <item m="1" x="2847"/>
        <item m="1" x="2035"/>
        <item m="1" x="2172"/>
        <item m="1" x="1140"/>
        <item m="1" x="1412"/>
        <item m="1" x="962"/>
        <item m="1" x="1668"/>
        <item m="1" x="3291"/>
        <item m="1" x="606"/>
        <item m="1" x="2822"/>
        <item m="1" x="1296"/>
        <item m="1" x="506"/>
        <item m="1" x="824"/>
        <item m="1" x="1160"/>
        <item m="1" x="2805"/>
        <item m="1" x="58"/>
        <item m="1" x="3076"/>
        <item m="1" x="3238"/>
        <item m="1" x="2878"/>
        <item m="1" x="2915"/>
        <item m="1" x="1785"/>
        <item m="1" x="383"/>
        <item m="1" x="3340"/>
        <item m="1" x="1708"/>
        <item m="1" x="1533"/>
        <item m="1" x="875"/>
        <item m="1" x="1174"/>
        <item m="1" x="1726"/>
        <item m="1" x="1834"/>
        <item m="1" x="1121"/>
        <item m="1" x="3094"/>
        <item m="1" x="3323"/>
        <item m="1" x="1605"/>
        <item m="1" x="3246"/>
        <item m="1" x="745"/>
        <item m="1" x="2414"/>
        <item m="1" x="684"/>
        <item m="1" x="2353"/>
        <item m="1" x="219"/>
        <item m="1" x="1900"/>
        <item m="1" x="2291"/>
        <item m="1" x="1427"/>
        <item m="1" x="569"/>
        <item m="1" x="2264"/>
        <item m="1" x="491"/>
        <item m="1" x="1951"/>
        <item m="1" x="290"/>
        <item m="1" x="90"/>
        <item m="1" x="1301"/>
        <item m="1" x="2959"/>
        <item m="1" x="2837"/>
        <item m="1" x="2323"/>
        <item m="1" x="1256"/>
        <item m="1" x="1817"/>
        <item m="1" x="2904"/>
        <item m="1" x="449"/>
        <item m="1" x="527"/>
        <item m="1" x="2229"/>
        <item m="1" x="1938"/>
        <item m="1" x="2195"/>
        <item m="1" x="3345"/>
        <item m="1" x="3080"/>
        <item m="1" x="2103"/>
        <item m="1" x="2150"/>
        <item m="1" x="3336"/>
        <item m="1" x="1880"/>
        <item m="1" x="2919"/>
        <item m="1" x="156"/>
        <item m="1" x="1034"/>
        <item m="1" x="2684"/>
        <item m="1" x="2620"/>
        <item m="1" x="959"/>
        <item m="1" x="2125"/>
        <item m="1" x="343"/>
        <item m="1" x="2056"/>
        <item m="1" x="712"/>
        <item m="1" x="3368"/>
        <item m="1" x="2381"/>
        <item m="1" x="645"/>
        <item m="1" x="2317"/>
        <item m="1" x="3273"/>
        <item m="1" x="1706"/>
        <item m="1" x="2881"/>
        <item m="1" x="218"/>
        <item m="1" x="1645"/>
        <item m="1" x="413"/>
        <item m="1" x="1079"/>
        <item m="1" x="3337"/>
        <item m="1" x="1187"/>
        <item m="1" x="559"/>
        <item m="1" x="2257"/>
        <item m="1" x="3065"/>
        <item m="1" x="1469"/>
        <item m="1" x="1349"/>
        <item m="1" x="3010"/>
        <item m="1" x="1413"/>
        <item m="1" x="3373"/>
        <item m="1" x="2271"/>
        <item x="20"/>
        <item m="1" x="1761"/>
        <item m="1" x="1700"/>
        <item m="1" x="727"/>
        <item m="1" x="108"/>
        <item m="1" x="1218"/>
        <item m="1" x="938"/>
        <item m="1" x="1426"/>
        <item m="1" x="2031"/>
        <item m="1" x="1714"/>
        <item m="1" x="237"/>
        <item m="1" x="2097"/>
        <item m="1" x="315"/>
        <item m="1" x="1945"/>
        <item m="1" x="2980"/>
        <item m="1" x="636"/>
        <item m="1" x="1737"/>
        <item m="1" x="2309"/>
        <item m="1" x="634"/>
        <item m="1" x="2374"/>
        <item m="1" x="705"/>
        <item m="1" x="2429"/>
        <item m="1" x="762"/>
        <item m="1" x="2115"/>
        <item m="1" x="481"/>
        <item m="1" x="2185"/>
        <item m="1" x="401"/>
        <item m="1" x="1202"/>
        <item m="1" x="2954"/>
        <item m="1" x="211"/>
        <item m="1" x="2983"/>
        <item m="1" x="878"/>
        <item m="1" x="2654"/>
        <item m="1" x="1660"/>
        <item m="1" x="1367"/>
        <item m="1" x="567"/>
        <item m="1" x="2724"/>
        <item m="1" x="1036"/>
        <item m="1" x="2686"/>
        <item m="1" x="812"/>
        <item m="1" x="2176"/>
        <item m="1" x="471"/>
        <item m="1" x="1874"/>
        <item m="1" x="996"/>
        <item m="1" x="2546"/>
        <item m="1" x="70"/>
        <item m="1" x="3205"/>
        <item m="1" x="2515"/>
        <item m="1" x="84"/>
        <item m="1" x="2551"/>
        <item m="1" x="150"/>
        <item m="1" x="2248"/>
        <item m="1" x="277"/>
        <item m="1" x="370"/>
        <item m="1" x="3390"/>
        <item m="1" x="54"/>
        <item m="1" x="2032"/>
        <item m="1" x="984"/>
        <item m="1" x="2302"/>
        <item m="1" x="625"/>
        <item m="1" x="855"/>
        <item m="1" x="1437"/>
        <item m="1" x="2825"/>
        <item m="1" x="509"/>
        <item m="1" x="2326"/>
        <item m="1" x="1729"/>
        <item m="1" x="1611"/>
        <item m="1" x="1658"/>
        <item m="1" x="1969"/>
        <item m="1" x="1846"/>
        <item m="1" x="538"/>
        <item m="1" x="2238"/>
        <item m="1" x="1131"/>
        <item m="1" x="1148"/>
        <item m="1" x="1780"/>
        <item m="1" x="1532"/>
        <item m="1" x="2879"/>
        <item m="1" x="2916"/>
        <item m="1" x="1297"/>
        <item m="1" x="3114"/>
        <item m="1" x="1810"/>
        <item m="1" x="2523"/>
        <item m="1" x="550"/>
        <item m="1" x="1727"/>
        <item m="1" x="3367"/>
        <item m="1" x="807"/>
        <item m="1" x="2279"/>
        <item m="1" x="1838"/>
        <item m="1" x="1028"/>
        <item m="1" x="1289"/>
        <item m="1" x="2294"/>
        <item m="1" x="612"/>
        <item m="1" x="2359"/>
        <item m="1" x="688"/>
        <item m="1" x="748"/>
        <item m="1" x="2468"/>
        <item m="1" x="901"/>
        <item m="1" x="1756"/>
        <item m="1" x="348"/>
        <item m="1" x="2716"/>
        <item m="1" x="2467"/>
        <item m="1" x="747"/>
        <item m="1" x="2416"/>
        <item m="1" x="687"/>
        <item m="1" x="2358"/>
        <item m="1" x="611"/>
        <item m="1" x="2293"/>
        <item m="1" x="529"/>
        <item m="1" x="2230"/>
        <item m="1" x="849"/>
        <item m="1" x="2518"/>
        <item m="1" x="800"/>
        <item m="1" x="2463"/>
        <item m="1" x="3171"/>
        <item m="1" x="742"/>
        <item m="1" x="2412"/>
        <item m="1" x="2192"/>
        <item m="1" x="2348"/>
        <item m="1" x="1907"/>
        <item m="1" x="121"/>
        <item m="1" x="680"/>
        <item m="1" x="2600"/>
        <item m="1" x="1961"/>
        <item m="1" x="176"/>
        <item m="1" x="1254"/>
        <item m="1" x="2214"/>
        <item m="1" x="2287"/>
        <item m="1" x="602"/>
        <item m="1" x="2691"/>
        <item m="1" x="1016"/>
        <item m="1" x="109"/>
        <item m="1" x="503"/>
        <item m="1" x="883"/>
        <item m="1" x="1837"/>
        <item m="1" x="1086"/>
        <item m="1" x="1401"/>
        <item m="1" x="923"/>
        <item m="1" x="956"/>
        <item m="1" x="1490"/>
        <item m="1" x="1577"/>
        <item m="1" x="816"/>
        <item m="1" x="3059"/>
        <item m="1" x="3006"/>
        <item m="1" x="1406"/>
        <item m="1" x="1344"/>
        <item m="1" x="2677"/>
        <item m="1" x="3388"/>
        <item m="1" x="980"/>
        <item m="1" x="2440"/>
        <item m="1" x="1262"/>
        <item m="1" x="2531"/>
        <item m="1" x="1779"/>
        <item m="1" x="893"/>
        <item m="1" x="2989"/>
        <item m="1" x="2996"/>
        <item m="1" x="1997"/>
        <item m="1" x="844"/>
        <item m="1" x="2635"/>
        <item m="1" x="3029"/>
        <item m="1" x="3335"/>
        <item m="1" x="2557"/>
        <item m="1" x="842"/>
        <item m="1" x="2508"/>
        <item m="1" x="791"/>
        <item m="1" x="903"/>
        <item m="1" x="2618"/>
        <item m="1" x="2568"/>
        <item x="28"/>
        <item m="1" x="1253"/>
        <item m="1" x="1110"/>
        <item m="1" x="378"/>
        <item m="1" x="1052"/>
        <item m="1" x="515"/>
        <item m="1" x="2834"/>
        <item m="1" x="2105"/>
        <item m="1" x="3047"/>
        <item m="1" x="2758"/>
        <item m="1" x="1432"/>
        <item m="1" x="106"/>
        <item m="1" x="1066"/>
        <item m="1" x="2599"/>
        <item m="1" x="1105"/>
        <item m="1" x="2480"/>
        <item m="1" x="828"/>
        <item m="1" x="1638"/>
        <item m="1" x="2637"/>
        <item m="1" x="782"/>
        <item m="1" x="729"/>
        <item m="1" x="2754"/>
        <item m="1" x="3083"/>
        <item m="1" x="2340"/>
        <item m="1" x="2710"/>
        <item m="1" x="2951"/>
        <item m="1" x="1293"/>
        <item m="1" x="2163"/>
        <item m="1" x="2913"/>
        <item m="1" x="1021"/>
        <item m="1" x="1546"/>
        <item m="1" x="667"/>
        <item m="1" x="2403"/>
        <item m="1" x="733"/>
        <item m="1" x="2459"/>
        <item m="1" x="142"/>
        <item m="1" x="482"/>
        <item m="1" x="2793"/>
        <item m="1" x="2667"/>
        <item m="1" x="672"/>
        <item m="1" x="3244"/>
        <item m="1" x="2700"/>
        <item m="1" x="1108"/>
        <item m="1" x="1584"/>
        <item m="1" x="1063"/>
        <item m="1" x="983"/>
        <item m="1" x="2674"/>
        <item m="1" x="934"/>
        <item m="1" x="1023"/>
        <item m="1" x="835"/>
        <item m="1" x="2500"/>
        <item m="1" x="2711"/>
        <item m="1" x="1158"/>
        <item m="1" x="2399"/>
        <item m="1" x="2445"/>
        <item m="1" x="2079"/>
        <item m="1" x="2278"/>
        <item m="1" x="2450"/>
        <item m="1" x="2550"/>
        <item m="1" x="887"/>
        <item m="1" x="2605"/>
        <item m="1" x="2845"/>
        <item m="1" x="2529"/>
        <item m="1" x="873"/>
        <item m="1" x="940"/>
        <item m="1" x="1661"/>
        <item m="1" x="1719"/>
        <item m="1" x="2639"/>
        <item m="1" x="2552"/>
        <item m="1" x="453"/>
        <item m="1" x="309"/>
        <item m="1" x="2156"/>
        <item m="1" x="2090"/>
        <item m="1" x="1897"/>
        <item m="1" x="2027"/>
        <item m="1" x="3361"/>
        <item m="1" x="2712"/>
        <item m="1" x="2274"/>
        <item m="1" x="1485"/>
        <item m="1" x="2020"/>
        <item m="1" x="1058"/>
        <item m="1" x="942"/>
        <item m="1" x="2607"/>
        <item m="1" x="889"/>
        <item m="1" x="988"/>
        <item m="1" x="1156"/>
        <item m="1" x="3107"/>
        <item m="1" x="654"/>
        <item m="1" x="1150"/>
        <item m="1" x="107"/>
        <item m="1" x="681"/>
        <item m="1" x="2493"/>
        <item m="1" x="833"/>
        <item m="1" x="2544"/>
        <item m="1" x="881"/>
        <item m="1" x="2597"/>
        <item m="1" x="932"/>
        <item m="1" x="2636"/>
        <item m="1" x="982"/>
        <item m="1" x="780"/>
        <item m="1" x="2632"/>
        <item m="1" x="2670"/>
        <item m="1" x="977"/>
        <item m="1" x="2729"/>
        <item m="1" x="2372"/>
        <item m="1" x="1944"/>
        <item m="1" x="1483"/>
        <item m="1" x="433"/>
        <item m="1" x="2074"/>
        <item m="1" x="794"/>
        <item m="1" x="149"/>
        <item m="1" x="2706"/>
        <item m="1" x="2791"/>
        <item m="1" x="1060"/>
        <item m="1" x="2748"/>
        <item m="1" x="1102"/>
        <item m="1" x="1246"/>
        <item m="1" x="2013"/>
        <item m="1" x="86"/>
        <item m="1" x="1813"/>
        <item m="1" x="1734"/>
        <item m="1" x="3375"/>
        <item m="1" x="1201"/>
        <item m="1" x="281"/>
        <item m="1" x="2005"/>
        <item m="1" x="262"/>
        <item m="1" x="1877"/>
        <item m="1" x="154"/>
        <item m="1" x="1948"/>
        <item m="1" x="215"/>
        <item m="1" x="1092"/>
        <item m="1" x="1463"/>
        <item m="1" x="1656"/>
        <item m="1" x="2006"/>
        <item m="1" x="2659"/>
        <item m="1" x="1612"/>
        <item m="1" x="979"/>
        <item m="1" x="2556"/>
        <item m="1" x="2882"/>
        <item m="1" x="947"/>
        <item m="1" x="1123"/>
        <item m="1" x="2767"/>
        <item m="1" x="1075"/>
        <item m="1" x="2720"/>
        <item m="1" x="1032"/>
        <item m="1" x="2682"/>
        <item m="1" x="994"/>
        <item m="1" x="951"/>
        <item m="1" x="2615"/>
        <item m="1" x="1168"/>
        <item m="1" x="2801"/>
        <item m="1" x="1116"/>
        <item m="1" x="2762"/>
        <item m="1" x="1071"/>
        <item m="1" x="2718"/>
        <item m="1" x="1030"/>
        <item m="1" x="2679"/>
        <item m="1" x="990"/>
        <item m="1" x="2641"/>
        <item m="1" x="1209"/>
        <item m="1" x="2840"/>
        <item m="1" x="1163"/>
        <item m="1" x="722"/>
        <item m="1" x="2796"/>
        <item m="1" x="3292"/>
        <item m="1" x="1266"/>
        <item m="1" x="1014"/>
        <item m="1" x="771"/>
        <item m="1" x="297"/>
        <item m="1" x="2634"/>
        <item m="1" x="2096"/>
        <item m="1" x="3085"/>
        <item m="1" x="314"/>
        <item m="1" x="2655"/>
        <item m="1" x="2829"/>
        <item m="1" x="1197"/>
        <item m="1" x="2871"/>
        <item m="1" x="1152"/>
        <item m="1" x="966"/>
        <item m="1" x="1190"/>
        <item m="1" x="2785"/>
        <item m="1" x="3009"/>
        <item m="1" x="355"/>
        <item m="1" x="1896"/>
        <item m="1" x="1224"/>
        <item m="1" x="1371"/>
        <item m="1" x="1096"/>
        <item m="1" x="2612"/>
        <item m="1" x="1564"/>
        <item m="1" x="2744"/>
        <item m="1" x="1239"/>
        <item m="1" x="1134"/>
        <item m="1" x="2832"/>
        <item m="1" x="3232"/>
        <item m="1" x="3178"/>
        <item m="1" x="206"/>
        <item m="1" x="1601"/>
        <item m="1" x="1959"/>
        <item m="1" x="1939"/>
        <item m="1" x="144"/>
        <item m="1" x="2704"/>
        <item m="1" x="1965"/>
        <item m="1" x="1909"/>
        <item m="1" x="1865"/>
        <item m="1" x="2166"/>
        <item m="1" x="578"/>
        <item m="1" x="1835"/>
        <item m="1" x="1111"/>
        <item m="1" x="2671"/>
        <item m="1" x="91"/>
        <item m="1" x="1818"/>
        <item m="1" x="3374"/>
        <item m="1" x="1762"/>
        <item m="1" x="359"/>
        <item m="1" x="2069"/>
        <item m="1" x="278"/>
        <item m="1" x="1868"/>
        <item m="1" x="151"/>
        <item m="1" x="1875"/>
        <item m="1" x="85"/>
        <item m="1" x="1811"/>
        <item m="1" x="416"/>
        <item m="1" x="2128"/>
        <item m="1" x="349"/>
        <item m="1" x="2061"/>
        <item m="1" x="269"/>
        <item m="1" x="1993"/>
        <item m="1" x="489"/>
        <item m="1" x="826"/>
        <item m="1" x="920"/>
        <item m="1" x="1192"/>
        <item m="1" x="1541"/>
        <item m="1" x="1281"/>
        <item m="1" x="255"/>
        <item m="1" x="411"/>
        <item m="1" x="2768"/>
        <item m="1" x="2193"/>
        <item m="1" x="203"/>
        <item m="1" x="1399"/>
        <item m="1" x="1376"/>
        <item m="1" x="3048"/>
        <item m="1" x="1392"/>
        <item m="1" x="341"/>
        <item m="1" x="83"/>
        <item m="1" x="1873"/>
        <item m="1" x="2054"/>
        <item m="1" x="2622"/>
        <item m="1" x="1057"/>
        <item m="1" x="1494"/>
        <item m="1" x="2752"/>
        <item m="1" x="2992"/>
        <item m="1" x="1330"/>
        <item m="1" x="1827"/>
        <item m="1" x="2751"/>
        <item m="1" x="3036"/>
        <item m="1" x="953"/>
        <item m="1" x="2389"/>
        <item m="1" x="853"/>
        <item m="1" x="3078"/>
        <item m="1" x="1662"/>
        <item m="1" x="1843"/>
        <item m="1" x="1061"/>
        <item m="1" x="2422"/>
        <item m="1" x="753"/>
        <item m="1" x="2473"/>
        <item m="1" x="2524"/>
        <item m="1" x="694"/>
        <item m="1" x="811"/>
        <item m="1" x="963"/>
        <item m="1" x="2366"/>
        <item m="1" x="904"/>
        <item m="1" x="621"/>
        <item m="1" x="2300"/>
        <item m="1" x="2611"/>
        <item m="1" x="2569"/>
        <item m="1" x="1051"/>
        <item m="1" x="2765"/>
        <item m="1" x="2246"/>
        <item m="1" x="548"/>
        <item m="1" x="2307"/>
        <item m="1" x="632"/>
        <item m="1" x="1978"/>
        <item m="1" x="252"/>
        <item m="1" x="2044"/>
        <item m="1" x="331"/>
        <item m="1" x="2113"/>
        <item m="1" x="399"/>
        <item m="1" x="2183"/>
        <item m="1" x="2255"/>
        <item m="1" x="479"/>
        <item m="1" x="557"/>
        <item m="1" x="1928"/>
        <item m="1" x="197"/>
        <item m="1" x="1986"/>
        <item m="1" x="259"/>
        <item m="1" x="2123"/>
        <item m="1" x="469"/>
        <item m="1" x="2174"/>
        <item m="1" x="3386"/>
        <item m="1" x="3325"/>
        <item m="1" x="2759"/>
        <item m="1" x="1067"/>
        <item m="1" x="2713"/>
        <item m="1" x="1024"/>
        <item m="1" x="2675"/>
        <item m="1" x="1255"/>
        <item m="1" x="769"/>
        <item m="1" x="2988"/>
        <item m="1" x="1345"/>
        <item m="1" x="1320"/>
        <item m="1" x="1552"/>
        <item m="1" x="1659"/>
        <item m="1" x="390"/>
        <item m="1" x="1119"/>
        <item m="1" x="1936"/>
        <item m="1" x="3012"/>
        <item m="1" x="292"/>
        <item m="1" x="2960"/>
        <item m="1" x="2522"/>
        <item m="1" x="2334"/>
        <item m="1" x="665"/>
        <item m="1" x="1384"/>
        <item m="1" x="1475"/>
        <item m="1" x="104"/>
        <item m="1" x="3137"/>
        <item m="1" x="1495"/>
        <item m="1" x="3122"/>
        <item m="1" x="695"/>
        <item m="1" x="3360"/>
        <item m="1" x="2536"/>
        <item m="1" x="1833"/>
        <item m="1" x="3255"/>
        <item m="1" x="1626"/>
        <item m="1" x="1227"/>
        <item m="1" x="1891"/>
        <item m="1" x="2275"/>
        <item m="1" x="738"/>
        <item m="1" x="2868"/>
        <item m="1" x="1890"/>
        <item m="1" x="2668"/>
        <item m="1" x="2514"/>
        <item m="1" x="2967"/>
        <item m="1" x="501"/>
        <item m="1" x="2940"/>
        <item m="1" x="78"/>
        <item m="1" x="1905"/>
        <item m="1" x="952"/>
        <item m="1" x="2355"/>
        <item m="1" x="898"/>
        <item m="1" x="2616"/>
        <item m="1" x="2563"/>
        <item m="1" x="847"/>
        <item m="1" x="798"/>
        <item m="1" x="2462"/>
        <item m="1" x="577"/>
        <item m="1" x="2327"/>
        <item m="1" x="1327"/>
        <item m="1" x="1498"/>
        <item m="1" x="1378"/>
        <item m="1" x="1431"/>
        <item m="1" x="3229"/>
        <item m="1" x="2131"/>
        <item m="1" x="352"/>
        <item m="1" x="945"/>
        <item m="1" x="419"/>
        <item m="1" x="892"/>
        <item m="1" x="1375"/>
        <item m="1" x="497"/>
        <item m="1" x="572"/>
        <item m="1" x="2268"/>
        <item m="1" x="865"/>
        <item m="1" x="991"/>
        <item m="1" x="2642"/>
        <item m="1" x="2201"/>
        <item m="1" x="2610"/>
        <item m="1" x="593"/>
        <item m="1" x="517"/>
        <item m="1" x="2205"/>
        <item m="1" x="426"/>
        <item m="1" x="2136"/>
        <item m="1" x="362"/>
        <item m="1" x="2072"/>
        <item m="1" x="280"/>
        <item m="1" x="2004"/>
        <item m="1" x="657"/>
        <item m="1" x="651"/>
        <item m="1" x="715"/>
        <item m="1" x="2385"/>
        <item m="1" x="1091"/>
        <item m="1" x="1098"/>
        <item m="1" x="968"/>
        <item m="1" x="1230"/>
        <item m="1" x="1544"/>
        <item m="1" x="2064"/>
        <item m="1" x="2652"/>
        <item m="1" x="2887"/>
        <item m="1" x="1241"/>
        <item m="1" x="565"/>
        <item m="1" x="2273"/>
        <item m="1" x="2437"/>
        <item m="1" x="229"/>
        <item m="1" x="2851"/>
        <item m="1" x="2262"/>
        <item m="1" x="487"/>
        <item m="1" x="1154"/>
        <item m="1" x="787"/>
        <item m="1" x="2503"/>
        <item m="1" x="720"/>
        <item m="1" x="1391"/>
        <item m="1" x="2680"/>
        <item m="1" x="2676"/>
        <item m="1" x="1274"/>
        <item m="1" x="822"/>
        <item m="1" x="1107"/>
        <item m="1" x="838"/>
        <item m="1" x="2191"/>
        <item m="1" x="408"/>
        <item m="1" x="3338"/>
        <item m="1" x="2325"/>
        <item m="1" x="2225"/>
        <item m="1" x="2122"/>
        <item m="1" x="765"/>
        <item m="1" x="2432"/>
        <item m="1" x="710"/>
        <item m="1" x="2380"/>
        <item m="1" x="641"/>
        <item m="1" x="2315"/>
        <item m="1" x="555"/>
        <item m="1" x="2254"/>
        <item m="1" x="478"/>
        <item m="1" x="2182"/>
        <item m="1" x="815"/>
        <item m="1" x="2475"/>
        <item m="1" x="760"/>
        <item m="1" x="2428"/>
        <item m="1" x="702"/>
        <item m="1" x="985"/>
        <item m="1" x="3071"/>
        <item m="1" x="2454"/>
        <item m="1" x="1026"/>
        <item m="1" x="874"/>
        <item m="1" x="1019"/>
        <item m="1" x="1960"/>
        <item m="1" x="141"/>
        <item m="1" x="1570"/>
        <item m="1" x="3207"/>
        <item m="1" x="1632"/>
        <item m="1" x="2647"/>
        <item m="1" x="1360"/>
        <item m="1" x="922"/>
        <item m="1" x="2876"/>
        <item m="1" x="2481"/>
        <item m="1" x="936"/>
        <item m="1" x="1809"/>
        <item m="1" x="1755"/>
        <item m="1" x="2206"/>
        <item m="1" x="2483"/>
        <item m="1" x="590"/>
        <item m="1" x="427"/>
        <item m="1" x="614"/>
        <item m="1" x="2601"/>
        <item m="1" x="1694"/>
        <item m="1" x="1100"/>
        <item m="1" x="2545"/>
        <item m="1" x="1893"/>
        <item m="1" x="2371"/>
        <item m="1" x="630"/>
        <item m="1" x="2306"/>
        <item m="1" x="545"/>
        <item m="1" x="2244"/>
        <item m="1" x="859"/>
        <item m="1" x="1884"/>
        <item m="1" x="94"/>
        <item m="1" x="1821"/>
        <item m="1" x="3378"/>
        <item m="1" x="1766"/>
        <item m="1" x="3320"/>
        <item m="1" x="1703"/>
        <item m="1" x="3269"/>
        <item m="1" x="1641"/>
        <item m="1" x="884"/>
        <item m="1" x="217"/>
        <item m="1" x="719"/>
        <item m="1" x="1313"/>
        <item m="1" x="834"/>
        <item m="1" x="1949"/>
        <item m="1" x="1418"/>
        <item m="1" x="3331"/>
        <item m="1" x="1717"/>
        <item m="1" x="1385"/>
        <item m="1" x="294"/>
        <item m="1" x="1444"/>
        <item m="1" x="3033"/>
        <item m="1" x="323"/>
        <item m="1" x="2651"/>
        <item m="1" x="1084"/>
        <item m="1" x="3035"/>
        <item m="1" x="296"/>
        <item m="1" x="1157"/>
        <item m="1" x="1319"/>
        <item m="1" x="1852"/>
        <item m="1" x="718"/>
        <item m="1" x="2588"/>
        <item m="1" x="561"/>
        <item m="1" x="1879"/>
        <item m="1" x="2016"/>
        <item m="1" x="3077"/>
        <item m="1" x="3282"/>
        <item m="1" x="1278"/>
        <item m="1" x="308"/>
        <item m="1" x="1664"/>
        <item m="1" x="2147"/>
        <item m="1" x="2628"/>
        <item m="1" x="2388"/>
        <item m="1" x="446"/>
        <item m="1" x="227"/>
        <item m="1" x="1316"/>
        <item m="1" x="2065"/>
        <item m="1" x="356"/>
        <item m="1" x="2132"/>
        <item m="1" x="421"/>
        <item m="1" x="857"/>
        <item m="1" x="2496"/>
        <item m="1" x="363"/>
        <item m="1" x="2203"/>
        <item m="1" x="1104"/>
        <item m="1" x="2026"/>
        <item m="1" x="1610"/>
        <item m="1" x="2436"/>
        <item m="1" x="1958"/>
        <item m="1" x="1996"/>
        <item m="1" x="1691"/>
        <item m="1" x="272"/>
        <item m="1" x="1720"/>
        <item m="1" x="2333"/>
        <item m="1" x="207"/>
        <item m="1" x="2498"/>
        <item m="1" x="3037"/>
        <item m="1" x="1380"/>
        <item m="1" x="423"/>
        <item m="1" x="2596"/>
        <item m="1" x="1831"/>
        <item m="1" x="165"/>
        <item m="1" x="3086"/>
        <item m="1" x="69"/>
        <item m="1" x="1443"/>
        <item m="1" x="3314"/>
        <item m="1" x="1697"/>
        <item m="1" x="274"/>
        <item m="1" x="3017"/>
        <item m="1" x="2701"/>
        <item m="1" x="2978"/>
        <item m="1" x="2075"/>
        <item m="1" x="2707"/>
        <item m="1" x="3285"/>
        <item m="1" x="2390"/>
        <item m="1" x="1942"/>
        <item m="1" x="2894"/>
        <item m="1" x="3030"/>
        <item m="1" x="2831"/>
        <item m="1" x="228"/>
        <item m="1" x="728"/>
        <item m="1" x="2137"/>
        <item m="1" x="2039"/>
        <item m="1" x="1998"/>
        <item m="1" x="209"/>
        <item m="1" x="1365"/>
        <item m="1" x="2603"/>
        <item m="1" x="1724"/>
        <item m="1" x="1106"/>
        <item m="1" x="2213"/>
        <item m="1" x="1940"/>
        <item m="1" x="3346"/>
        <item m="1" x="568"/>
        <item m="1" x="2037"/>
        <item m="1" x="373"/>
        <item m="1" x="1226"/>
        <item m="1" x="2486"/>
        <item m="1" x="2457"/>
        <item m="1" x="1815"/>
        <item m="1" x="1338"/>
        <item m="1" x="2582"/>
        <item m="1" x="2083"/>
        <item m="1" x="725"/>
        <item m="1" x="2397"/>
        <item m="1" x="55"/>
        <item m="1" x="88"/>
        <item m="1" x="234"/>
        <item m="1" x="303"/>
        <item m="1" x="2015"/>
        <item m="1" x="775"/>
        <item m="1" x="2441"/>
        <item m="1" x="1991"/>
        <item m="1" x="267"/>
        <item m="1" x="1013"/>
        <item m="1" x="201"/>
        <item m="1" x="1062"/>
        <item m="1" x="2937"/>
        <item m="1" x="2272"/>
        <item m="1" x="2789"/>
        <item m="1" x="586"/>
        <item m="1" x="2276"/>
        <item m="1" x="2139"/>
        <item m="1" x="1904"/>
        <item m="1" x="2548"/>
        <item m="1" x="1783"/>
        <item m="1" x="56"/>
        <item m="1" x="1844"/>
        <item m="1" x="146"/>
        <item m="1" x="1871"/>
        <item m="1" x="80"/>
        <item m="1" x="1806"/>
        <item m="1" x="3363"/>
        <item m="1" x="1752"/>
        <item m="1" x="1867"/>
        <item m="1" x="3018"/>
        <item m="1" x="1895"/>
        <item m="1" x="3066"/>
        <item m="1" x="1194"/>
        <item m="1" x="1892"/>
        <item m="1" x="345"/>
        <item m="1" x="305"/>
        <item m="1" x="2565"/>
        <item m="1" x="2448"/>
        <item m="1" x="1097"/>
        <item m="1" x="2263"/>
        <item m="1" x="1038"/>
        <item m="1" x="1324"/>
        <item m="1" x="1903"/>
        <item m="1" x="2497"/>
        <item m="1" x="2058"/>
        <item m="1" x="265"/>
        <item m="1" x="1989"/>
        <item m="1" x="199"/>
        <item m="1" x="1931"/>
        <item m="1" x="137"/>
        <item m="1" x="1862"/>
        <item m="1" x="490"/>
        <item m="1" x="192"/>
        <item m="1" x="412"/>
        <item m="1" x="253"/>
        <item m="1" x="2047"/>
        <item m="1" x="1492"/>
        <item m="1" x="1554"/>
        <item m="1" x="1491"/>
        <item m="1" x="2393"/>
        <item m="1" x="2022"/>
        <item m="1" x="2055"/>
        <item m="1" x="2116"/>
        <item m="1" x="402"/>
        <item m="1" x="2124"/>
        <item m="1" x="335"/>
        <item m="1" x="2194"/>
        <item m="1" x="260"/>
        <item m="1" x="3022"/>
        <item m="1" x="1361"/>
        <item m="1" x="3254"/>
        <item m="1" x="2216"/>
        <item m="1" x="1987"/>
        <item m="1" x="473"/>
        <item m="1" x="127"/>
        <item m="1" x="1855"/>
        <item m="1" x="1424"/>
        <item m="1" x="342"/>
        <item m="1" x="1922"/>
        <item m="1" x="2328"/>
        <item m="1" x="306"/>
        <item m="1" x="558"/>
        <item m="1" x="2373"/>
        <item m="1" x="2694"/>
        <item m="1" x="2970"/>
        <item m="1" x="1064"/>
        <item m="1" x="2045"/>
        <item m="1" x="2504"/>
        <item m="1" x="432"/>
        <item m="1" x="1440"/>
        <item m="1" x="68"/>
        <item m="1" x="384"/>
        <item m="1" x="2167"/>
        <item m="1" x="1848"/>
        <item m="1" x="644"/>
        <item m="1" x="2316"/>
        <item m="1" x="2184"/>
        <item m="1" x="2256"/>
        <item m="1" x="480"/>
        <item m="1" x="2308"/>
        <item m="1" x="633"/>
        <item m="1" x="1906"/>
        <item m="1" x="1894"/>
        <item m="1" x="2247"/>
        <item m="1" x="1666"/>
        <item m="1" x="1138"/>
        <item m="1" x="1730"/>
        <item m="1" x="1005"/>
        <item m="1" x="235"/>
        <item m="1" x="986"/>
        <item m="1" x="549"/>
        <item m="1" x="2604"/>
        <item m="1" x="400"/>
        <item m="1" x="2890"/>
        <item m="1" x="1264"/>
        <item m="1" x="2924"/>
        <item m="1" x="1309"/>
        <item m="1" x="2624"/>
        <item m="1" x="1803"/>
        <item m="1" x="2775"/>
        <item m="1" x="139"/>
        <item m="1" x="114"/>
        <item m="1" x="2741"/>
        <item m="1" x="3359"/>
        <item m="1" x="288"/>
        <item m="1" x="1883"/>
        <item m="1" x="498"/>
        <item x="43"/>
        <item x="45"/>
        <item x="46"/>
        <item x="47"/>
        <item x="48"/>
        <item x="49"/>
        <item m="1" x="2158"/>
        <item m="1" x="379"/>
        <item m="1" x="2092"/>
        <item m="1" x="311"/>
        <item m="1" x="2029"/>
        <item m="1" x="682"/>
        <item m="1" x="2351"/>
        <item m="1" x="604"/>
        <item m="1" x="2289"/>
        <item m="1" x="2227"/>
        <item m="1" x="448"/>
        <item m="1" x="2921"/>
        <item m="1" x="1259"/>
        <item m="1" x="3176"/>
        <item m="1" x="1539"/>
        <item m="1" x="3120"/>
        <item m="1" x="1473"/>
        <item m="1" x="3069"/>
        <item m="1" x="1416"/>
        <item m="1" x="3014"/>
        <item m="1" x="1353"/>
        <item m="1" x="2957"/>
        <item m="1" x="1299"/>
        <item m="1" x="3225"/>
        <item m="1" x="1594"/>
        <item m="1" x="2149"/>
        <item m="1" x="2703"/>
        <item m="1" x="470"/>
        <item m="1" x="3172"/>
        <item m="1" x="2114"/>
        <item m="1" x="332"/>
        <item m="1" x="1535"/>
        <item m="1" x="2088"/>
        <item m="1" x="1596"/>
        <item m="1" x="3116"/>
        <item m="1" x="2102"/>
        <item m="1" x="2175"/>
        <item m="1" x="2673"/>
        <item m="1" x="1578"/>
        <item m="1" x="1749"/>
        <item m="1" x="2089"/>
        <item m="1" x="2391"/>
        <item m="1" x="2285"/>
        <item m="1" x="3221"/>
        <item m="1" x="3275"/>
        <item m="1" x="2021"/>
        <item m="1" x="1529"/>
        <item m="1" x="2737"/>
        <item m="1" x="3111"/>
        <item m="1" x="1177"/>
        <item m="1" x="3118"/>
        <item m="1" x="1270"/>
        <item m="1" x="134"/>
        <item m="1" x="76"/>
        <item m="1" x="1801"/>
        <item m="1" x="236"/>
        <item m="1" x="391"/>
        <item m="1" x="3358"/>
        <item m="1" x="1410"/>
        <item m="1" x="3008"/>
        <item m="1" x="1347"/>
        <item m="1" x="1747"/>
        <item m="1" x="336"/>
        <item m="1" x="2049"/>
        <item m="1" x="1537"/>
        <item m="1" x="2424"/>
        <item m="1" x="3270"/>
        <item m="1" x="2024"/>
        <item m="1" x="1047"/>
        <item m="1" x="3344"/>
        <item m="1" x="3296"/>
        <item m="1" x="1588"/>
        <item m="1" x="3167"/>
        <item m="1" x="3112"/>
        <item m="1" x="3326"/>
        <item m="1" x="3274"/>
        <item m="1" x="1646"/>
        <item m="1" x="1772"/>
        <item m="1" x="1709"/>
        <item m="1" x="1461"/>
        <item m="1" x="2753"/>
        <item m="1" x="1652"/>
        <item m="1" x="1414"/>
        <item m="1" x="3227"/>
        <item m="1" x="1421"/>
        <item m="1" x="2962"/>
        <item m="1" x="3072"/>
        <item m="1" x="1476"/>
        <item m="1" x="3124"/>
        <item m="1" x="1215"/>
        <item m="1" x="3019"/>
        <item m="1" x="1358"/>
        <item m="1" x="1304"/>
        <item m="1" x="1468"/>
        <item m="1" x="1433"/>
        <item m="1" x="1501"/>
        <item m="1" x="1423"/>
        <item m="1" x="2269"/>
        <item m="1" x="1044"/>
        <item m="1" x="3021"/>
        <item m="1" x="696"/>
        <item m="1" x="1981"/>
        <item m="1" x="2367"/>
        <item m="1" x="1011"/>
        <item m="1" x="2869"/>
        <item m="1" x="3128"/>
        <item m="1" x="1271"/>
        <item m="1" x="2443"/>
        <item m="1" x="698"/>
        <item m="1" x="3057"/>
        <item m="1" x="3376"/>
        <item m="1" x="624"/>
        <item m="1" x="2809"/>
        <item m="1" x="1003"/>
        <item m="1" x="736"/>
        <item m="1" x="484"/>
        <item m="1" x="2301"/>
        <item m="1" x="756"/>
        <item m="1" x="3377"/>
        <item m="1" x="61"/>
        <item m="1" x="1053"/>
        <item m="1" x="2409"/>
        <item m="1" x="1796"/>
        <item m="1" x="1586"/>
        <item m="1" x="3220"/>
        <item m="1" x="1404"/>
        <item m="1" x="3321"/>
        <item m="1" x="3144"/>
        <item m="1" x="1506"/>
        <item m="1" x="675"/>
        <item m="1" x="2343"/>
        <item m="1" x="2517"/>
        <item m="1" x="1176"/>
        <item m="1" x="2852"/>
        <item m="1" x="3355"/>
        <item m="1" x="726"/>
        <item m="1" x="194"/>
        <item m="1" x="3174"/>
        <item m="1" x="1527"/>
        <item m="1" x="597"/>
        <item m="1" x="74"/>
        <item m="1" x="93"/>
        <item m="1" x="1820"/>
        <item m="1" x="1798"/>
        <item m="1" x="1478"/>
        <item m="1" x="703"/>
        <item m="1" x="120"/>
        <item m="1" x="599"/>
        <item m="1" x="1240"/>
        <item m="1" x="2683"/>
        <item m="1" x="1745"/>
        <item m="1" x="2516"/>
        <item m="1" x="130"/>
        <item m="1" x="1927"/>
        <item m="1" x="3073"/>
        <item m="1" x="1477"/>
        <item m="1" x="3125"/>
        <item m="1" x="1542"/>
        <item m="1" x="1422"/>
        <item m="1" x="1621"/>
        <item m="1" x="1602"/>
        <item m="1" x="1185"/>
        <item m="1" x="1992"/>
        <item m="1" x="1924"/>
        <item m="1" x="1858"/>
        <item m="1" x="67"/>
        <item m="1" x="1002"/>
        <item m="1" x="1826"/>
        <item m="1" x="2396"/>
        <item m="1" x="133"/>
        <item m="1" x="2973"/>
        <item m="1" x="3216"/>
        <item m="1" x="3161"/>
        <item m="1" x="1643"/>
        <item m="1" x="537"/>
        <item m="1" x="461"/>
        <item m="1" x="2237"/>
        <item m="1" x="2165"/>
        <item m="1" x="806"/>
        <item m="1" x="202"/>
        <item m="1" x="1704"/>
        <item m="1" x="1046"/>
        <item m="1" x="2487"/>
        <item m="1" x="866"/>
        <item m="1" x="3271"/>
        <item m="1" x="3020"/>
        <item m="1" x="777"/>
        <item m="1" x="410"/>
        <item m="1" x="546"/>
        <item m="1" x="1859"/>
        <item m="1" x="1095"/>
        <item m="1" x="1582"/>
        <item m="1" x="1520"/>
        <item m="1" x="2692"/>
        <item m="1" x="1457"/>
        <item m="1" x="3104"/>
        <item m="1" x="1954"/>
        <item m="1" x="2433"/>
        <item m="1" x="1434"/>
        <item m="1" x="1268"/>
        <item m="1" x="395"/>
        <item m="1" x="1792"/>
        <item m="1" x="2107"/>
        <item m="1" x="357"/>
        <item m="1" x="1573"/>
        <item m="1" x="919"/>
        <item m="1" x="2807"/>
        <item m="1" x="1563"/>
        <item m="1" x="3023"/>
        <item m="1" x="2963"/>
        <item m="1" x="3028"/>
        <item m="1" x="440"/>
        <item m="1" x="1702"/>
        <item m="1" x="1765"/>
        <item m="1" x="3319"/>
        <item m="1" x="2886"/>
        <item m="1" x="2321"/>
        <item m="1" x="1615"/>
        <item m="1" x="774"/>
        <item m="1" x="2776"/>
        <item m="1" x="2743"/>
        <item m="1" x="3226"/>
        <item m="1" x="1593"/>
        <item m="1" x="1595"/>
        <item m="1" x="1354"/>
        <item m="1" x="1474"/>
        <item m="1" x="1417"/>
        <item m="1" x="3015"/>
        <item m="1" x="3281"/>
        <item m="1" x="1651"/>
        <item m="1" x="3316"/>
        <item m="1" x="3121"/>
        <item m="1" x="3263"/>
        <item m="1" x="1974"/>
        <item m="1" x="248"/>
        <item m="1" x="2041"/>
        <item m="1" x="3070"/>
        <item m="1" x="184"/>
        <item m="1" x="1635"/>
        <item m="1" x="3173"/>
        <item m="1" x="1640"/>
        <item m="1" x="3268"/>
        <item m="1" x="2535"/>
        <item m="1" x="3177"/>
        <item m="1" x="1600"/>
        <item m="1" x="1699"/>
        <item m="1" x="119"/>
        <item m="1" x="3328"/>
        <item m="1" x="460"/>
        <item m="1" x="1540"/>
        <item m="1" x="622"/>
        <item m="1" x="1179"/>
        <item m="1" x="1985"/>
        <item m="1" x="1759"/>
        <item m="1" x="1170"/>
        <item m="1" x="81"/>
        <item m="1" x="2821"/>
        <item m="1" x="1305"/>
        <item m="1" x="2578"/>
        <item m="1" x="1807"/>
        <item m="1" x="2742"/>
        <item m="1" x="2696"/>
        <item m="1" x="1536"/>
        <item m="1" x="3117"/>
        <item m="1" x="1467"/>
        <item m="1" x="3064"/>
        <item m="1" x="1411"/>
        <item m="1" x="3327"/>
        <item m="1" x="1710"/>
        <item m="1" x="3276"/>
        <item m="1" x="1647"/>
        <item m="1" x="2991"/>
        <item m="1" x="3231"/>
        <item m="1" x="3372"/>
        <item m="1" x="1850"/>
        <item m="1" x="2750"/>
        <item m="1" x="1677"/>
        <item m="1" x="3210"/>
        <item m="1" x="1530"/>
        <item m="1" x="3168"/>
        <item m="1" x="1589"/>
        <item m="1" x="3222"/>
        <item m="1" x="1916"/>
        <item m="1" x="125"/>
        <item m="1" x="2170"/>
        <item m="1" x="465"/>
        <item m="1" x="3113"/>
        <item m="1" x="3133"/>
        <item m="1" x="2734"/>
        <item m="1" x="1462"/>
        <item m="1" x="2099"/>
        <item m="1" x="1486"/>
        <item m="1" x="437"/>
        <item m="1" x="3322"/>
        <item m="1" x="1711"/>
        <item m="1" x="1689"/>
        <item m="1" x="138"/>
        <item m="1" x="386"/>
        <item m="1" x="3265"/>
        <item m="1" x="3153"/>
        <item m="1" x="3364"/>
        <item m="1" x="132"/>
        <item m="1" x="913"/>
        <item m="1" x="1899"/>
        <item m="1" x="1623"/>
        <item m="1" x="899"/>
        <item m="1" x="2140"/>
        <item m="1" x="1628"/>
        <item m="1" x="3257"/>
        <item m="1" x="1567"/>
        <item m="1" x="1045"/>
        <item m="1" x="1705"/>
        <item m="1" x="3272"/>
        <item m="1" x="3356"/>
        <item m="1" x="3301"/>
        <item m="1" x="2657"/>
        <item m="1" x="1753"/>
        <item m="1" x="2730"/>
        <item m="1" x="2892"/>
        <item m="1" x="2875"/>
        <item m="1" x="1587"/>
        <item m="1" x="3379"/>
        <item m="1" x="1767"/>
        <item m="1" x="3308"/>
        <item m="1" x="3251"/>
        <item m="1" x="3245"/>
        <item m="1" x="1863"/>
        <item m="1" x="2446"/>
        <item m="1" x="1787"/>
        <item m="1" x="2143"/>
        <item m="1" x="1178"/>
        <item m="1" x="3160"/>
        <item m="1" x="1395"/>
        <item x="36"/>
        <item m="1" x="1746"/>
        <item m="1" x="1799"/>
        <item m="1" x="75"/>
        <item m="1" x="3217"/>
        <item m="1" x="1678"/>
        <item m="1" x="2773"/>
        <item m="1" x="3051"/>
        <item m="1" x="3152"/>
        <item m="1" x="1512"/>
        <item m="1" x="1583"/>
        <item m="1" x="155"/>
        <item m="1" x="2966"/>
        <item m="1" x="1139"/>
        <item m="1" x="316"/>
        <item m="1" x="1970"/>
        <item m="1" x="177"/>
        <item m="1" x="242"/>
        <item m="1" x="2033"/>
        <item m="1" x="585"/>
        <item m="1" x="1489"/>
        <item m="1" x="2245"/>
        <item m="1" x="507"/>
        <item m="1" x="128"/>
        <item m="1" x="65"/>
        <item m="1" x="910"/>
        <item m="1" x="2442"/>
        <item m="1" x="3108"/>
        <item m="1" x="2387"/>
        <item m="1" x="1521"/>
        <item m="1" x="3288"/>
        <item m="1" x="444"/>
        <item m="1" x="89"/>
        <item m="1" x="1790"/>
        <item m="1" x="3031"/>
        <item m="1" x="3351"/>
        <item m="1" x="2783"/>
        <item m="1" x="188"/>
        <item m="1" x="2202"/>
        <item m="1" x="1188"/>
        <item m="1" x="2209"/>
        <item m="1" x="1740"/>
        <item m="1" x="3348"/>
        <item m="1" x="1674"/>
        <item m="1" x="3297"/>
        <item m="1" x="3180"/>
        <item m="1" x="2864"/>
        <item m="1" x="1083"/>
        <item m="1" x="1124"/>
        <item m="1" x="530"/>
        <item m="1" x="1090"/>
        <item m="1" x="1009"/>
        <item m="1" x="500"/>
        <item m="1" x="1559"/>
        <item m="1" x="224"/>
        <item m="1" x="221"/>
        <item m="1" x="353"/>
        <item m="1" x="3202"/>
        <item m="1" x="1856"/>
        <item m="1" x="2660"/>
        <item m="1" x="1012"/>
        <item m="1" x="285"/>
        <item m="1" x="2012"/>
        <item m="1" x="2880"/>
        <item m="1" x="3206"/>
        <item m="1" x="3075"/>
        <item m="1" x="1919"/>
        <item m="1" x="1911"/>
        <item m="1" x="1050"/>
        <item m="1" x="365"/>
        <item m="1" x="2077"/>
        <item m="1" x="2823"/>
        <item m="1" x="2781"/>
        <item m="1" x="1146"/>
        <item m="1" x="111"/>
        <item m="1" x="71"/>
        <item m="1" x="1648"/>
        <item m="1" x="512"/>
        <item m="1" x="2952"/>
        <item m="1" x="3219"/>
        <item m="1" x="1585"/>
        <item m="1" x="3387"/>
        <item m="1" x="2697"/>
        <item m="1" x="1311"/>
        <item m="1" x="3183"/>
        <item m="1" x="2903"/>
        <item m="1" x="1794"/>
        <item m="1" x="364"/>
        <item m="1" x="2733"/>
        <item m="1" x="2135"/>
        <item m="1" x="1953"/>
        <item m="1" x="158"/>
        <item m="1" x="1882"/>
        <item m="1" x="2204"/>
        <item m="1" x="361"/>
        <item m="1" x="1878"/>
        <item m="1" x="1814"/>
        <item m="1" x="87"/>
        <item m="1" x="1671"/>
        <item m="1" x="2532"/>
        <item m="1" x="969"/>
        <item m="1" x="2003"/>
        <item m="1" x="1236"/>
        <item m="1" x="2863"/>
        <item m="1" x="213"/>
        <item m="1" x="1007"/>
        <item m="1" x="425"/>
        <item m="1" x="3352"/>
        <item m="1" x="704"/>
        <item m="1" x="3001"/>
        <item m="1" x="2899"/>
        <item m="1" x="2071"/>
        <item m="1" x="2197"/>
        <item m="1" x="1531"/>
        <item m="1" x="3164"/>
        <item m="1" x="3126"/>
        <item m="1" x="2968"/>
        <item m="1" x="653"/>
        <item m="1" x="2814"/>
        <item m="1" x="1184"/>
        <item m="1" x="2211"/>
        <item m="1" x="3277"/>
        <item m="1" x="3223"/>
        <item m="1" x="2972"/>
        <item m="1" x="1526"/>
        <item m="1" x="3054"/>
        <item m="1" x="2505"/>
        <item m="1" x="2687"/>
        <item m="1" x="523"/>
        <item m="1" x="1592"/>
        <item m="1" x="2820"/>
        <item m="1" x="1135"/>
        <item m="1" x="721"/>
        <item m="1" x="1042"/>
        <item m="1" x="2935"/>
        <item m="1" x="2777"/>
        <item m="1" x="1590"/>
        <item m="1" x="571"/>
        <item m="1" x="1442"/>
        <item m="1" x="1682"/>
        <item m="1" x="3002"/>
        <item m="1" x="1339"/>
        <item m="1" x="186"/>
        <item x="52"/>
        <item m="1" x="2838"/>
        <item m="1" x="3370"/>
        <item m="1" x="1757"/>
        <item m="1" x="1910"/>
        <item m="1" x="1851"/>
        <item m="1" x="931"/>
        <item m="1" x="3266"/>
        <item m="1" x="299"/>
        <item m="1" x="2689"/>
        <item m="1" x="2987"/>
        <item m="1" x="3247"/>
        <item m="1" x="2817"/>
        <item m="1" x="2145"/>
        <item m="1" x="761"/>
        <item m="1" x="1918"/>
        <item m="1" x="1315"/>
        <item m="1" x="496"/>
        <item m="1" x="256"/>
        <item m="1" x="1982"/>
        <item m="1" x="195"/>
        <item m="1" x="1925"/>
        <item m="1" x="131"/>
        <item x="8"/>
        <item m="1" x="475"/>
        <item m="1" x="2179"/>
        <item m="1" x="396"/>
        <item m="1" x="326"/>
        <item m="1" x="2042"/>
        <item m="1" x="249"/>
        <item m="1" x="1975"/>
        <item m="1" x="185"/>
        <item m="1" x="1917"/>
        <item m="1" x="542"/>
        <item m="1" x="2241"/>
        <item m="1" x="466"/>
        <item m="1" x="2171"/>
        <item m="1" x="387"/>
        <item m="1" x="2100"/>
        <item m="1" x="317"/>
        <item m="1" x="2034"/>
        <item m="1" x="243"/>
        <item x="17"/>
        <item m="1" x="617"/>
        <item m="1" x="2296"/>
        <item m="1" x="534"/>
        <item m="1" x="2234"/>
        <item m="1" x="456"/>
        <item m="1" x="2858"/>
        <item m="1" x="1947"/>
        <item m="1" x="2267"/>
        <item m="1" x="2053"/>
        <item m="1" x="709"/>
        <item m="1" x="1321"/>
        <item m="1" x="340"/>
        <item m="1" x="1085"/>
        <item m="1" x="3213"/>
        <item m="1" x="1579"/>
        <item m="1" x="3158"/>
        <item m="1" x="1517"/>
        <item m="1" x="407"/>
        <item m="1" x="2190"/>
        <item m="1" x="2981"/>
        <item m="1" x="175"/>
        <item m="1" x="2472"/>
        <item m="1" x="2533"/>
        <item m="1" x="2121"/>
        <item m="1" x="2112"/>
        <item m="1" x="2581"/>
        <item m="1" x="591"/>
        <item m="1" x="2849"/>
        <item x="34"/>
        <item m="1" x="2130"/>
        <item m="1" x="351"/>
        <item m="1" x="2063"/>
        <item m="1" x="271"/>
        <item m="1" x="1995"/>
        <item m="1" x="2320"/>
        <item m="1" x="2521"/>
        <item m="1" x="554"/>
        <item m="1" x="640"/>
        <item m="1" x="2314"/>
        <item m="1" x="2253"/>
        <item m="1" x="2152"/>
        <item m="1" x="110"/>
        <item m="1" x="2379"/>
        <item m="1" x="579"/>
        <item m="1" x="2482"/>
        <item m="1" x="2200"/>
        <item m="1" x="486"/>
        <item m="1" x="2266"/>
        <item m="1" x="2421"/>
        <item m="1" x="3101"/>
        <item m="1" x="1393"/>
        <item m="1" x="1990"/>
        <item m="1" x="3312"/>
        <item m="1" x="2018"/>
        <item m="1" x="562"/>
        <item m="1" x="418"/>
        <item m="1" x="2583"/>
        <item m="1" x="759"/>
        <item m="1" x="2111"/>
        <item m="1" x="398"/>
        <item m="1" x="2181"/>
        <item m="1" x="3049"/>
        <item m="1" x="1455"/>
        <item m="1" x="2738"/>
        <item m="1" x="1048"/>
        <item m="1" x="1088"/>
        <item m="1" x="2778"/>
        <item m="1" x="2933"/>
        <item m="1" x="1277"/>
        <item m="1" x="2897"/>
        <item m="1" x="1234"/>
        <item m="1" x="2862"/>
        <item m="1" x="1141"/>
        <item m="1" x="1912"/>
        <item m="1" x="123"/>
        <item m="1" x="2896"/>
        <item m="1" x="1233"/>
        <item m="1" x="494"/>
        <item m="1" x="2222"/>
        <item m="1" x="2685"/>
        <item m="1" x="328"/>
        <item m="1" x="282"/>
        <item m="1" x="483"/>
        <item m="1" x="1425"/>
        <item m="1" x="3131"/>
        <item m="1" x="1181"/>
        <item m="1" x="2427"/>
        <item m="1" x="1695"/>
        <item m="1" x="3189"/>
        <item m="1" x="2187"/>
        <item m="1" x="1318"/>
        <item m="1" x="477"/>
        <item m="1" x="699"/>
        <item m="1" x="1513"/>
        <item m="1" x="592"/>
        <item m="1" x="2833"/>
        <item m="1" x="2537"/>
        <item m="1" x="2210"/>
        <item m="1" x="2813"/>
        <item m="1" x="954"/>
        <item m="1" x="1145"/>
        <item m="1" x="3169"/>
        <item m="1" x="3313"/>
        <item m="1" x="1696"/>
        <item m="1" x="3261"/>
        <item m="1" x="3027"/>
        <item m="1" x="251"/>
        <item m="1" x="190"/>
        <item m="1" x="730"/>
        <item m="1" x="2048"/>
        <item m="1" x="830"/>
        <item m="1" x="1977"/>
        <item m="1" x="321"/>
        <item m="1" x="3389"/>
        <item m="1" x="2780"/>
        <item m="1" x="1479"/>
        <item m="1" x="2799"/>
        <item m="1" x="2365"/>
        <item m="1" x="57"/>
        <item m="1" x="2860"/>
        <item m="1" x="189"/>
        <item m="1" x="1510"/>
        <item m="1" x="1743"/>
        <item m="1" x="1524"/>
        <item m="1" x="656"/>
        <item m="1" x="1669"/>
        <item m="1" x="2576"/>
        <item m="1" x="3150"/>
        <item m="1" x="620"/>
        <item m="1" x="3192"/>
        <item m="1" x="2331"/>
        <item m="1" x="1276"/>
        <item m="1" x="708"/>
        <item m="1" x="392"/>
        <item m="1" x="741"/>
        <item m="1" x="2965"/>
        <item m="1" x="3095"/>
        <item m="1" x="852"/>
        <item m="1" x="2312"/>
        <item m="1" x="1450"/>
        <item m="1" x="1232"/>
        <item m="1" x="1672"/>
        <item m="1" x="2621"/>
        <item m="1" x="2198"/>
        <item m="1" x="415"/>
        <item m="1" x="2127"/>
        <item m="1" x="1557"/>
        <item m="1" x="551"/>
        <item m="1" x="2251"/>
        <item m="1" x="372"/>
        <item m="1" x="2104"/>
        <item m="1" x="266"/>
        <item m="1" x="2059"/>
        <item m="1" x="2856"/>
        <item m="1" x="2579"/>
        <item m="1" x="474"/>
        <item m="1" x="394"/>
        <item m="1" x="2656"/>
        <item m="1" x="167"/>
        <item m="1" x="1420"/>
        <item m="1" x="2370"/>
        <item m="1" x="629"/>
        <item m="1" x="2305"/>
        <item m="1" x="544"/>
        <item m="1" x="2243"/>
        <item m="1" x="468"/>
        <item m="1" x="2173"/>
        <item m="1" x="810"/>
        <item m="1" x="752"/>
        <item m="1" x="536"/>
        <item m="1" x="2236"/>
        <item m="1" x="2426"/>
        <item m="1" x="805"/>
        <item m="1" x="974"/>
        <item m="1" x="1777"/>
        <item m="1" x="2629"/>
        <item m="1" x="3333"/>
        <item m="1" x="928"/>
        <item m="1" x="1721"/>
        <item m="1" x="2591"/>
        <item m="1" x="2383"/>
        <item m="1" x="2402"/>
        <item m="1" x="701"/>
        <item m="1" x="723"/>
        <item m="1" x="2303"/>
        <item m="1" x="627"/>
        <item m="1" x="103"/>
        <item m="1" x="1018"/>
        <item m="1" x="3235"/>
        <item m="1" x="832"/>
        <item m="1" x="1603"/>
        <item m="1" x="2492"/>
        <item m="1" x="3182"/>
        <item m="1" x="779"/>
        <item m="1" x="1543"/>
        <item m="1" x="2595"/>
        <item m="1" x="3286"/>
        <item m="1" x="539"/>
        <item m="1" x="700"/>
        <item m="1" x="2931"/>
        <item m="1" x="2117"/>
        <item m="1" x="3100"/>
        <item m="1" x="2560"/>
        <item m="1" x="541"/>
        <item m="1" x="758"/>
        <item m="1" x="2354"/>
        <item m="1" x="827"/>
        <item m="1" x="1670"/>
        <item m="1" x="2811"/>
        <item m="1" x="2217"/>
        <item m="1" x="1438"/>
        <item m="1" x="2169"/>
        <item m="1" x="2084"/>
        <item m="1" x="2490"/>
        <item m="1" x="2562"/>
        <item m="1" x="1325"/>
        <item m="1" x="2471"/>
        <item m="1" x="1279"/>
        <item m="1" x="1805"/>
        <item m="1" x="1685"/>
        <item m="1" x="3304"/>
        <item m="1" x="1687"/>
        <item m="1" x="809"/>
        <item m="1" x="264"/>
        <item m="1" x="1751"/>
        <item m="1" x="3306"/>
        <item m="1" x="3362"/>
        <item m="1" x="304"/>
        <item m="1" x="1275"/>
        <item m="1" x="2488"/>
        <item m="1" x="53"/>
        <item m="1" x="724"/>
        <item m="1" x="1370"/>
        <item m="1" x="2979"/>
        <item m="1" x="1037"/>
        <item m="1" x="1000"/>
        <item m="1" x="1043"/>
        <item m="1" x="333"/>
        <item m="1" x="1870"/>
        <item m="1" x="79"/>
        <item m="1" x="2277"/>
        <item m="1" x="2344"/>
        <item m="1" x="2661"/>
        <item m="1" x="1010"/>
        <item m="1" x="751"/>
        <item m="1" x="821"/>
        <item m="1" x="2420"/>
        <item m="1" x="389"/>
        <item m="1" x="3004"/>
        <item m="1" x="95"/>
        <item m="1" x="2336"/>
        <item m="1" x="965"/>
        <item m="1" x="711"/>
        <item m="1" x="2982"/>
        <item m="1" x="344"/>
        <item m="1" x="664"/>
        <item m="1" x="1323"/>
        <item m="1" x="2715"/>
        <item m="1" x="2376"/>
        <item m="1" x="1525"/>
        <item m="1" x="319"/>
        <item m="1" x="2332"/>
        <item m="1" x="613"/>
        <item m="1" x="1963"/>
        <item m="1" x="2081"/>
        <item m="1" x="2036"/>
        <item m="1" x="1861"/>
        <item m="1" x="136"/>
        <item m="1" x="3354"/>
        <item m="1" x="73"/>
        <item m="1" x="1797"/>
        <item m="1" x="1744"/>
        <item m="1" x="1244"/>
        <item m="1" x="214"/>
        <item m="1" x="289"/>
        <item m="1" x="930"/>
        <item m="1" x="896"/>
        <item m="1" x="623"/>
        <item m="1" x="347"/>
        <item m="1" x="2164"/>
        <item m="1" x="2095"/>
        <item m="1" x="686"/>
        <item m="1" x="2357"/>
        <item m="1" x="610"/>
        <item m="1" x="528"/>
        <item m="1" x="450"/>
        <item m="1" x="2153"/>
        <item m="1" x="649"/>
        <item m="1" x="2927"/>
        <item m="1" x="2757"/>
        <item m="1" x="2319"/>
        <item m="1" x="2259"/>
        <item m="1" x="3236"/>
        <item m="1" x="3318"/>
        <item m="1" x="2378"/>
        <item m="1" x="638"/>
        <item m="1" x="2299"/>
        <item m="1" x="2178"/>
        <item m="1" x="2106"/>
        <item m="1" x="2438"/>
        <item m="1" x="240"/>
        <item m="1" x="679"/>
        <item m="1" x="2347"/>
        <item m="1" x="601"/>
        <item m="1" x="2286"/>
        <item m="1" x="522"/>
        <item m="1" x="145"/>
        <item m="1" x="1941"/>
        <item m="1" x="2466"/>
        <item m="1" x="746"/>
        <item m="1" x="2415"/>
        <item m="1" x="685"/>
        <item m="1" x="208"/>
        <item m="1" x="1633"/>
        <item m="1" x="1364"/>
        <item m="1" x="464"/>
        <item m="1" x="2240"/>
        <item m="1" x="2292"/>
        <item m="1" x="608"/>
        <item m="1" x="897"/>
        <item m="1" x="3243"/>
        <item m="1" x="846"/>
        <item m="1" x="2513"/>
        <item m="1" x="797"/>
        <item m="1" x="2461"/>
        <item m="1" x="676"/>
        <item m="1" x="313"/>
        <item m="1" x="737"/>
        <item m="1" x="2408"/>
        <item m="1" x="2609"/>
        <item m="1" x="2223"/>
        <item m="1" x="841"/>
        <item m="1" x="2507"/>
        <item m="1" x="790"/>
        <item m="1" x="2458"/>
        <item m="1" x="732"/>
        <item m="1" x="891"/>
        <item m="1" x="2553"/>
        <item m="1" x="516"/>
        <item m="1" x="837"/>
        <item m="1" x="2502"/>
        <item m="1" x="786"/>
        <item m="1" x="671"/>
        <item m="1" x="731"/>
        <item m="1" x="2453"/>
        <item m="1" x="2401"/>
        <item m="1" x="575"/>
        <item m="1" x="1466"/>
        <item m="1" x="3063"/>
        <item m="1" x="1409"/>
        <item m="1" x="3007"/>
        <item m="1" x="1346"/>
        <item m="1" x="2953"/>
        <item m="1" x="1295"/>
        <item m="1" x="2910"/>
        <item m="1" x="1822"/>
        <item m="1" x="1988"/>
        <item m="1" x="198"/>
        <item m="1" x="2339"/>
        <item m="1" x="596"/>
        <item m="1" x="2281"/>
        <item m="1" x="1229"/>
        <item m="1" x="1004"/>
        <item m="1" x="1930"/>
        <item m="1" x="877"/>
        <item m="1" x="1514"/>
        <item m="1" x="2295"/>
        <item m="1" x="851"/>
        <item m="1" x="532"/>
        <item m="1" x="2363"/>
        <item m="1" x="1213"/>
        <item m="1" x="917"/>
        <item m="1" x="2843"/>
        <item m="1" x="615"/>
        <item m="1" x="533"/>
        <item m="1" x="1225"/>
        <item m="1" x="2510"/>
        <item m="1" x="689"/>
        <item m="1" x="2360"/>
        <item m="1" x="2233"/>
        <item m="1" x="918"/>
        <item m="1" x="2853"/>
        <item m="1" x="690"/>
        <item m="1" x="2419"/>
        <item m="1" x="441"/>
        <item m="1" x="616"/>
        <item m="1" x="1203"/>
        <item m="1" x="1191"/>
        <item m="1" x="2362"/>
        <item m="1" x="691"/>
        <item m="1" x="2911"/>
        <item m="1" x="1248"/>
        <item m="1" x="1137"/>
        <item m="1" x="1435"/>
        <item m="1" x="803"/>
        <item m="1" x="455"/>
        <item m="1" x="2159"/>
        <item m="1" x="2465"/>
        <item m="1" x="1764"/>
        <item m="1" x="2232"/>
        <item m="1" x="2850"/>
        <item m="1" x="2538"/>
        <item m="1" x="2506"/>
        <item m="1" x="330"/>
        <item m="1" x="3043"/>
        <item m="1" x="2939"/>
        <item m="1" x="458"/>
        <item m="1" x="1332"/>
        <item m="1" x="3343"/>
        <item m="1" x="3141"/>
        <item m="1" x="2943"/>
        <item m="1" x="2788"/>
        <item m="1" x="2633"/>
        <item m="1" x="2452"/>
        <item m="1" x="2224"/>
        <item m="1" x="776"/>
        <item m="1" x="514"/>
        <item m="1" x="1173"/>
        <item m="1" x="2808"/>
        <item m="1" x="1027"/>
        <item m="1" x="1738"/>
        <item m="1" x="2586"/>
        <item m="1" x="661"/>
        <item m="1" x="2895"/>
        <item m="1" x="1129"/>
        <item m="1" x="3157"/>
        <item m="1" x="3289"/>
        <item m="1" x="2162"/>
        <item m="1" x="2906"/>
        <item m="1" x="1180"/>
        <item m="1" x="2728"/>
        <item m="1" x="1080"/>
        <item m="1" x="744"/>
        <item m="1" x="2413"/>
        <item m="1" x="683"/>
        <item m="1" x="2352"/>
        <item m="1" x="1617"/>
        <item m="1" x="1183"/>
        <item m="1" x="1228"/>
        <item m="1" x="1507"/>
        <item m="1" x="3145"/>
        <item m="1" x="3091"/>
        <item m="1" x="2290"/>
        <item m="1" x="435"/>
        <item m="1" x="825"/>
        <item m="1" x="135"/>
        <item m="1" x="2770"/>
        <item m="1" x="605"/>
        <item m="1" x="526"/>
        <item m="1" x="1221"/>
        <item m="1" x="2938"/>
        <item m="1" x="1329"/>
        <item m="1" x="1381"/>
        <item m="1" x="1078"/>
        <item m="1" x="1771"/>
        <item m="1" x="880"/>
        <item m="1" x="2976"/>
        <item m="1" x="334"/>
        <item m="1" x="2723"/>
        <item m="1" x="1035"/>
        <item m="1" x="1250"/>
        <item m="1" x="153"/>
        <item m="1" x="239"/>
        <item m="1" x="2926"/>
        <item m="1" x="1081"/>
        <item m="1" x="1290"/>
        <item m="1" x="2019"/>
        <item m="1" x="1267"/>
        <item m="1" x="2948"/>
        <item m="1" x="451"/>
        <item m="1" x="403"/>
        <item m="1" x="2186"/>
        <item m="1" x="2126"/>
        <item m="1" x="886"/>
        <item m="1" x="2564"/>
        <item m="1" x="2377"/>
        <item m="1" x="2888"/>
        <item m="1" x="978"/>
        <item m="1" x="2779"/>
        <item m="1" x="2803"/>
        <item m="1" x="1171"/>
        <item m="1" x="1122"/>
        <item m="1" x="2848"/>
        <item m="1" x="1518"/>
        <item m="1" x="2928"/>
        <item m="1" x="3214"/>
        <item m="1" x="2068"/>
        <item m="1" x="2133"/>
        <item m="1" x="1220"/>
        <item m="1" x="2580"/>
        <item m="1" x="1869"/>
        <item m="1" x="2826"/>
        <item m="1" x="1308"/>
        <item m="1" x="2969"/>
        <item m="1" x="1074"/>
        <item m="1" x="2766"/>
        <item m="1" x="1125"/>
        <item m="1" x="1263"/>
        <item m="1" x="2695"/>
        <item m="1" x="3293"/>
        <item m="1" x="1317"/>
        <item m="1" x="2250"/>
        <item m="1" x="2228"/>
        <item m="1" x="845"/>
        <item m="1" x="2511"/>
        <item m="1" x="795"/>
        <item m="1" x="2889"/>
        <item m="1" x="1214"/>
        <item m="1" x="1093"/>
        <item m="1" x="2844"/>
        <item m="1" x="2746"/>
        <item m="1" x="324"/>
        <item m="1" x="643"/>
        <item m="1" x="1667"/>
        <item m="1" x="1285"/>
        <item m="1" x="2812"/>
        <item m="1" x="1167"/>
        <item m="1" x="2800"/>
        <item m="1" x="1932"/>
        <item m="1" x="3142"/>
        <item m="1" x="1503"/>
        <item m="1" x="1350"/>
        <item m="1" x="2151"/>
        <item m="1" x="660"/>
        <item m="1" x="1286"/>
        <item m="1" x="879"/>
        <item m="1" x="1832"/>
        <item m="1" x="1357"/>
        <item m="1" x="3201"/>
        <item m="1" x="3307"/>
        <item m="1" x="3256"/>
        <item m="1" x="1565"/>
        <item m="1" x="1627"/>
        <item m="1" x="2839"/>
        <item m="1" x="3211"/>
        <item m="1" x="2920"/>
        <item m="1" x="1025"/>
        <item m="1" x="1387"/>
        <item m="1" x="1258"/>
        <item m="1" x="1208"/>
        <item m="1" x="3115"/>
        <item m="1" x="3264"/>
        <item x="10"/>
        <item m="1" x="72"/>
        <item m="1" x="553"/>
        <item m="1" x="2313"/>
        <item m="1" x="232"/>
        <item m="1" x="1688"/>
        <item m="1" x="2883"/>
        <item m="1" x="143"/>
        <item m="1" x="2539"/>
        <item m="1" x="1451"/>
        <item m="1" x="3097"/>
        <item m="1" x="2961"/>
        <item m="1" x="511"/>
        <item m="1" x="2411"/>
        <item m="1" x="600"/>
        <item m="1" x="658"/>
        <item m="1" x="3041"/>
        <item m="1" x="226"/>
        <item m="1" x="302"/>
        <item m="1" x="1114"/>
        <item m="1" x="2626"/>
        <item m="1" x="2774"/>
        <item m="1" x="1303"/>
        <item m="1" x="2819"/>
        <item m="1" x="3089"/>
        <item m="1" x="2057"/>
        <item m="1" x="1144"/>
        <item m="1" x="1636"/>
        <item m="1" x="504"/>
        <item m="1" x="1760"/>
        <item m="1" x="2350"/>
        <item m="1" x="261"/>
        <item m="1" x="1574"/>
        <item m="1" x="200"/>
        <item m="1" x="1161"/>
        <item m="1" x="1182"/>
        <item m="1" x="2971"/>
        <item m="1" x="1142"/>
        <item m="1" x="3280"/>
        <item m="1" x="3050"/>
        <item m="1" x="1394"/>
        <item x="23"/>
        <item x="21"/>
        <item x="29"/>
        <item x="5"/>
        <item m="1" x="3208"/>
        <item m="1" x="1571"/>
        <item m="1" x="3151"/>
        <item m="1" x="1511"/>
        <item m="1" x="1864"/>
        <item m="1" x="3079"/>
        <item m="1" x="1614"/>
        <item m="1" x="1089"/>
        <item m="1" x="916"/>
        <item m="1" x="1430"/>
        <item m="1" x="3233"/>
        <item m="1" x="921"/>
        <item m="1" x="2476"/>
        <item m="1" x="148"/>
        <item m="1" x="1872"/>
        <item m="1" x="82"/>
        <item m="1" x="1808"/>
        <item m="1" x="3365"/>
        <item m="1" x="1754"/>
        <item m="1" x="3309"/>
        <item m="1" x="1690"/>
        <item m="1" x="3258"/>
        <item m="1" x="1436"/>
        <item m="1" x="1369"/>
        <item m="1" x="587"/>
        <item m="1" x="1200"/>
        <item m="1" x="3260"/>
        <item m="1" x="2040"/>
        <item m="1" x="1956"/>
        <item m="1" x="2110"/>
        <item m="1" x="3143"/>
        <item m="1" x="1505"/>
        <item m="1" x="3090"/>
        <item m="1" x="1447"/>
        <item m="1" x="3068"/>
        <item m="1" x="1816"/>
        <item m="1" x="1800"/>
        <item m="1" x="3357"/>
        <item m="1" x="2346"/>
        <item m="1" x="669"/>
        <item m="1" x="3191"/>
        <item m="1" x="3024"/>
        <item m="1" x="2549"/>
        <item m="1" x="3199"/>
        <item m="1" x="247"/>
        <item m="1" x="1679"/>
        <item m="1" x="1973"/>
        <item m="1" x="1087"/>
        <item m="1" x="2587"/>
        <item m="1" x="2086"/>
        <item m="1" x="2956"/>
        <item m="1" x="1741"/>
        <item m="1" x="1929"/>
        <item m="1" x="1363"/>
        <item m="1" x="66"/>
        <item m="1" x="193"/>
        <item m="1" x="1328"/>
        <item m="1" x="1663"/>
        <item m="1" x="1857"/>
        <item m="1" x="2594"/>
        <item m="1" x="836"/>
        <item m="1" x="2645"/>
        <item m="1" x="2335"/>
        <item m="1" x="298"/>
        <item m="1" x="124"/>
        <item m="1" x="1488"/>
        <item m="1" x="129"/>
        <item m="1" x="438"/>
        <item m="1" x="291"/>
        <item m="1" x="2494"/>
        <item m="1" x="254"/>
        <item m="1" x="2447"/>
        <item m="1" x="1136"/>
        <item m="1" x="2590"/>
        <item m="1" x="183"/>
        <item m="1" x="1980"/>
        <item m="1" x="1923"/>
        <item x="19"/>
        <item m="1" x="1006"/>
        <item m="1" x="1968"/>
        <item m="1" x="3234"/>
        <item m="1" x="831"/>
        <item m="1" x="434"/>
        <item m="1" x="1849"/>
        <item m="1" x="1231"/>
        <item m="1" x="2998"/>
        <item m="1" x="2512"/>
        <item m="1" x="1933"/>
        <item x="38"/>
        <item x="39"/>
        <item x="40"/>
        <item m="1" x="2093"/>
        <item m="1" x="2698"/>
        <item m="1" x="739"/>
        <item m="1" x="2284"/>
        <item m="1" x="2407"/>
        <item m="1" x="1786"/>
        <item m="1" x="3284"/>
        <item m="1" x="2410"/>
        <item m="1" x="2138"/>
        <item m="1" x="1282"/>
        <item m="1" x="2571"/>
        <item m="1" x="1555"/>
        <item m="1" x="970"/>
        <item m="1" x="972"/>
        <item m="1" x="1823"/>
        <item m="1" x="1629"/>
        <item m="1" x="1791"/>
        <item m="1" x="1644"/>
        <item m="1" x="1957"/>
        <item m="1" x="99"/>
        <item m="1" x="2665"/>
        <item m="1" x="3278"/>
        <item m="1" x="3162"/>
        <item m="1" x="1294"/>
        <item m="1" x="1015"/>
        <item m="1" x="858"/>
        <item m="1" x="584"/>
        <item m="1" x="2702"/>
        <item m="1" x="2270"/>
        <item m="1" x="2219"/>
        <item m="1" x="445"/>
        <item m="1" x="2540"/>
        <item m="1" x="547"/>
        <item m="1" x="1056"/>
        <item m="1" x="677"/>
        <item m="1" x="648"/>
        <item m="1" x="1243"/>
        <item m="1" x="60"/>
        <item m="1" x="2215"/>
        <item m="1" x="230"/>
        <item m="1" x="1269"/>
        <item m="1" x="1054"/>
        <item m="1" x="1599"/>
        <item m="1" x="174"/>
        <item m="1" x="1429"/>
        <item m="1" x="2207"/>
        <item m="1" x="1312"/>
        <item m="1" x="2666"/>
        <item m="1" x="666"/>
        <item m="1" x="375"/>
        <item m="1" x="2499"/>
        <item m="1" x="781"/>
        <item m="1" x="3366"/>
        <item m="1" x="576"/>
        <item m="1" x="2975"/>
        <item m="1" x="2345"/>
        <item m="1" x="244"/>
        <item m="1" x="2740"/>
        <item m="1" x="2566"/>
        <item m="1" x="2212"/>
        <item m="1" x="754"/>
        <item m="1" x="2485"/>
        <item m="1" x="276"/>
        <item m="1" x="1352"/>
        <item m="1" x="508"/>
        <item m="1" x="1073"/>
        <item m="1" x="619"/>
        <item m="1" x="2298"/>
        <item m="1" x="1604"/>
        <item m="1" x="2828"/>
        <item m="1" x="1655"/>
        <item m="1" x="3082"/>
        <item m="1" x="2985"/>
        <item m="1" x="1551"/>
        <item m="1" x="1778"/>
        <item m="1" x="2575"/>
        <item m="1" x="740"/>
        <item m="1" x="804"/>
        <item m="1" x="2449"/>
        <item m="1" x="2787"/>
        <item m="1" x="1804"/>
        <item m="1" x="3193"/>
        <item m="1" x="1775"/>
        <item m="1" x="2574"/>
        <item m="1" x="1732"/>
        <item m="1" x="863"/>
        <item m="1" x="2073"/>
        <item m="1" x="1065"/>
        <item m="1" x="3129"/>
        <item m="1" x="1722"/>
        <item m="1" x="420"/>
        <item m="1" x="580"/>
        <item m="1" x="1620"/>
        <item m="1" x="3383"/>
        <item m="1" x="3032"/>
        <item m="1" x="2854"/>
        <item m="1" x="312"/>
        <item m="1" x="1008"/>
        <item m="1" x="2736"/>
        <item m="1" x="374"/>
        <item m="1" x="1379"/>
        <item m="1" x="462"/>
        <item m="1" x="472"/>
        <item m="1" x="2000"/>
        <item m="1" x="1795"/>
        <item m="1" x="912"/>
        <item m="1" x="637"/>
        <item m="1" x="3135"/>
        <item m="1" x="3074"/>
        <item m="1" x="814"/>
        <item m="1" x="914"/>
        <item m="1" x="112"/>
        <item m="1" x="3166"/>
        <item m="1" x="3218"/>
        <item m="1" x="1750"/>
        <item m="1" x="263"/>
        <item m="1" x="162"/>
        <item m="1" x="673"/>
        <item m="1" x="3310"/>
        <item m="1" x="1934"/>
        <item m="1" x="325"/>
        <item m="1" x="1556"/>
        <item m="1" x="3110"/>
        <item m="1" x="1528"/>
        <item m="1" x="3165"/>
        <item m="1" x="1251"/>
        <item m="1" x="2914"/>
        <item m="1" x="2001"/>
        <item m="1" x="2816"/>
        <item m="1" x="3056"/>
        <item m="1" x="1460"/>
        <item m="1" x="1609"/>
        <item m="1" x="1341"/>
        <item m="1" x="1560"/>
        <item m="1" x="3055"/>
        <item m="1" x="1094"/>
        <item m="1" x="1402"/>
        <item m="1" x="459"/>
        <item m="1" x="287"/>
        <item m="1" x="1337"/>
        <item m="1" x="693"/>
        <item m="1" x="429"/>
        <item m="1" x="906"/>
        <item m="1" x="1403"/>
        <item m="1" x="1340"/>
        <item m="1" x="2561"/>
        <item m="1" x="1616"/>
        <item m="1" x="382"/>
        <item m="1" x="573"/>
        <item m="1" x="118"/>
        <item m="1" x="971"/>
        <item m="1" x="210"/>
        <item m="1" x="3003"/>
        <item m="1" x="1481"/>
        <item m="1" x="2361"/>
        <item m="1" x="3184"/>
        <item m="1" x="716"/>
        <item m="1" x="1377"/>
        <item m="1" x="1549"/>
        <item m="1" x="1257"/>
        <item m="1" x="519"/>
        <item m="1" x="839"/>
        <item m="1" x="2030"/>
        <item m="1" x="647"/>
        <item m="1" x="301"/>
        <item m="1" x="3215"/>
        <item m="1" x="1943"/>
        <item m="1" x="147"/>
        <item m="1" x="1580"/>
        <item m="1" x="3159"/>
        <item m="1" x="1642"/>
        <item m="1" x="493"/>
        <item m="1" x="2369"/>
        <item m="1" x="1581"/>
        <item m="1" x="3127"/>
        <item m="1" x="2977"/>
        <item m="1" x="1068"/>
        <item m="1" x="1480"/>
        <item m="1" x="2525"/>
        <item m="1" x="1888"/>
        <item m="1" x="1519"/>
        <item m="1" x="3103"/>
        <item m="1" x="1456"/>
        <item m="1" x="3025"/>
        <item m="1" x="999"/>
        <item m="1" x="3303"/>
        <item m="1" x="819"/>
        <item m="1" x="3102"/>
        <item m="1" x="3156"/>
        <item m="1" x="3170"/>
        <item m="1" x="2161"/>
        <item m="1" x="3148"/>
        <item m="1" x="2866"/>
        <item m="1" x="607"/>
        <item x="0"/>
        <item x="2"/>
        <item x="3"/>
        <item x="4"/>
        <item x="6"/>
        <item x="7"/>
        <item x="11"/>
        <item x="12"/>
        <item x="13"/>
        <item m="1" x="3315"/>
        <item m="1" x="1698"/>
        <item x="18"/>
        <item m="1" x="3262"/>
        <item x="22"/>
        <item x="24"/>
        <item m="1" x="3339"/>
        <item m="1" x="3011"/>
        <item m="1" x="1830"/>
        <item x="32"/>
        <item m="1" x="2554"/>
        <item x="35"/>
        <item m="1" x="796"/>
        <item m="1" x="3349"/>
        <item m="1" x="3190"/>
        <item m="1" x="1673"/>
        <item x="33"/>
        <item m="1" x="1725"/>
        <item m="1" x="961"/>
        <item m="1" x="3241"/>
        <item m="1" x="2341"/>
        <item m="1" x="1634"/>
        <item m="1" x="1572"/>
        <item m="1" x="3209"/>
        <item m="1" x="2177"/>
        <item m="1" x="393"/>
        <item m="1" x="750"/>
        <item m="1" x="2930"/>
        <item m="1" x="246"/>
        <item m="1" x="2398"/>
        <item m="1" x="3294"/>
        <item m="1" x="2542"/>
        <item m="1" x="1566"/>
        <item m="1" x="1608"/>
        <item m="1" x="2098"/>
        <item m="1" x="385"/>
        <item m="1" x="2168"/>
        <item m="1" x="463"/>
        <item m="1" x="2239"/>
        <item m="1" x="540"/>
        <item m="1" x="1915"/>
        <item m="1" x="182"/>
        <item m="1" x="1972"/>
        <item m="1" x="3311"/>
        <item m="1" x="1273"/>
        <item x="30"/>
        <item m="1" x="3187"/>
        <item x="41"/>
        <item x="42"/>
        <item x="44"/>
        <item m="1" x="414"/>
        <item m="1" x="2589"/>
        <item m="1" x="788"/>
        <item m="1" x="2155"/>
        <item m="1" x="944"/>
        <item m="1" x="2337"/>
        <item m="1" x="286"/>
        <item m="1" x="2672"/>
        <item m="1" x="2900"/>
        <item m="1" x="2984"/>
        <item m="1" x="2745"/>
        <item m="1" x="1547"/>
        <item m="1" x="3300"/>
        <item m="1" x="3250"/>
        <item m="1" x="1151"/>
        <item m="1" x="2455"/>
        <item m="1" x="2078"/>
        <item m="1" x="2394"/>
        <item m="1" x="1166"/>
        <item m="1" x="3196"/>
        <item m="1" x="1622"/>
        <item m="1" x="499"/>
        <item m="1" x="1314"/>
        <item m="1" x="164"/>
        <item m="1" x="1439"/>
        <item m="1" x="1193"/>
        <item m="1" x="890"/>
        <item m="1" x="1235"/>
        <item m="1" x="293"/>
        <item m="1" x="268"/>
        <item m="1" x="2060"/>
        <item m="1" x="3181"/>
        <item x="50"/>
        <item m="1" x="241"/>
        <item m="1" x="589"/>
        <item m="1" x="1962"/>
        <item m="1" x="3239"/>
        <item m="1" x="3334"/>
        <item m="1" x="1133"/>
        <item m="1" x="784"/>
        <item m="1" x="583"/>
        <item m="1" x="1866"/>
        <item m="1" x="168"/>
        <item m="1" x="1839"/>
        <item m="1" x="1935"/>
        <item m="1" x="2311"/>
        <item m="1" x="1368"/>
        <item m="1" x="2108"/>
        <item m="1" x="1076"/>
        <item m="1" x="1366"/>
        <item m="1" x="1606"/>
        <item m="1" x="1607"/>
        <item m="1" x="668"/>
        <item m="1" x="2405"/>
        <item m="1" x="377"/>
        <item m="1" x="2818"/>
        <item m="1" x="2861"/>
        <item m="1" x="2501"/>
        <item m="1" x="3179"/>
        <item m="1" x="2648"/>
        <item m="1" x="1482"/>
        <item m="1" x="3185"/>
        <item m="1" x="2249"/>
        <item m="1" x="2023"/>
        <item m="1" x="452"/>
        <item m="1" x="140"/>
        <item m="1" x="77"/>
        <item m="1" x="1802"/>
        <item m="1" x="404"/>
        <item m="1" x="2118"/>
        <item m="1" x="2050"/>
        <item m="1" x="337"/>
        <item m="1" x="525"/>
        <item m="1" x="2154"/>
        <item m="1" x="2714"/>
        <item m="1" x="2543"/>
        <item m="1" x="2283"/>
        <item m="1" x="521"/>
        <item m="1" x="2009"/>
        <item m="1" x="2638"/>
        <item m="1" x="1534"/>
        <item m="1" x="2406"/>
        <item m="1" x="2221"/>
        <item m="1" x="1950"/>
        <item x="25"/>
        <item m="1" x="1898"/>
        <item x="37"/>
        <item x="51"/>
        <item m="1" x="2435"/>
        <item m="1" x="717"/>
        <item m="1" x="655"/>
        <item m="1" x="2386"/>
        <item m="1" x="2324"/>
        <item m="1" x="570"/>
        <item m="1" x="2265"/>
        <item m="1" x="492"/>
        <item m="1" x="2196"/>
        <item m="1" x="820"/>
        <item m="1" x="2479"/>
        <item m="1" x="768"/>
        <item m="1" x="2382"/>
        <item m="1" x="646"/>
        <item m="1" x="2318"/>
        <item m="1" x="560"/>
        <item m="1" x="2258"/>
        <item m="1" x="864"/>
        <item m="1" x="2528"/>
        <item m="1" x="818"/>
        <item m="1" x="2434"/>
        <item m="1" x="2478"/>
        <item m="1" x="764"/>
        <item m="1" x="2431"/>
        <item m="1" x="707"/>
        <item m="1" x="346"/>
        <item m="1" x="2395"/>
        <item m="1" x="1836"/>
        <item m="1" x="3287"/>
        <item m="1" x="225"/>
        <item m="1" x="967"/>
        <item m="1" x="1484"/>
        <item m="1" x="2585"/>
        <item m="1" x="2322"/>
        <item m="1" x="885"/>
        <item x="9"/>
        <item m="1" x="2577"/>
        <item m="1" x="2547"/>
        <item x="14"/>
        <item m="1" x="2649"/>
        <item m="1" x="609"/>
        <item m="1" x="1731"/>
        <item m="1" x="713"/>
        <item m="1" x="1149"/>
        <item m="1" x="3371"/>
        <item m="1" x="1758"/>
        <item m="1" x="358"/>
        <item m="1" x="2067"/>
        <item m="1" x="275"/>
        <item m="1" x="3237"/>
        <item m="1" x="1999"/>
        <item x="15"/>
        <item x="16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18">
        <item m="1" x="379"/>
        <item m="1" x="153"/>
        <item m="1" x="1144"/>
        <item m="1" x="819"/>
        <item m="1" x="1123"/>
        <item m="1" x="183"/>
        <item m="1" x="184"/>
        <item m="1" x="899"/>
        <item m="1" x="1011"/>
        <item m="1" x="1165"/>
        <item m="1" x="1446"/>
        <item m="1" x="1167"/>
        <item m="1" x="1494"/>
        <item m="1" x="1245"/>
        <item m="1" x="354"/>
        <item m="1" x="397"/>
        <item m="1" x="394"/>
        <item m="1" x="1081"/>
        <item m="1" x="1088"/>
        <item m="1" x="872"/>
        <item m="1" x="527"/>
        <item m="1" x="557"/>
        <item m="1" x="114"/>
        <item m="1" x="1705"/>
        <item x="0"/>
        <item m="1" x="1710"/>
        <item m="1" x="437"/>
        <item m="1" x="1010"/>
        <item x="5"/>
        <item m="1" x="1070"/>
        <item m="1" x="1007"/>
        <item m="1" x="1327"/>
        <item m="1" x="505"/>
        <item m="1" x="1247"/>
        <item m="1" x="857"/>
        <item x="7"/>
        <item m="1" x="910"/>
        <item m="1" x="1237"/>
        <item x="13"/>
        <item m="1" x="725"/>
        <item m="1" x="1506"/>
        <item x="8"/>
        <item x="9"/>
        <item m="1" x="1193"/>
        <item m="1" x="434"/>
        <item m="1" x="732"/>
        <item m="1" x="792"/>
        <item m="1" x="1511"/>
        <item m="1" x="1271"/>
        <item m="1" x="500"/>
        <item m="1" x="1087"/>
        <item m="1" x="1376"/>
        <item x="15"/>
        <item x="25"/>
        <item m="1" x="984"/>
        <item m="1" x="1115"/>
        <item x="26"/>
        <item x="27"/>
        <item x="28"/>
        <item m="1" x="588"/>
        <item m="1" x="374"/>
        <item m="1" x="478"/>
        <item m="1" x="430"/>
        <item m="1" x="229"/>
        <item m="1" x="1378"/>
        <item m="1" x="1568"/>
        <item m="1" x="927"/>
        <item m="1" x="1562"/>
        <item m="1" x="804"/>
        <item x="37"/>
        <item x="38"/>
        <item x="39"/>
        <item m="1" x="139"/>
        <item x="43"/>
        <item x="44"/>
        <item x="45"/>
        <item m="1" x="818"/>
        <item m="1" x="781"/>
        <item m="1" x="697"/>
        <item m="1" x="630"/>
        <item m="1" x="1588"/>
        <item m="1" x="591"/>
        <item m="1" x="1238"/>
        <item x="52"/>
        <item m="1" x="317"/>
        <item m="1" x="1368"/>
        <item m="1" x="467"/>
        <item x="60"/>
        <item m="1" x="1141"/>
        <item m="1" x="1675"/>
        <item m="1" x="120"/>
        <item m="1" x="1205"/>
        <item m="1" x="642"/>
        <item m="1" x="1516"/>
        <item m="1" x="1129"/>
        <item m="1" x="196"/>
        <item x="65"/>
        <item x="67"/>
        <item x="68"/>
        <item x="66"/>
        <item m="1" x="1423"/>
        <item m="1" x="499"/>
        <item m="1" x="436"/>
        <item m="1" x="1224"/>
        <item m="1" x="846"/>
        <item x="73"/>
        <item x="76"/>
        <item x="79"/>
        <item m="1" x="882"/>
        <item m="1" x="412"/>
        <item x="81"/>
        <item m="1" x="1064"/>
        <item x="82"/>
        <item x="84"/>
        <item m="1" x="974"/>
        <item x="85"/>
        <item m="1" x="746"/>
        <item x="88"/>
        <item m="1" x="1361"/>
        <item m="1" x="442"/>
        <item m="1" x="1665"/>
        <item x="91"/>
        <item x="87"/>
        <item x="93"/>
        <item m="1" x="1051"/>
        <item m="1" x="1113"/>
        <item m="1" x="1172"/>
        <item m="1" x="1401"/>
        <item x="102"/>
        <item x="103"/>
        <item x="104"/>
        <item x="105"/>
        <item x="106"/>
        <item x="107"/>
        <item x="108"/>
        <item m="1" x="1003"/>
        <item x="109"/>
        <item x="112"/>
        <item m="1" x="1672"/>
        <item m="1" x="1063"/>
        <item m="1" x="1394"/>
        <item m="1" x="130"/>
        <item m="1" x="428"/>
        <item m="1" x="1328"/>
        <item m="1" x="1532"/>
        <item m="1" x="988"/>
        <item m="1" x="242"/>
        <item m="1" x="1436"/>
        <item m="1" x="1005"/>
        <item m="1" x="415"/>
        <item m="1" x="1702"/>
        <item m="1" x="861"/>
        <item m="1" x="250"/>
        <item m="1" x="703"/>
        <item m="1" x="1266"/>
        <item m="1" x="1030"/>
        <item m="1" x="1590"/>
        <item m="1" x="1032"/>
        <item m="1" x="154"/>
        <item m="1" x="1125"/>
        <item m="1" x="1326"/>
        <item m="1" x="309"/>
        <item m="1" x="261"/>
        <item m="1" x="1692"/>
        <item m="1" x="364"/>
        <item m="1" x="1222"/>
        <item m="1" x="1117"/>
        <item m="1" x="315"/>
        <item m="1" x="1120"/>
        <item m="1" x="1671"/>
        <item m="1" x="1321"/>
        <item m="1" x="911"/>
        <item m="1" x="543"/>
        <item m="1" x="1211"/>
        <item m="1" x="1254"/>
        <item m="1" x="1119"/>
        <item m="1" x="827"/>
        <item m="1" x="1094"/>
        <item m="1" x="954"/>
        <item m="1" x="357"/>
        <item x="51"/>
        <item m="1" x="131"/>
        <item m="1" x="127"/>
        <item m="1" x="266"/>
        <item m="1" x="431"/>
        <item m="1" x="327"/>
        <item m="1" x="356"/>
        <item m="1" x="975"/>
        <item m="1" x="1404"/>
        <item x="61"/>
        <item m="1" x="282"/>
        <item m="1" x="1184"/>
        <item m="1" x="1631"/>
        <item m="1" x="1080"/>
        <item m="1" x="292"/>
        <item m="1" x="1149"/>
        <item m="1" x="1584"/>
        <item m="1" x="1601"/>
        <item m="1" x="1655"/>
        <item m="1" x="1282"/>
        <item m="1" x="1262"/>
        <item m="1" x="1305"/>
        <item m="1" x="157"/>
        <item m="1" x="1140"/>
        <item m="1" x="1192"/>
        <item m="1" x="119"/>
        <item m="1" x="1707"/>
        <item m="1" x="1258"/>
        <item m="1" x="1413"/>
        <item m="1" x="982"/>
        <item m="1" x="1150"/>
        <item m="1" x="1443"/>
        <item m="1" x="1543"/>
        <item m="1" x="472"/>
        <item m="1" x="1531"/>
        <item m="1" x="426"/>
        <item m="1" x="236"/>
        <item m="1" x="813"/>
        <item m="1" x="528"/>
        <item m="1" x="487"/>
        <item m="1" x="558"/>
        <item m="1" x="1483"/>
        <item m="1" x="489"/>
        <item m="1" x="597"/>
        <item m="1" x="834"/>
        <item m="1" x="955"/>
        <item m="1" x="622"/>
        <item m="1" x="213"/>
        <item m="1" x="343"/>
        <item m="1" x="1663"/>
        <item m="1" x="1110"/>
        <item m="1" x="116"/>
        <item m="1" x="290"/>
        <item m="1" x="609"/>
        <item m="1" x="1322"/>
        <item m="1" x="1210"/>
        <item m="1" x="577"/>
        <item m="1" x="918"/>
        <item m="1" x="826"/>
        <item m="1" x="1128"/>
        <item m="1" x="884"/>
        <item m="1" x="748"/>
        <item m="1" x="612"/>
        <item m="1" x="1323"/>
        <item m="1" x="1339"/>
        <item m="1" x="1202"/>
        <item m="1" x="1654"/>
        <item m="1" x="1677"/>
        <item m="1" x="1595"/>
        <item m="1" x="1478"/>
        <item m="1" x="1459"/>
        <item m="1" x="1076"/>
        <item m="1" x="549"/>
        <item m="1" x="524"/>
        <item m="1" x="1138"/>
        <item m="1" x="1420"/>
        <item m="1" x="1407"/>
        <item m="1" x="1509"/>
        <item m="1" x="295"/>
        <item m="1" x="466"/>
        <item m="1" x="575"/>
        <item m="1" x="1015"/>
        <item m="1" x="928"/>
        <item m="1" x="1399"/>
        <item m="1" x="432"/>
        <item m="1" x="1160"/>
        <item m="1" x="561"/>
        <item m="1" x="329"/>
        <item m="1" x="1314"/>
        <item m="1" x="742"/>
        <item m="1" x="1661"/>
        <item m="1" x="1676"/>
        <item m="1" x="159"/>
        <item m="1" x="503"/>
        <item m="1" x="1429"/>
        <item x="11"/>
        <item m="1" x="494"/>
        <item m="1" x="1428"/>
        <item m="1" x="824"/>
        <item m="1" x="1575"/>
        <item m="1" x="269"/>
        <item m="1" x="408"/>
        <item m="1" x="198"/>
        <item m="1" x="314"/>
        <item m="1" x="312"/>
        <item m="1" x="1624"/>
        <item m="1" x="814"/>
        <item m="1" x="1701"/>
        <item m="1" x="331"/>
        <item m="1" x="868"/>
        <item m="1" x="156"/>
        <item m="1" x="340"/>
        <item m="1" x="1126"/>
        <item m="1" x="495"/>
        <item m="1" x="1000"/>
        <item m="1" x="222"/>
        <item m="1" x="504"/>
        <item m="1" x="448"/>
        <item m="1" x="1109"/>
        <item m="1" x="632"/>
        <item m="1" x="619"/>
        <item m="1" x="665"/>
        <item m="1" x="1714"/>
        <item m="1" x="512"/>
        <item m="1" x="1434"/>
        <item m="1" x="691"/>
        <item m="1" x="1617"/>
        <item x="4"/>
        <item m="1" x="174"/>
        <item m="1" x="199"/>
        <item m="1" x="316"/>
        <item m="1" x="401"/>
        <item m="1" x="207"/>
        <item m="1" x="576"/>
        <item m="1" x="710"/>
        <item m="1" x="1488"/>
        <item m="1" x="1566"/>
        <item m="1" x="1458"/>
        <item m="1" x="672"/>
        <item m="1" x="438"/>
        <item m="1" x="342"/>
        <item m="1" x="863"/>
        <item m="1" x="867"/>
        <item m="1" x="1252"/>
        <item m="1" x="1272"/>
        <item m="1" x="1139"/>
        <item m="1" x="602"/>
        <item m="1" x="1618"/>
        <item m="1" x="1336"/>
        <item m="1" x="1565"/>
        <item m="1" x="568"/>
        <item m="1" x="1652"/>
        <item m="1" x="707"/>
        <item m="1" x="373"/>
        <item m="1" x="661"/>
        <item m="1" x="1657"/>
        <item m="1" x="727"/>
        <item m="1" x="1372"/>
        <item m="1" x="1053"/>
        <item m="1" x="713"/>
        <item m="1" x="1079"/>
        <item m="1" x="1439"/>
        <item m="1" x="1104"/>
        <item m="1" x="1162"/>
        <item m="1" x="852"/>
        <item m="1" x="626"/>
        <item m="1" x="388"/>
        <item m="1" x="1493"/>
        <item m="1" x="501"/>
        <item m="1" x="1419"/>
        <item m="1" x="507"/>
        <item m="1" x="636"/>
        <item m="1" x="1693"/>
        <item m="1" x="175"/>
        <item m="1" x="994"/>
        <item m="1" x="1512"/>
        <item m="1" x="968"/>
        <item m="1" x="447"/>
        <item m="1" x="1548"/>
        <item m="1" x="1048"/>
        <item m="1" x="1711"/>
        <item m="1" x="1045"/>
        <item m="1" x="492"/>
        <item m="1" x="1103"/>
        <item m="1" x="1504"/>
        <item m="1" x="241"/>
        <item m="1" x="137"/>
        <item m="1" x="1170"/>
        <item m="1" x="268"/>
        <item m="1" x="708"/>
        <item m="1" x="544"/>
        <item m="1" x="530"/>
        <item m="1" x="370"/>
        <item m="1" x="1213"/>
        <item m="1" x="321"/>
        <item m="1" x="384"/>
        <item m="1" x="429"/>
        <item m="1" x="1312"/>
        <item m="1" x="1075"/>
        <item m="1" x="1355"/>
        <item m="1" x="1621"/>
        <item x="63"/>
        <item m="1" x="427"/>
        <item m="1" x="685"/>
        <item m="1" x="211"/>
        <item m="1" x="843"/>
        <item x="96"/>
        <item m="1" x="231"/>
        <item m="1" x="1717"/>
        <item m="1" x="1484"/>
        <item x="97"/>
        <item x="98"/>
        <item x="99"/>
        <item x="100"/>
        <item m="1" x="1392"/>
        <item m="1" x="369"/>
        <item m="1" x="177"/>
        <item m="1" x="1495"/>
        <item m="1" x="785"/>
        <item m="1" x="204"/>
        <item m="1" x="407"/>
        <item m="1" x="1499"/>
        <item m="1" x="132"/>
        <item m="1" x="1215"/>
        <item m="1" x="1526"/>
        <item m="1" x="993"/>
        <item m="1" x="757"/>
        <item m="1" x="1303"/>
        <item m="1" x="1153"/>
        <item m="1" x="659"/>
        <item m="1" x="854"/>
        <item m="1" x="1233"/>
        <item m="1" x="190"/>
        <item m="1" x="283"/>
        <item m="1" x="1046"/>
        <item m="1" x="227"/>
        <item m="1" x="670"/>
        <item m="1" x="186"/>
        <item m="1" x="371"/>
        <item m="1" x="197"/>
        <item m="1" x="1628"/>
        <item m="1" x="1573"/>
        <item m="1" x="1366"/>
        <item m="1" x="1108"/>
        <item m="1" x="1055"/>
        <item m="1" x="311"/>
        <item m="1" x="1285"/>
        <item m="1" x="606"/>
        <item m="1" x="1451"/>
        <item m="1" x="1564"/>
        <item m="1" x="260"/>
        <item m="1" x="802"/>
        <item m="1" x="1019"/>
        <item m="1" x="1641"/>
        <item m="1" x="932"/>
        <item m="1" x="1034"/>
        <item m="1" x="1062"/>
        <item m="1" x="1229"/>
        <item m="1" x="1040"/>
        <item m="1" x="264"/>
        <item m="1" x="848"/>
        <item m="1" x="1173"/>
        <item m="1" x="454"/>
        <item m="1" x="424"/>
        <item m="1" x="305"/>
        <item m="1" x="1470"/>
        <item m="1" x="579"/>
        <item m="1" x="1445"/>
        <item m="1" x="1716"/>
        <item m="1" x="845"/>
        <item m="1" x="320"/>
        <item m="1" x="540"/>
        <item m="1" x="1636"/>
        <item x="21"/>
        <item x="19"/>
        <item m="1" x="291"/>
        <item m="1" x="1092"/>
        <item x="54"/>
        <item m="1" x="385"/>
        <item m="1" x="1381"/>
        <item m="1" x="1536"/>
        <item m="1" x="767"/>
        <item m="1" x="1555"/>
        <item m="1" x="1177"/>
        <item m="1" x="1563"/>
        <item m="1" x="1313"/>
        <item m="1" x="1329"/>
        <item m="1" x="1331"/>
        <item m="1" x="1523"/>
        <item m="1" x="1274"/>
        <item m="1" x="778"/>
        <item m="1" x="1574"/>
        <item m="1" x="1514"/>
        <item m="1" x="1058"/>
        <item m="1" x="149"/>
        <item m="1" x="1335"/>
        <item m="1" x="581"/>
        <item m="1" x="1560"/>
        <item m="1" x="1424"/>
        <item m="1" x="1594"/>
        <item m="1" x="1204"/>
        <item m="1" x="535"/>
        <item m="1" x="849"/>
        <item m="1" x="712"/>
        <item m="1" x="208"/>
        <item m="1" x="296"/>
        <item m="1" x="482"/>
        <item m="1" x="1134"/>
        <item m="1" x="452"/>
        <item m="1" x="318"/>
        <item m="1" x="1370"/>
        <item m="1" x="656"/>
        <item m="1" x="560"/>
        <item m="1" x="493"/>
        <item m="1" x="794"/>
        <item m="1" x="564"/>
        <item m="1" x="1248"/>
        <item m="1" x="423"/>
        <item m="1" x="1008"/>
        <item m="1" x="952"/>
        <item m="1" x="515"/>
        <item m="1" x="449"/>
        <item m="1" x="294"/>
        <item m="1" x="355"/>
        <item m="1" x="347"/>
        <item m="1" x="1569"/>
        <item m="1" x="888"/>
        <item m="1" x="155"/>
        <item m="1" x="200"/>
        <item m="1" x="243"/>
        <item m="1" x="1666"/>
        <item m="1" x="1279"/>
        <item m="1" x="336"/>
        <item m="1" x="862"/>
        <item m="1" x="518"/>
        <item m="1" x="267"/>
        <item m="1" x="998"/>
        <item m="1" x="497"/>
        <item m="1" x="1025"/>
        <item m="1" x="667"/>
        <item m="1" x="537"/>
        <item m="1" x="1014"/>
        <item m="1" x="971"/>
        <item m="1" x="419"/>
        <item m="1" x="996"/>
        <item m="1" x="1306"/>
        <item m="1" x="247"/>
        <item m="1" x="461"/>
        <item m="1" x="220"/>
        <item m="1" x="258"/>
        <item m="1" x="1408"/>
        <item m="1" x="715"/>
        <item m="1" x="743"/>
        <item m="1" x="1473"/>
        <item m="1" x="1447"/>
        <item m="1" x="486"/>
        <item m="1" x="1389"/>
        <item m="1" x="1510"/>
        <item m="1" x="387"/>
        <item m="1" x="1437"/>
        <item m="1" x="1482"/>
        <item m="1" x="856"/>
        <item m="1" x="526"/>
        <item m="1" x="618"/>
        <item m="1" x="1623"/>
        <item m="1" x="747"/>
        <item m="1" x="182"/>
        <item m="1" x="1044"/>
        <item m="1" x="744"/>
        <item m="1" x="413"/>
        <item m="1" x="633"/>
        <item m="1" x="1209"/>
        <item m="1" x="1200"/>
        <item m="1" x="676"/>
        <item m="1" x="683"/>
        <item m="1" x="648"/>
        <item m="1" x="514"/>
        <item m="1" x="376"/>
        <item m="1" x="702"/>
        <item m="1" x="1102"/>
        <item m="1" x="1635"/>
        <item m="1" x="916"/>
        <item m="1" x="1385"/>
        <item m="1" x="1475"/>
        <item m="1" x="784"/>
        <item m="1" x="1316"/>
        <item m="1" x="1542"/>
        <item m="1" x="844"/>
        <item m="1" x="462"/>
        <item m="1" x="1461"/>
        <item m="1" x="1284"/>
        <item m="1" x="1380"/>
        <item m="1" x="1557"/>
        <item m="1" x="964"/>
        <item m="1" x="1362"/>
        <item m="1" x="1561"/>
        <item m="1" x="1343"/>
        <item m="1" x="1198"/>
        <item m="1" x="922"/>
        <item m="1" x="1387"/>
        <item m="1" x="1270"/>
        <item m="1" x="253"/>
        <item m="1" x="1021"/>
        <item m="1" x="1159"/>
        <item m="1" x="1586"/>
        <item m="1" x="169"/>
        <item m="1" x="721"/>
        <item m="1" x="1243"/>
        <item m="1" x="425"/>
        <item m="1" x="129"/>
        <item m="1" x="1435"/>
        <item m="1" x="404"/>
        <item m="1" x="816"/>
        <item m="1" x="811"/>
        <item m="1" x="1538"/>
        <item m="1" x="894"/>
        <item m="1" x="874"/>
        <item m="1" x="1589"/>
        <item m="1" x="1660"/>
        <item m="1" x="1454"/>
        <item m="1" x="383"/>
        <item m="1" x="375"/>
        <item m="1" x="192"/>
        <item m="1" x="1161"/>
        <item m="1" x="570"/>
        <item m="1" x="675"/>
        <item m="1" x="1433"/>
        <item m="1" x="531"/>
        <item m="1" x="1689"/>
        <item m="1" x="218"/>
        <item m="1" x="1107"/>
        <item m="1" x="1043"/>
        <item m="1" x="1608"/>
        <item m="1" x="1017"/>
        <item m="1" x="594"/>
        <item m="1" x="782"/>
        <item m="1" x="1155"/>
        <item m="1" x="671"/>
        <item m="1" x="1216"/>
        <item m="1" x="210"/>
        <item m="1" x="353"/>
        <item m="1" x="147"/>
        <item m="1" x="1418"/>
        <item m="1" x="692"/>
        <item m="1" x="902"/>
        <item m="1" x="337"/>
        <item m="1" x="206"/>
        <item m="1" x="1067"/>
        <item m="1" x="141"/>
        <item m="1" x="1550"/>
        <item m="1" x="326"/>
        <item m="1" x="573"/>
        <item m="1" x="706"/>
        <item m="1" x="617"/>
        <item m="1" x="194"/>
        <item m="1" x="1207"/>
        <item m="1" x="1679"/>
        <item m="1" x="521"/>
        <item m="1" x="873"/>
        <item m="1" x="1074"/>
        <item m="1" x="709"/>
        <item m="1" x="1646"/>
        <item m="1" x="1650"/>
        <item m="1" x="765"/>
        <item m="1" x="875"/>
        <item x="62"/>
        <item m="1" x="887"/>
        <item m="1" x="1261"/>
        <item m="1" x="669"/>
        <item m="1" x="716"/>
        <item m="1" x="985"/>
        <item m="1" x="386"/>
        <item m="1" x="947"/>
        <item m="1" x="1127"/>
        <item m="1" x="498"/>
        <item m="1" x="151"/>
        <item m="1" x="764"/>
        <item m="1" x="718"/>
        <item m="1" x="1465"/>
        <item m="1" x="999"/>
        <item m="1" x="1145"/>
        <item m="1" x="970"/>
        <item m="1" x="837"/>
        <item m="1" x="1324"/>
        <item m="1" x="572"/>
        <item m="1" x="1093"/>
        <item m="1" x="1239"/>
        <item m="1" x="807"/>
        <item m="1" x="322"/>
        <item m="1" x="1166"/>
        <item m="1" x="734"/>
        <item m="1" x="1609"/>
        <item m="1" x="1351"/>
        <item m="1" x="762"/>
        <item m="1" x="1325"/>
        <item m="1" x="1299"/>
        <item m="1" x="896"/>
        <item m="1" x="300"/>
        <item m="1" x="679"/>
        <item m="1" x="359"/>
        <item m="1" x="217"/>
        <item m="1" x="1698"/>
        <item m="1" x="1231"/>
        <item m="1" x="601"/>
        <item m="1" x="1592"/>
        <item m="1" x="280"/>
        <item m="1" x="989"/>
        <item m="1" x="285"/>
        <item m="1" x="1490"/>
        <item m="1" x="1187"/>
        <item m="1" x="246"/>
        <item m="1" x="1571"/>
        <item m="1" x="906"/>
        <item m="1" x="1577"/>
        <item m="1" x="662"/>
        <item m="1" x="542"/>
        <item m="1" x="1620"/>
        <item m="1" x="978"/>
        <item m="1" x="1114"/>
        <item m="1" x="455"/>
        <item m="1" x="248"/>
        <item m="1" x="1240"/>
        <item m="1" x="460"/>
        <item m="1" x="1576"/>
        <item m="1" x="711"/>
        <item m="1" x="456"/>
        <item m="1" x="232"/>
        <item m="1" x="225"/>
        <item m="1" x="1551"/>
        <item m="1" x="1704"/>
        <item m="1" x="840"/>
        <item m="1" x="1188"/>
        <item m="1" x="509"/>
        <item m="1" x="393"/>
        <item m="1" x="914"/>
        <item m="1" x="1217"/>
        <item m="1" x="1625"/>
        <item m="1" x="1037"/>
        <item m="1" x="1659"/>
        <item m="1" x="1431"/>
        <item x="111"/>
        <item m="1" x="1195"/>
        <item m="1" x="569"/>
        <item m="1" x="677"/>
        <item m="1" x="1405"/>
        <item m="1" x="823"/>
        <item m="1" x="1375"/>
        <item m="1" x="695"/>
        <item m="1" x="491"/>
        <item m="1" x="629"/>
        <item m="1" x="791"/>
        <item m="1" x="740"/>
        <item m="1" x="904"/>
        <item m="1" x="1286"/>
        <item m="1" x="165"/>
        <item m="1" x="738"/>
        <item m="1" x="1346"/>
        <item m="1" x="995"/>
        <item m="1" x="790"/>
        <item m="1" x="361"/>
        <item m="1" x="1481"/>
        <item m="1" x="938"/>
        <item m="1" x="1432"/>
        <item m="1" x="1472"/>
        <item m="1" x="1491"/>
        <item m="1" x="1691"/>
        <item m="1" x="1027"/>
        <item m="1" x="551"/>
        <item m="1" x="1004"/>
        <item m="1" x="1517"/>
        <item m="1" x="889"/>
        <item m="1" x="803"/>
        <item m="1" x="262"/>
        <item m="1" x="1176"/>
        <item m="1" x="235"/>
        <item m="1" x="1330"/>
        <item m="1" x="1001"/>
        <item m="1" x="205"/>
        <item m="1" x="866"/>
        <item m="1" x="847"/>
        <item m="1" x="892"/>
        <item m="1" x="483"/>
        <item m="1" x="1682"/>
        <item m="1" x="640"/>
        <item m="1" x="226"/>
        <item m="1" x="1066"/>
        <item m="1" x="244"/>
        <item m="1" x="614"/>
        <item m="1" x="808"/>
        <item m="1" x="830"/>
        <item m="1" x="1061"/>
        <item m="1" x="625"/>
        <item m="1" x="775"/>
        <item m="1" x="585"/>
        <item m="1" x="523"/>
        <item m="1" x="1065"/>
        <item m="1" x="639"/>
        <item m="1" x="1377"/>
        <item m="1" x="1662"/>
        <item m="1" x="1016"/>
        <item m="1" x="1633"/>
        <item m="1" x="1605"/>
        <item m="1" x="939"/>
        <item m="1" x="1143"/>
        <item m="1" x="1042"/>
        <item m="1" x="800"/>
        <item m="1" x="162"/>
        <item m="1" x="1448"/>
        <item m="1" x="1639"/>
        <item m="1" x="944"/>
        <item m="1" x="654"/>
        <item m="1" x="1649"/>
        <item m="1" x="144"/>
        <item m="1" x="1522"/>
        <item m="1" x="538"/>
        <item m="1" x="1293"/>
        <item m="1" x="554"/>
        <item m="1" x="473"/>
        <item m="1" x="459"/>
        <item m="1" x="850"/>
        <item m="1" x="1201"/>
        <item m="1" x="201"/>
        <item m="1" x="122"/>
        <item m="1" x="1250"/>
        <item m="1" x="133"/>
        <item m="1" x="1122"/>
        <item m="1" x="140"/>
        <item m="1" x="508"/>
        <item m="1" x="541"/>
        <item m="1" x="739"/>
        <item m="1" x="1277"/>
        <item m="1" x="1267"/>
        <item m="1" x="1307"/>
        <item m="1" x="289"/>
        <item m="1" x="1530"/>
        <item m="1" x="279"/>
        <item m="1" x="1260"/>
        <item m="1" x="257"/>
        <item m="1" x="160"/>
        <item m="1" x="749"/>
        <item m="1" x="915"/>
        <item m="1" x="113"/>
        <item m="1" x="203"/>
        <item m="1" x="1600"/>
        <item m="1" x="1059"/>
        <item m="1" x="1379"/>
        <item m="1" x="1174"/>
        <item m="1" x="1013"/>
        <item m="1" x="1220"/>
        <item m="1" x="1712"/>
        <item m="1" x="338"/>
        <item m="1" x="1596"/>
        <item m="1" x="1148"/>
        <item m="1" x="399"/>
        <item m="1" x="821"/>
        <item m="1" x="522"/>
        <item m="1" x="1425"/>
        <item m="1" x="741"/>
        <item m="1" x="480"/>
        <item m="1" x="1024"/>
        <item m="1" x="936"/>
        <item m="1" x="1645"/>
        <item m="1" x="1412"/>
        <item m="1" x="1259"/>
        <item m="1" x="646"/>
        <item m="1" x="368"/>
        <item m="1" x="1524"/>
        <item m="1" x="287"/>
        <item m="1" x="446"/>
        <item m="1" x="414"/>
        <item m="1" x="956"/>
        <item m="1" x="406"/>
        <item m="1" x="1373"/>
        <item m="1" x="571"/>
        <item m="1" x="992"/>
        <item m="1" x="1199"/>
        <item m="1" x="136"/>
        <item m="1" x="836"/>
        <item m="1" x="1275"/>
        <item m="1" x="328"/>
        <item m="1" x="770"/>
        <item m="1" x="1357"/>
        <item m="1" x="841"/>
        <item m="1" x="1383"/>
        <item m="1" x="1365"/>
        <item m="1" x="1386"/>
        <item m="1" x="1256"/>
        <item m="1" x="647"/>
        <item m="1" x="333"/>
        <item m="1" x="653"/>
        <item m="1" x="553"/>
        <item m="1" x="1009"/>
        <item m="1" x="729"/>
        <item m="1" x="135"/>
        <item m="1" x="855"/>
        <item m="1" x="596"/>
        <item m="1" x="1278"/>
        <item m="1" x="776"/>
        <item m="1" x="607"/>
        <item m="1" x="1235"/>
        <item m="1" x="949"/>
        <item m="1" x="937"/>
        <item m="1" x="1006"/>
        <item m="1" x="450"/>
        <item m="1" x="1409"/>
        <item m="1" x="1410"/>
        <item m="1" x="477"/>
        <item m="1" x="1685"/>
        <item m="1" x="274"/>
        <item m="1" x="365"/>
        <item m="1" x="395"/>
        <item m="1" x="143"/>
        <item m="1" x="255"/>
        <item m="1" x="812"/>
        <item m="1" x="1033"/>
        <item m="1" x="1549"/>
        <item m="1" x="1130"/>
        <item m="1" x="942"/>
        <item m="1" x="1255"/>
        <item m="1" x="1050"/>
        <item m="1" x="152"/>
        <item m="1" x="484"/>
        <item m="1" x="324"/>
        <item m="1" x="1599"/>
        <item m="1" x="838"/>
        <item m="1" x="392"/>
        <item m="1" x="1544"/>
        <item m="1" x="1694"/>
        <item m="1" x="1073"/>
        <item m="1" x="166"/>
        <item m="1" x="881"/>
        <item m="1" x="1099"/>
        <item m="1" x="786"/>
        <item m="1" x="754"/>
        <item m="1" x="1371"/>
        <item m="1" x="1503"/>
        <item m="1" x="1591"/>
        <item m="1" x="1515"/>
        <item m="1" x="930"/>
        <item m="1" x="620"/>
        <item m="1" x="510"/>
        <item m="1" x="1450"/>
        <item m="1" x="128"/>
        <item m="1" x="284"/>
        <item m="1" x="891"/>
        <item m="1" x="1309"/>
        <item m="1" x="457"/>
        <item m="1" x="1082"/>
        <item m="1" x="1632"/>
        <item m="1" x="1169"/>
        <item m="1" x="372"/>
        <item m="1" x="1163"/>
        <item m="1" x="1360"/>
        <item m="1" x="1137"/>
        <item m="1" x="1442"/>
        <item m="1" x="900"/>
        <item m="1" x="1485"/>
        <item m="1" x="608"/>
        <item m="1" x="1291"/>
        <item m="1" x="1281"/>
        <item m="1" x="705"/>
        <item m="1" x="976"/>
        <item m="1" x="931"/>
        <item m="1" x="1060"/>
        <item m="1" x="1713"/>
        <item m="1" x="613"/>
        <item m="1" x="271"/>
        <item m="1" x="470"/>
        <item m="1" x="946"/>
        <item m="1" x="1669"/>
        <item m="1" x="623"/>
        <item m="1" x="445"/>
        <item m="1" x="534"/>
        <item m="1" x="1232"/>
        <item m="1" x="980"/>
        <item m="1" x="1585"/>
        <item m="1" x="115"/>
        <item m="1" x="616"/>
        <item m="1" x="1315"/>
        <item m="1" x="643"/>
        <item m="1" x="302"/>
        <item m="1" x="239"/>
        <item m="1" x="926"/>
        <item m="1" x="469"/>
        <item m="1" x="1582"/>
        <item m="1" x="464"/>
        <item m="1" x="1056"/>
        <item m="1" x="745"/>
        <item m="1" x="1263"/>
        <item m="1" x="578"/>
        <item m="1" x="693"/>
        <item m="1" x="903"/>
        <item m="1" x="215"/>
        <item m="1" x="481"/>
        <item x="80"/>
        <item m="1" x="1341"/>
        <item m="1" x="516"/>
        <item m="1" x="1116"/>
        <item m="1" x="1158"/>
        <item m="1" x="1096"/>
        <item m="1" x="1670"/>
        <item m="1" x="536"/>
        <item m="1" x="517"/>
        <item m="1" x="319"/>
        <item m="1" x="1603"/>
        <item m="1" x="583"/>
        <item m="1" x="1353"/>
        <item m="1" x="768"/>
        <item m="1" x="1356"/>
        <item m="1" x="1333"/>
        <item m="1" x="951"/>
        <item m="1" x="1396"/>
        <item m="1" x="933"/>
        <item m="1" x="796"/>
        <item m="1" x="898"/>
        <item m="1" x="1593"/>
        <item m="1" x="1168"/>
        <item m="1" x="1156"/>
        <item m="1" x="839"/>
        <item m="1" x="638"/>
        <item m="1" x="1540"/>
        <item m="1" x="281"/>
        <item m="1" x="451"/>
        <item m="1" x="167"/>
        <item m="1" x="1505"/>
        <item m="1" x="565"/>
        <item m="1" x="1673"/>
        <item m="1" x="339"/>
        <item m="1" x="1190"/>
        <item x="20"/>
        <item m="1" x="1086"/>
        <item m="1" x="663"/>
        <item m="1" x="1403"/>
        <item m="1" x="286"/>
        <item m="1" x="1180"/>
        <item m="1" x="1681"/>
        <item m="1" x="1397"/>
        <item m="1" x="1241"/>
        <item m="1" x="171"/>
        <item m="1" x="627"/>
        <item m="1" x="1131"/>
        <item m="1" x="1280"/>
        <item m="1" x="410"/>
        <item m="1" x="1136"/>
        <item m="1" x="330"/>
        <item m="1" x="332"/>
        <item m="1" x="1297"/>
        <item m="1" x="1214"/>
        <item m="1" x="637"/>
        <item m="1" x="1023"/>
        <item m="1" x="545"/>
        <item m="1" x="1703"/>
        <item m="1" x="777"/>
        <item m="1" x="1197"/>
        <item m="1" x="1124"/>
        <item m="1" x="805"/>
        <item m="1" x="1338"/>
        <item m="1" x="1696"/>
        <item m="1" x="278"/>
        <item m="1" x="202"/>
        <item m="1" x="600"/>
        <item m="1" x="1395"/>
        <item m="1" x="1347"/>
        <item m="1" x="1041"/>
        <item m="1" x="1012"/>
        <item m="1" x="1674"/>
        <item m="1" x="1020"/>
        <item m="1" x="126"/>
        <item m="1" x="352"/>
        <item m="1" x="678"/>
        <item m="1" x="660"/>
        <item m="1" x="550"/>
        <item m="1" x="366"/>
        <item m="1" x="832"/>
        <item m="1" x="1147"/>
        <item m="1" x="381"/>
        <item m="1" x="1615"/>
        <item m="1" x="1152"/>
        <item m="1" x="1462"/>
        <item m="1" x="1430"/>
        <item m="1" x="753"/>
        <item m="1" x="172"/>
        <item m="1" x="1541"/>
        <item m="1" x="496"/>
        <item m="1" x="1638"/>
        <item m="1" x="1706"/>
        <item m="1" x="1191"/>
        <item m="1" x="1452"/>
        <item m="1" x="890"/>
        <item m="1" x="240"/>
        <item m="1" x="245"/>
        <item m="1" x="1185"/>
        <item m="1" x="750"/>
        <item m="1" x="1111"/>
        <item m="1" x="905"/>
        <item m="1" x="1629"/>
        <item m="1" x="181"/>
        <item m="1" x="256"/>
        <item m="1" x="822"/>
        <item m="1" x="1678"/>
        <item x="29"/>
        <item m="1" x="1317"/>
        <item m="1" x="390"/>
        <item m="1" x="1298"/>
        <item m="1" x="799"/>
        <item m="1" x="696"/>
        <item m="1" x="1221"/>
        <item m="1" x="1342"/>
        <item m="1" x="118"/>
        <item m="1" x="1583"/>
        <item m="1" x="117"/>
        <item m="1" x="474"/>
        <item m="1" x="809"/>
        <item m="1" x="961"/>
        <item m="1" x="1476"/>
        <item m="1" x="1189"/>
        <item m="1" x="698"/>
        <item m="1" x="1464"/>
        <item m="1" x="1547"/>
        <item m="1" x="1264"/>
        <item m="1" x="234"/>
        <item m="1" x="237"/>
        <item m="1" x="293"/>
        <item m="1" x="1427"/>
        <item m="1" x="249"/>
        <item m="1" x="439"/>
        <item m="1" x="547"/>
        <item m="1" x="1035"/>
        <item m="1" x="972"/>
        <item m="1" x="1249"/>
        <item m="1" x="1257"/>
        <item m="1" x="1667"/>
        <item m="1" x="567"/>
        <item m="1" x="298"/>
        <item m="1" x="963"/>
        <item m="1" x="759"/>
        <item m="1" x="864"/>
        <item m="1" x="833"/>
        <item x="49"/>
        <item m="1" x="1684"/>
        <item m="1" x="301"/>
        <item m="1" x="214"/>
        <item m="1" x="965"/>
        <item m="1" x="1644"/>
        <item m="1" x="908"/>
        <item m="1" x="1492"/>
        <item m="1" x="1570"/>
        <item m="1" x="1634"/>
        <item m="1" x="1072"/>
        <item m="1" x="502"/>
        <item m="1" x="1558"/>
        <item m="1" x="259"/>
        <item m="1" x="417"/>
        <item m="1" x="212"/>
        <item m="1" x="1057"/>
        <item m="1" x="962"/>
        <item m="1" x="986"/>
        <item m="1" x="950"/>
        <item m="1" x="351"/>
        <item m="1" x="1479"/>
        <item m="1" x="953"/>
        <item m="1" x="398"/>
        <item m="1" x="1234"/>
        <item m="1" x="787"/>
        <item m="1" x="1480"/>
        <item m="1" x="1101"/>
        <item m="1" x="163"/>
        <item m="1" x="1402"/>
        <item m="1" x="1498"/>
        <item m="1" x="877"/>
        <item m="1" x="350"/>
        <item m="1" x="465"/>
        <item m="1" x="358"/>
        <item m="1" x="125"/>
        <item m="1" x="1388"/>
        <item m="1" x="1288"/>
        <item m="1" x="1477"/>
        <item m="1" x="345"/>
        <item m="1" x="270"/>
        <item m="1" x="1225"/>
        <item m="1" x="185"/>
        <item m="1" x="886"/>
        <item m="1" x="574"/>
        <item m="1" x="435"/>
        <item m="1" x="1497"/>
        <item m="1" x="150"/>
        <item m="1" x="761"/>
        <item m="1" x="1390"/>
        <item m="1" x="828"/>
        <item m="1" x="831"/>
        <item m="1" x="876"/>
        <item m="1" x="879"/>
        <item m="1" x="1426"/>
        <item m="1" x="1642"/>
        <item m="1" x="658"/>
        <item m="1" x="680"/>
        <item m="1" x="1212"/>
        <item m="1" x="1112"/>
        <item m="1" x="924"/>
        <item m="1" x="1658"/>
        <item m="1" x="1414"/>
        <item m="1" x="731"/>
        <item m="1" x="1350"/>
        <item m="1" x="1384"/>
        <item m="1" x="624"/>
        <item m="1" x="1268"/>
        <item m="1" x="1296"/>
        <item m="1" x="1417"/>
        <item m="1" x="751"/>
        <item m="1" x="142"/>
        <item m="1" x="610"/>
        <item m="1" x="418"/>
        <item m="1" x="400"/>
        <item m="1" x="170"/>
        <item m="1" x="1084"/>
        <item m="1" x="221"/>
        <item m="1" x="1597"/>
        <item m="1" x="1319"/>
        <item m="1" x="307"/>
        <item m="1" x="138"/>
        <item m="1" x="795"/>
        <item m="1" x="979"/>
        <item x="10"/>
        <item m="1" x="1521"/>
        <item x="74"/>
        <item m="1" x="885"/>
        <item m="1" x="724"/>
        <item m="1" x="563"/>
        <item x="101"/>
        <item m="1" x="1680"/>
        <item m="1" x="1553"/>
        <item m="1" x="1089"/>
        <item m="1" x="219"/>
        <item m="1" x="1580"/>
        <item x="30"/>
        <item m="1" x="1520"/>
        <item m="1" x="604"/>
        <item m="1" x="878"/>
        <item m="1" x="476"/>
        <item m="1" x="1358"/>
        <item m="1" x="829"/>
        <item m="1" x="1242"/>
        <item m="1" x="1142"/>
        <item m="1" x="1304"/>
        <item m="1" x="1486"/>
        <item x="75"/>
        <item m="1" x="1598"/>
        <item m="1" x="1469"/>
        <item x="89"/>
        <item m="1" x="945"/>
        <item m="1" x="641"/>
        <item m="1" x="664"/>
        <item m="1" x="957"/>
        <item m="1" x="1294"/>
        <item m="1" x="548"/>
        <item m="1" x="1318"/>
        <item m="1" x="599"/>
        <item m="1" x="587"/>
        <item m="1" x="1175"/>
        <item m="1" x="593"/>
        <item m="1" x="582"/>
        <item m="1" x="1487"/>
        <item m="1" x="644"/>
        <item m="1" x="1071"/>
        <item m="1" x="299"/>
        <item m="1" x="1236"/>
        <item m="1" x="1467"/>
        <item m="1" x="511"/>
        <item m="1" x="797"/>
        <item m="1" x="471"/>
        <item m="1" x="405"/>
        <item m="1" x="1292"/>
        <item m="1" x="1194"/>
        <item x="50"/>
        <item m="1" x="1287"/>
        <item m="1" x="533"/>
        <item m="1" x="1581"/>
        <item m="1" x="1463"/>
        <item m="1" x="688"/>
        <item m="1" x="348"/>
        <item m="1" x="919"/>
        <item m="1" x="923"/>
        <item m="1" x="1289"/>
        <item x="77"/>
        <item m="1" x="1244"/>
        <item m="1" x="1091"/>
        <item m="1" x="1637"/>
        <item m="1" x="1400"/>
        <item m="1" x="704"/>
        <item m="1" x="635"/>
        <item m="1" x="416"/>
        <item m="1" x="983"/>
        <item m="1" x="1507"/>
        <item m="1" x="589"/>
        <item m="1" x="920"/>
        <item m="1" x="806"/>
        <item m="1" x="1181"/>
        <item m="1" x="621"/>
        <item m="1" x="1002"/>
        <item m="1" x="1203"/>
        <item m="1" x="1534"/>
        <item m="1" x="1359"/>
        <item m="1" x="1500"/>
        <item m="1" x="552"/>
        <item m="1" x="1308"/>
        <item x="90"/>
        <item m="1" x="1533"/>
        <item m="1" x="1031"/>
        <item m="1" x="209"/>
        <item m="1" x="566"/>
        <item m="1" x="1579"/>
        <item m="1" x="666"/>
        <item m="1" x="959"/>
        <item x="1"/>
        <item m="1" x="313"/>
        <item m="1" x="275"/>
        <item m="1" x="1105"/>
        <item m="1" x="1265"/>
        <item m="1" x="1664"/>
        <item m="1" x="1196"/>
        <item m="1" x="1095"/>
        <item m="1" x="1382"/>
        <item m="1" x="1348"/>
        <item m="1" x="1537"/>
        <item m="1" x="519"/>
        <item m="1" x="310"/>
        <item m="1" x="969"/>
        <item m="1" x="223"/>
        <item m="1" x="1468"/>
        <item m="1" x="1332"/>
        <item m="1" x="1320"/>
        <item m="1" x="758"/>
        <item m="1" x="948"/>
        <item x="53"/>
        <item m="1" x="1556"/>
        <item m="1" x="1054"/>
        <item m="1" x="1036"/>
        <item m="1" x="631"/>
        <item m="1" x="1227"/>
        <item m="1" x="1052"/>
        <item m="1" x="303"/>
        <item m="1" x="363"/>
        <item m="1" x="485"/>
        <item m="1" x="389"/>
        <item m="1" x="1132"/>
        <item m="1" x="907"/>
        <item m="1" x="815"/>
        <item m="1" x="1421"/>
        <item m="1" x="335"/>
        <item m="1" x="1223"/>
        <item m="1" x="396"/>
        <item m="1" x="346"/>
        <item m="1" x="1018"/>
        <item m="1" x="628"/>
        <item m="1" x="443"/>
        <item m="1" x="1422"/>
        <item m="1" x="1208"/>
        <item m="1" x="788"/>
        <item m="1" x="1022"/>
        <item m="1" x="973"/>
        <item m="1" x="179"/>
        <item x="17"/>
        <item x="31"/>
        <item m="1" x="145"/>
        <item m="1" x="1228"/>
        <item m="1" x="1700"/>
        <item m="1" x="870"/>
        <item m="1" x="1545"/>
        <item m="1" x="463"/>
        <item m="1" x="859"/>
        <item m="1" x="265"/>
        <item m="1" x="1183"/>
        <item m="1" x="272"/>
        <item m="1" x="865"/>
        <item m="1" x="1699"/>
        <item m="1" x="842"/>
        <item m="1" x="146"/>
        <item m="1" x="1708"/>
        <item m="1" x="897"/>
        <item m="1" x="1668"/>
        <item m="1" x="1179"/>
        <item m="1" x="1612"/>
        <item m="1" x="421"/>
        <item m="1" x="1630"/>
        <item m="1" x="1100"/>
        <item m="1" x="584"/>
        <item m="1" x="1572"/>
        <item m="1" x="193"/>
        <item m="1" x="180"/>
        <item m="1" x="1496"/>
        <item m="1" x="168"/>
        <item m="1" x="783"/>
        <item m="1" x="490"/>
        <item m="1" x="1456"/>
        <item m="1" x="233"/>
        <item m="1" x="479"/>
        <item m="1" x="858"/>
        <item m="1" x="714"/>
        <item m="1" x="981"/>
        <item m="1" x="1363"/>
        <item m="1" x="772"/>
        <item m="1" x="668"/>
        <item m="1" x="779"/>
        <item m="1" x="1535"/>
        <item m="1" x="1047"/>
        <item m="1" x="1340"/>
        <item m="1" x="380"/>
        <item m="1" x="1415"/>
        <item m="1" x="288"/>
        <item m="1" x="382"/>
        <item m="1" x="760"/>
        <item m="1" x="1097"/>
        <item m="1" x="611"/>
        <item m="1" x="1098"/>
        <item m="1" x="987"/>
        <item m="1" x="403"/>
        <item m="1" x="1069"/>
        <item m="1" x="148"/>
        <item m="1" x="1626"/>
        <item m="1" x="216"/>
        <item m="1" x="1449"/>
        <item m="1" x="595"/>
        <item m="1" x="1219"/>
        <item x="92"/>
        <item m="1" x="934"/>
        <item m="1" x="1398"/>
        <item m="1" x="1230"/>
        <item m="1" x="1049"/>
        <item m="1" x="1345"/>
        <item m="1" x="943"/>
        <item m="1" x="1352"/>
        <item m="1" x="773"/>
        <item m="1" x="458"/>
        <item x="16"/>
        <item m="1" x="935"/>
        <item m="1" x="940"/>
        <item m="1" x="1276"/>
        <item m="1" x="341"/>
        <item m="1" x="817"/>
        <item m="1" x="1391"/>
        <item m="1" x="1508"/>
        <item m="1" x="441"/>
        <item m="1" x="789"/>
        <item x="86"/>
        <item m="1" x="736"/>
        <item m="1" x="360"/>
        <item m="1" x="1038"/>
        <item m="1" x="1078"/>
        <item m="1" x="1393"/>
        <item m="1" x="378"/>
        <item m="1" x="1695"/>
        <item m="1" x="1604"/>
        <item m="1" x="409"/>
        <item m="1" x="687"/>
        <item m="1" x="1474"/>
        <item m="1" x="1290"/>
        <item m="1" x="367"/>
        <item m="1" x="1453"/>
        <item m="1" x="966"/>
        <item m="1" x="297"/>
        <item m="1" x="422"/>
        <item m="1" x="580"/>
        <item m="1" x="694"/>
        <item m="1" x="1118"/>
        <item m="1" x="433"/>
        <item m="1" x="254"/>
        <item m="1" x="1546"/>
        <item m="1" x="228"/>
        <item m="1" x="1648"/>
        <item m="1" x="1029"/>
        <item m="1" x="756"/>
        <item m="1" x="1273"/>
        <item m="1" x="1283"/>
        <item m="1" x="1528"/>
        <item m="1" x="1616"/>
        <item m="1" x="726"/>
        <item m="1" x="810"/>
        <item m="1" x="793"/>
        <item m="1" x="650"/>
        <item m="1" x="701"/>
        <item m="1" x="1656"/>
        <item m="1" x="917"/>
        <item m="1" x="520"/>
        <item m="1" x="1253"/>
        <item m="1" x="1686"/>
        <item m="1" x="1039"/>
        <item m="1" x="444"/>
        <item m="1" x="997"/>
        <item m="1" x="306"/>
        <item m="1" x="674"/>
        <item m="1" x="158"/>
        <item m="1" x="1416"/>
        <item m="1" x="682"/>
        <item m="1" x="1471"/>
        <item m="1" x="555"/>
        <item m="1" x="774"/>
        <item m="1" x="1146"/>
        <item m="1" x="1539"/>
        <item m="1" x="1529"/>
        <item m="1" x="1441"/>
        <item m="1" x="717"/>
        <item m="1" x="1460"/>
        <item m="1" x="1602"/>
        <item m="1" x="1614"/>
        <item m="1" x="1164"/>
        <item m="1" x="1688"/>
        <item m="1" x="1300"/>
        <item m="1" x="684"/>
        <item m="1" x="1518"/>
        <item m="1" x="1295"/>
        <item m="1" x="652"/>
        <item m="1" x="737"/>
        <item m="1" x="1182"/>
        <item m="1" x="649"/>
        <item m="1" x="921"/>
        <item m="1" x="1364"/>
        <item m="1" x="1171"/>
        <item m="1" x="853"/>
        <item x="69"/>
        <item m="1" x="1715"/>
        <item m="1" x="1068"/>
        <item m="1" x="187"/>
        <item m="1" x="1411"/>
        <item m="1" x="1709"/>
        <item x="110"/>
        <item m="1" x="1269"/>
        <item m="1" x="723"/>
        <item m="1" x="1334"/>
        <item m="1" x="1151"/>
        <item m="1" x="871"/>
        <item m="1" x="967"/>
        <item m="1" x="164"/>
        <item m="1" x="1206"/>
        <item m="1" x="453"/>
        <item m="1" x="598"/>
        <item m="1" x="869"/>
        <item m="1" x="1337"/>
        <item m="1" x="1302"/>
        <item m="1" x="556"/>
        <item m="1" x="304"/>
        <item m="1" x="1466"/>
        <item m="1" x="391"/>
        <item m="1" x="1077"/>
        <item m="1" x="230"/>
        <item m="1" x="634"/>
        <item m="1" x="334"/>
        <item m="1" x="1606"/>
        <item m="1" x="655"/>
        <item m="1" x="562"/>
        <item m="1" x="475"/>
        <item m="1" x="1311"/>
        <item m="1" x="752"/>
        <item m="1" x="513"/>
        <item m="1" x="798"/>
        <item m="1" x="349"/>
        <item m="1" x="929"/>
        <item m="1" x="733"/>
        <item x="2"/>
        <item x="18"/>
        <item m="1" x="195"/>
        <item m="1" x="532"/>
        <item m="1" x="1154"/>
        <item m="1" x="1513"/>
        <item m="1" x="176"/>
        <item m="1" x="1687"/>
        <item m="1" x="1369"/>
        <item m="1" x="586"/>
        <item m="1" x="991"/>
        <item m="1" x="1251"/>
        <item m="1" x="825"/>
        <item m="1" x="525"/>
        <item m="1" x="719"/>
        <item m="1" x="1622"/>
        <item m="1" x="1354"/>
        <item m="1" x="960"/>
        <item m="1" x="801"/>
        <item m="1" x="173"/>
        <item m="1" x="728"/>
        <item m="1" x="1647"/>
        <item m="1" x="506"/>
        <item m="1" x="362"/>
        <item m="1" x="820"/>
        <item m="1" x="1226"/>
        <item m="1" x="1090"/>
        <item m="1" x="273"/>
        <item m="1" x="780"/>
        <item m="1" x="277"/>
        <item x="12"/>
        <item m="1" x="1552"/>
        <item m="1" x="901"/>
        <item m="1" x="1627"/>
        <item m="1" x="1083"/>
        <item m="1" x="851"/>
        <item m="1" x="124"/>
        <item m="1" x="1085"/>
        <item m="1" x="1640"/>
        <item m="1" x="699"/>
        <item m="1" x="251"/>
        <item m="1" x="909"/>
        <item m="1" x="1457"/>
        <item m="1" x="224"/>
        <item m="1" x="722"/>
        <item m="1" x="895"/>
        <item m="1" x="1559"/>
        <item m="1" x="615"/>
        <item m="1" x="657"/>
        <item m="1" x="276"/>
        <item m="1" x="440"/>
        <item m="1" x="673"/>
        <item m="1" x="1310"/>
        <item m="1" x="1653"/>
        <item m="1" x="1501"/>
        <item m="1" x="1157"/>
        <item m="1" x="323"/>
        <item m="1" x="191"/>
        <item x="22"/>
        <item m="1" x="1578"/>
        <item m="1" x="411"/>
        <item m="1" x="238"/>
        <item m="1" x="161"/>
        <item m="1" x="1406"/>
        <item x="42"/>
        <item m="1" x="880"/>
        <item m="1" x="1440"/>
        <item m="1" x="1133"/>
        <item m="1" x="769"/>
        <item m="1" x="913"/>
        <item m="1" x="468"/>
        <item x="46"/>
        <item x="47"/>
        <item m="1" x="1643"/>
        <item m="1" x="1502"/>
        <item x="59"/>
        <item m="1" x="592"/>
        <item m="1" x="1438"/>
        <item m="1" x="559"/>
        <item m="1" x="188"/>
        <item m="1" x="690"/>
        <item m="1" x="121"/>
        <item m="1" x="134"/>
        <item m="1" x="189"/>
        <item m="1" x="420"/>
        <item m="1" x="1135"/>
        <item m="1" x="977"/>
        <item m="1" x="603"/>
        <item m="1" x="605"/>
        <item m="1" x="1178"/>
        <item m="1" x="344"/>
        <item m="1" x="651"/>
        <item m="1" x="941"/>
        <item x="6"/>
        <item m="1" x="1651"/>
        <item x="23"/>
        <item m="1" x="1374"/>
        <item x="36"/>
        <item m="1" x="325"/>
        <item m="1" x="1697"/>
        <item m="1" x="1607"/>
        <item m="1" x="735"/>
        <item m="1" x="771"/>
        <item m="1" x="766"/>
        <item m="1" x="958"/>
        <item x="3"/>
        <item x="14"/>
        <item x="24"/>
        <item x="32"/>
        <item x="33"/>
        <item m="1" x="835"/>
        <item m="1" x="1367"/>
        <item m="1" x="1610"/>
        <item x="83"/>
        <item m="1" x="755"/>
        <item m="1" x="1613"/>
        <item m="1" x="883"/>
        <item m="1" x="1455"/>
        <item m="1" x="1028"/>
        <item m="1" x="1186"/>
        <item m="1" x="720"/>
        <item m="1" x="860"/>
        <item m="1" x="1587"/>
        <item m="1" x="1121"/>
        <item m="1" x="1349"/>
        <item m="1" x="178"/>
        <item m="1" x="529"/>
        <item m="1" x="539"/>
        <item m="1" x="308"/>
        <item m="1" x="990"/>
        <item m="1" x="377"/>
        <item x="55"/>
        <item x="56"/>
        <item m="1" x="1489"/>
        <item m="1" x="263"/>
        <item m="1" x="1301"/>
        <item m="1" x="925"/>
        <item m="1" x="1246"/>
        <item m="1" x="700"/>
        <item m="1" x="912"/>
        <item m="1" x="1690"/>
        <item m="1" x="590"/>
        <item m="1" x="1519"/>
        <item m="1" x="1619"/>
        <item m="1" x="1218"/>
        <item m="1" x="1026"/>
        <item m="1" x="1525"/>
        <item m="1" x="1554"/>
        <item m="1" x="1444"/>
        <item m="1" x="1106"/>
        <item m="1" x="763"/>
        <item m="1" x="1344"/>
        <item m="1" x="645"/>
        <item m="1" x="686"/>
        <item m="1" x="1611"/>
        <item m="1" x="546"/>
        <item m="1" x="730"/>
        <item m="1" x="1567"/>
        <item m="1" x="252"/>
        <item m="1" x="681"/>
        <item m="1" x="402"/>
        <item m="1" x="1683"/>
        <item m="1" x="1527"/>
        <item m="1" x="123"/>
        <item m="1" x="689"/>
        <item m="1" x="488"/>
        <item m="1" x="893"/>
        <item x="34"/>
        <item x="35"/>
        <item x="40"/>
        <item x="41"/>
        <item x="48"/>
        <item x="57"/>
        <item x="58"/>
        <item x="64"/>
        <item x="70"/>
        <item x="71"/>
        <item x="72"/>
        <item x="78"/>
        <item x="94"/>
        <item x="9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0">
        <item x="26"/>
        <item x="17"/>
        <item x="14"/>
        <item x="13"/>
        <item x="11"/>
        <item x="33"/>
        <item x="32"/>
        <item x="31"/>
        <item x="8"/>
        <item x="7"/>
        <item x="6"/>
        <item x="5"/>
        <item x="4"/>
        <item x="3"/>
        <item x="2"/>
        <item x="0"/>
        <item x="34"/>
        <item m="1" x="48"/>
        <item m="1" x="55"/>
        <item x="23"/>
        <item x="21"/>
        <item x="20"/>
        <item x="19"/>
        <item x="30"/>
        <item m="1" x="64"/>
        <item x="18"/>
        <item x="28"/>
        <item x="16"/>
        <item m="1" x="78"/>
        <item m="1" x="51"/>
        <item x="1"/>
        <item x="15"/>
        <item m="1" x="75"/>
        <item x="25"/>
        <item m="1" x="46"/>
        <item m="1" x="43"/>
        <item x="10"/>
        <item x="22"/>
        <item m="1" x="63"/>
        <item m="1" x="71"/>
        <item x="9"/>
        <item x="24"/>
        <item m="1" x="76"/>
        <item m="1" x="37"/>
        <item m="1" x="39"/>
        <item x="12"/>
        <item m="1" x="56"/>
        <item m="1" x="50"/>
        <item m="1" x="36"/>
        <item m="1" x="66"/>
        <item m="1" x="77"/>
        <item m="1" x="53"/>
        <item m="1" x="62"/>
        <item m="1" x="74"/>
        <item m="1" x="47"/>
        <item m="1" x="70"/>
        <item m="1" x="45"/>
        <item m="1" x="40"/>
        <item m="1" x="59"/>
        <item m="1" x="72"/>
        <item m="1" x="49"/>
        <item m="1" x="73"/>
        <item x="29"/>
        <item m="1" x="68"/>
        <item m="1" x="58"/>
        <item m="1" x="79"/>
        <item m="1" x="65"/>
        <item m="1" x="69"/>
        <item m="1" x="54"/>
        <item m="1" x="35"/>
        <item m="1" x="44"/>
        <item m="1" x="41"/>
        <item m="1" x="38"/>
        <item m="1" x="60"/>
        <item m="1" x="42"/>
        <item m="1" x="61"/>
        <item m="1" x="52"/>
        <item x="27"/>
        <item m="1" x="57"/>
        <item m="1" x="67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2">
        <item x="0"/>
        <item m="1" x="44"/>
        <item x="17"/>
        <item x="12"/>
        <item x="16"/>
        <item x="7"/>
        <item x="15"/>
        <item x="14"/>
        <item m="1" x="46"/>
        <item m="1" x="50"/>
        <item x="6"/>
        <item m="1" x="56"/>
        <item m="1" x="59"/>
        <item m="1" x="20"/>
        <item m="1" x="25"/>
        <item m="1" x="28"/>
        <item m="1" x="31"/>
        <item x="10"/>
        <item m="1" x="33"/>
        <item m="1" x="35"/>
        <item x="2"/>
        <item x="5"/>
        <item m="1" x="41"/>
        <item x="9"/>
        <item x="4"/>
        <item x="13"/>
        <item x="1"/>
        <item x="11"/>
        <item m="1" x="53"/>
        <item m="1" x="55"/>
        <item x="8"/>
        <item x="3"/>
        <item m="1" x="60"/>
        <item m="1" x="38"/>
        <item m="1" x="19"/>
        <item m="1" x="40"/>
        <item m="1" x="22"/>
        <item m="1" x="43"/>
        <item m="1" x="24"/>
        <item m="1" x="47"/>
        <item m="1" x="27"/>
        <item m="1" x="49"/>
        <item m="1" x="51"/>
        <item m="1" x="29"/>
        <item m="1" x="52"/>
        <item m="1" x="30"/>
        <item m="1" x="54"/>
        <item m="1" x="32"/>
        <item m="1" x="57"/>
        <item m="1" x="34"/>
        <item m="1" x="58"/>
        <item m="1" x="36"/>
        <item m="1" x="37"/>
        <item m="1" x="18"/>
        <item m="1" x="39"/>
        <item m="1" x="21"/>
        <item m="1" x="42"/>
        <item m="1" x="23"/>
        <item m="1" x="45"/>
        <item m="1" x="26"/>
        <item m="1" x="48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13">
        <item x="1"/>
        <item x="4"/>
        <item x="3"/>
        <item x="2"/>
        <item x="0"/>
        <item x="5"/>
        <item x="12"/>
        <item x="11"/>
        <item x="10"/>
        <item x="7"/>
        <item x="6"/>
        <item m="1" x="110"/>
        <item x="8"/>
        <item x="9"/>
        <item x="35"/>
        <item m="1" x="72"/>
        <item m="1" x="60"/>
        <item m="1" x="51"/>
        <item m="1" x="44"/>
        <item m="1" x="104"/>
        <item m="1" x="40"/>
        <item m="1" x="98"/>
        <item x="28"/>
        <item x="21"/>
        <item x="30"/>
        <item x="31"/>
        <item x="29"/>
        <item x="15"/>
        <item m="1" x="102"/>
        <item m="1" x="94"/>
        <item x="14"/>
        <item m="1" x="81"/>
        <item m="1" x="73"/>
        <item x="17"/>
        <item m="1" x="61"/>
        <item x="13"/>
        <item m="1" x="45"/>
        <item m="1" x="37"/>
        <item m="1" x="105"/>
        <item m="1" x="89"/>
        <item m="1" x="83"/>
        <item m="1" x="75"/>
        <item m="1" x="63"/>
        <item m="1" x="108"/>
        <item m="1" x="56"/>
        <item x="19"/>
        <item x="16"/>
        <item x="33"/>
        <item m="1" x="68"/>
        <item m="1" x="62"/>
        <item x="32"/>
        <item m="1" x="38"/>
        <item m="1" x="106"/>
        <item x="23"/>
        <item m="1" x="90"/>
        <item m="1" x="84"/>
        <item m="1" x="76"/>
        <item m="1" x="69"/>
        <item m="1" x="64"/>
        <item m="1" x="53"/>
        <item m="1" x="47"/>
        <item m="1" x="41"/>
        <item m="1" x="109"/>
        <item m="1" x="100"/>
        <item m="1" x="92"/>
        <item m="1" x="86"/>
        <item m="1" x="79"/>
        <item x="24"/>
        <item m="1" x="57"/>
        <item m="1" x="43"/>
        <item x="18"/>
        <item x="34"/>
        <item m="1" x="77"/>
        <item m="1" x="54"/>
        <item m="1" x="48"/>
        <item x="25"/>
        <item m="1" x="87"/>
        <item m="1" x="80"/>
        <item m="1" x="70"/>
        <item m="1" x="67"/>
        <item m="1" x="58"/>
        <item m="1" x="111"/>
        <item m="1" x="95"/>
        <item m="1" x="74"/>
        <item x="20"/>
        <item m="1" x="65"/>
        <item x="22"/>
        <item m="1" x="93"/>
        <item x="36"/>
        <item m="1" x="71"/>
        <item x="26"/>
        <item m="1" x="50"/>
        <item m="1" x="112"/>
        <item m="1" x="103"/>
        <item m="1" x="96"/>
        <item m="1" x="82"/>
        <item m="1" x="52"/>
        <item m="1" x="46"/>
        <item x="27"/>
        <item m="1" x="59"/>
        <item m="1" x="97"/>
        <item m="1" x="88"/>
        <item m="1" x="39"/>
        <item m="1" x="107"/>
        <item m="1" x="99"/>
        <item m="1" x="91"/>
        <item m="1" x="85"/>
        <item m="1" x="78"/>
        <item m="1" x="66"/>
        <item m="1" x="55"/>
        <item m="1" x="49"/>
        <item m="1" x="42"/>
        <item m="1" x="101"/>
      </items>
    </pivotField>
  </pivotFields>
  <rowFields count="11">
    <field x="0"/>
    <field x="12"/>
    <field x="13"/>
    <field x="10"/>
    <field x="16"/>
    <field x="18"/>
    <field x="5"/>
    <field x="9"/>
    <field x="3"/>
    <field x="7"/>
    <field x="1"/>
  </rowFields>
  <rowItems count="138">
    <i>
      <x v="6"/>
      <x v="3"/>
      <x/>
      <x v="22"/>
      <x/>
      <x v="88"/>
      <x v="137"/>
      <x v="1"/>
      <x v="2274"/>
      <x v="2"/>
      <x v="7999"/>
    </i>
    <i t="default" r="1">
      <x v="3"/>
    </i>
    <i>
      <x v="10"/>
      <x v="2"/>
      <x/>
      <x v="21"/>
      <x/>
      <x v="88"/>
      <x v="720"/>
      <x v="1"/>
      <x v="3335"/>
      <x v="1"/>
      <x v="7998"/>
    </i>
    <i t="default" r="1">
      <x v="2"/>
    </i>
    <i r="1">
      <x v="3"/>
      <x/>
      <x v="21"/>
      <x/>
      <x v="14"/>
      <x v="133"/>
      <x v="1"/>
      <x v="1795"/>
      <x v="1"/>
      <x v="7994"/>
    </i>
    <i r="5">
      <x v="50"/>
      <x v="130"/>
      <x v="1"/>
      <x v="3247"/>
      <x v="1"/>
      <x v="7372"/>
    </i>
    <i r="5">
      <x v="71"/>
      <x v="132"/>
      <x v="1"/>
      <x v="1794"/>
      <x v="1"/>
      <x v="7374"/>
    </i>
    <i t="default" r="1">
      <x v="3"/>
    </i>
    <i r="1">
      <x v="4"/>
      <x/>
      <x v="21"/>
      <x/>
      <x v="33"/>
      <x v="392"/>
      <x v="1"/>
      <x v="2993"/>
      <x v="1"/>
      <x v="6349"/>
    </i>
    <i r="5">
      <x v="47"/>
      <x v="131"/>
      <x v="1"/>
      <x v="1793"/>
      <x v="1"/>
      <x v="7373"/>
    </i>
    <i r="5">
      <x v="50"/>
      <x v="393"/>
      <x v="1"/>
      <x v="2994"/>
      <x v="1"/>
      <x v="6350"/>
    </i>
    <i t="default" r="1">
      <x v="4"/>
    </i>
    <i r="1">
      <x v="5"/>
      <x/>
      <x v="21"/>
      <x/>
      <x v="88"/>
      <x v="1504"/>
      <x v="1"/>
      <x v="3280"/>
      <x v="1"/>
      <x v="7997"/>
    </i>
    <i t="default" r="1">
      <x v="5"/>
    </i>
    <i r="1">
      <x v="6"/>
      <x/>
      <x v="21"/>
      <x/>
      <x v="26"/>
      <x v="129"/>
      <x v="1"/>
      <x v="1792"/>
      <x v="1"/>
      <x v="7993"/>
    </i>
    <i r="6">
      <x v="391"/>
      <x v="1"/>
      <x v="2992"/>
      <x v="1"/>
      <x v="7991"/>
    </i>
    <i r="5">
      <x v="53"/>
      <x v="134"/>
      <x v="1"/>
      <x v="1796"/>
      <x v="1"/>
      <x v="7995"/>
    </i>
    <i t="default" r="1">
      <x v="6"/>
    </i>
    <i r="1">
      <x v="7"/>
      <x/>
      <x v="21"/>
      <x/>
      <x v="26"/>
      <x v="128"/>
      <x v="1"/>
      <x v="3246"/>
      <x v="1"/>
      <x v="7371"/>
    </i>
    <i r="6">
      <x v="1208"/>
      <x v="1"/>
      <x v="3245"/>
      <x v="1"/>
      <x v="7992"/>
    </i>
    <i r="5">
      <x v="50"/>
      <x v="136"/>
      <x v="1"/>
      <x v="1797"/>
      <x v="1"/>
      <x v="7996"/>
    </i>
    <i r="6">
      <x v="390"/>
      <x v="1"/>
      <x v="3334"/>
      <x v="1"/>
      <x v="7990"/>
    </i>
    <i t="default" r="1">
      <x v="7"/>
    </i>
    <i>
      <x v="11"/>
      <x/>
      <x/>
      <x v="16"/>
      <x/>
      <x v="4"/>
      <x v="123"/>
      <x v="1"/>
      <x/>
      <x/>
      <x v="7986"/>
    </i>
    <i r="5">
      <x v="8"/>
      <x v="386"/>
      <x/>
      <x v="2131"/>
      <x v="1"/>
      <x v="7989"/>
    </i>
    <i r="5">
      <x v="26"/>
      <x v="1716"/>
      <x v="1"/>
      <x/>
      <x/>
      <x v="7987"/>
    </i>
    <i r="6">
      <x v="1717"/>
      <x v="1"/>
      <x/>
      <x/>
      <x v="7988"/>
    </i>
    <i t="default" r="1">
      <x/>
    </i>
    <i>
      <x v="12"/>
      <x/>
      <x/>
      <x v="5"/>
      <x/>
      <x v="22"/>
      <x v="1228"/>
      <x/>
      <x/>
      <x/>
      <x v="7404"/>
    </i>
    <i r="6">
      <x v="1403"/>
      <x/>
      <x/>
      <x/>
      <x v="7625"/>
    </i>
    <i r="5">
      <x v="23"/>
      <x v="117"/>
      <x/>
      <x/>
      <x/>
      <x v="7364"/>
    </i>
    <i r="5">
      <x v="25"/>
      <x v="121"/>
      <x/>
      <x/>
      <x/>
      <x v="7498"/>
    </i>
    <i r="6">
      <x v="1285"/>
      <x/>
      <x/>
      <x/>
      <x v="7478"/>
    </i>
    <i r="5">
      <x v="30"/>
      <x v="122"/>
      <x/>
      <x/>
      <x/>
      <x v="7240"/>
    </i>
    <i r="3">
      <x v="6"/>
      <x/>
      <x v="22"/>
      <x v="1423"/>
      <x/>
      <x/>
      <x/>
      <x v="7654"/>
    </i>
    <i r="3">
      <x v="7"/>
      <x/>
      <x v="24"/>
      <x v="115"/>
      <x/>
      <x v="3209"/>
      <x v="1"/>
      <x v="7239"/>
    </i>
    <i r="3">
      <x v="23"/>
      <x/>
      <x v="23"/>
      <x v="113"/>
      <x/>
      <x/>
      <x/>
      <x v="6401"/>
    </i>
    <i r="3">
      <x v="26"/>
      <x/>
      <x v="23"/>
      <x v="110"/>
      <x/>
      <x/>
      <x/>
      <x v="5974"/>
    </i>
    <i r="3">
      <x v="62"/>
      <x/>
      <x v="22"/>
      <x v="112"/>
      <x/>
      <x/>
      <x/>
      <x v="7913"/>
    </i>
    <i r="5">
      <x v="26"/>
      <x v="1650"/>
      <x/>
      <x/>
      <x/>
      <x v="7914"/>
    </i>
    <i t="default" r="1">
      <x/>
    </i>
    <i>
      <x v="13"/>
      <x/>
      <x/>
      <x v="20"/>
      <x/>
      <x v="23"/>
      <x v="97"/>
      <x v="1"/>
      <x v="2900"/>
      <x v="1"/>
      <x v="7228"/>
    </i>
    <i t="default" r="1">
      <x/>
    </i>
    <i r="1">
      <x v="3"/>
      <x/>
      <x/>
      <x v="1"/>
      <x v="98"/>
      <x v="1715"/>
      <x v="1"/>
      <x v="2"/>
      <x v="1"/>
      <x v="7984"/>
    </i>
    <i t="default" r="1">
      <x v="3"/>
    </i>
    <i r="1">
      <x v="5"/>
      <x/>
      <x/>
      <x v="1"/>
      <x v="8"/>
      <x v="107"/>
      <x/>
      <x v="3214"/>
      <x v="1"/>
      <x v="7985"/>
    </i>
    <i r="3">
      <x v="19"/>
      <x v="1"/>
      <x v="33"/>
      <x v="1714"/>
      <x/>
      <x v="1079"/>
      <x v="1"/>
      <x v="7981"/>
    </i>
    <i t="default" r="1">
      <x v="5"/>
    </i>
    <i r="1">
      <x v="10"/>
      <x/>
      <x v="19"/>
      <x v="1"/>
      <x v="53"/>
      <x v="1713"/>
      <x v="1"/>
      <x v="3390"/>
      <x v="1"/>
      <x v="7980"/>
    </i>
    <i t="default" r="1">
      <x v="10"/>
    </i>
    <i r="1">
      <x v="17"/>
      <x v="1"/>
      <x/>
      <x v="1"/>
      <x v="90"/>
      <x v="106"/>
      <x v="1"/>
      <x v="2"/>
      <x v="1"/>
      <x v="7234"/>
    </i>
    <i t="default" r="1">
      <x v="17"/>
    </i>
    <i r="1">
      <x v="20"/>
      <x/>
      <x v="22"/>
      <x/>
      <x v="70"/>
      <x v="1711"/>
      <x/>
      <x v="912"/>
      <x v="1"/>
      <x v="7977"/>
    </i>
    <i t="default" r="1">
      <x v="20"/>
    </i>
    <i r="1">
      <x v="21"/>
      <x/>
      <x v="19"/>
      <x v="1"/>
      <x v="23"/>
      <x v="1712"/>
      <x/>
      <x v="3389"/>
      <x v="1"/>
      <x v="7979"/>
    </i>
    <i t="default" r="1">
      <x v="21"/>
    </i>
    <i r="1">
      <x v="23"/>
      <x/>
      <x v="33"/>
      <x/>
      <x v="75"/>
      <x v="1225"/>
      <x v="1"/>
      <x v="3243"/>
      <x v="2"/>
      <x v="7982"/>
    </i>
    <i t="default" r="1">
      <x v="23"/>
    </i>
    <i r="1">
      <x v="24"/>
      <x/>
      <x v="37"/>
      <x/>
      <x v="86"/>
      <x v="1498"/>
      <x v="1"/>
      <x v="3332"/>
      <x v="2"/>
      <x v="7978"/>
    </i>
    <i t="default" r="1">
      <x v="24"/>
    </i>
    <i r="1">
      <x v="25"/>
      <x/>
      <x v="77"/>
      <x v="1"/>
      <x v="1"/>
      <x v="974"/>
      <x v="1"/>
      <x v="2345"/>
      <x v="1"/>
      <x v="7237"/>
    </i>
    <i t="default" r="1">
      <x v="25"/>
    </i>
    <i r="1">
      <x v="26"/>
      <x/>
      <x v="22"/>
      <x/>
      <x v="33"/>
      <x v="381"/>
      <x v="1"/>
      <x v="2981"/>
      <x v="2"/>
      <x v="6332"/>
    </i>
    <i t="default" r="1">
      <x v="26"/>
    </i>
    <i r="1">
      <x v="27"/>
      <x/>
      <x/>
      <x/>
      <x v="30"/>
      <x v="1263"/>
      <x v="1"/>
      <x v="3207"/>
      <x v="2"/>
      <x v="7983"/>
    </i>
    <i t="default" r="1">
      <x v="27"/>
    </i>
    <i r="1">
      <x v="30"/>
      <x/>
      <x v="33"/>
      <x/>
      <x v="67"/>
      <x v="1204"/>
      <x v="1"/>
      <x v="3243"/>
      <x v="2"/>
      <x v="7820"/>
    </i>
    <i t="default" r="1">
      <x v="30"/>
    </i>
    <i r="1">
      <x v="31"/>
      <x/>
      <x v="20"/>
      <x/>
      <x v="84"/>
      <x v="98"/>
      <x v="1"/>
      <x v="3203"/>
      <x v="1"/>
      <x v="7229"/>
    </i>
    <i r="6">
      <x v="99"/>
      <x v="1"/>
      <x v="3202"/>
      <x v="1"/>
      <x v="7227"/>
    </i>
    <i r="3">
      <x v="21"/>
      <x/>
      <x v="45"/>
      <x v="96"/>
      <x v="1"/>
      <x v="2901"/>
      <x v="1"/>
      <x v="7226"/>
    </i>
    <i r="3">
      <x v="41"/>
      <x/>
      <x v="45"/>
      <x v="105"/>
      <x v="1"/>
      <x v="2902"/>
      <x v="1"/>
      <x v="7907"/>
    </i>
    <i t="default" r="1">
      <x v="31"/>
    </i>
    <i>
      <x v="14"/>
      <x/>
      <x/>
      <x v="1"/>
      <x/>
      <x v="3"/>
      <x v="87"/>
      <x/>
      <x v="3200"/>
      <x v="1"/>
      <x v="7221"/>
    </i>
    <i r="3">
      <x v="2"/>
      <x/>
      <x/>
      <x v="83"/>
      <x/>
      <x/>
      <x/>
      <x v="7390"/>
    </i>
    <i r="6">
      <x v="180"/>
      <x/>
      <x v="3197"/>
      <x v="1"/>
      <x v="7217"/>
    </i>
    <i r="6">
      <x v="457"/>
      <x/>
      <x/>
      <x/>
      <x v="7852"/>
    </i>
    <i r="6">
      <x v="1313"/>
      <x v="1"/>
      <x/>
      <x/>
      <x v="7516"/>
    </i>
    <i r="5">
      <x v="2"/>
      <x v="1668"/>
      <x/>
      <x/>
      <x/>
      <x v="7936"/>
    </i>
    <i r="3">
      <x v="3"/>
      <x/>
      <x/>
      <x v="1118"/>
      <x/>
      <x/>
      <x/>
      <x v="7257"/>
    </i>
    <i r="5">
      <x v="4"/>
      <x v="1253"/>
      <x/>
      <x/>
      <x/>
      <x v="7441"/>
    </i>
    <i r="3">
      <x v="4"/>
      <x/>
      <x v="3"/>
      <x v="73"/>
      <x/>
      <x v="3195"/>
      <x v="1"/>
      <x v="7214"/>
    </i>
    <i r="6">
      <x v="74"/>
      <x/>
      <x v="3195"/>
      <x v="1"/>
      <x v="7215"/>
    </i>
    <i r="6">
      <x v="75"/>
      <x/>
      <x v="3196"/>
      <x v="1"/>
      <x v="7216"/>
    </i>
    <i r="3">
      <x v="8"/>
      <x/>
      <x v="7"/>
      <x v="69"/>
      <x/>
      <x v="2859"/>
      <x/>
      <x v="6786"/>
    </i>
    <i r="3">
      <x v="9"/>
      <x/>
      <x v="5"/>
      <x v="1634"/>
      <x/>
      <x/>
      <x/>
      <x v="7885"/>
    </i>
    <i r="3">
      <x v="10"/>
      <x/>
      <x v="2"/>
      <x v="1342"/>
      <x/>
      <x v="2297"/>
      <x v="1"/>
      <x v="7551"/>
    </i>
    <i r="6">
      <x v="1704"/>
      <x/>
      <x/>
      <x/>
      <x v="7969"/>
    </i>
    <i r="5">
      <x v="4"/>
      <x v="1080"/>
      <x/>
      <x/>
      <x/>
      <x v="7883"/>
    </i>
    <i r="5">
      <x v="5"/>
      <x v="1645"/>
      <x/>
      <x v="3371"/>
      <x v="1"/>
      <x v="7898"/>
    </i>
    <i r="6">
      <x v="1646"/>
      <x/>
      <x/>
      <x/>
      <x v="7899"/>
    </i>
    <i r="5">
      <x v="8"/>
      <x v="1705"/>
      <x/>
      <x/>
      <x v="2"/>
      <x v="7971"/>
    </i>
    <i r="5">
      <x v="10"/>
      <x v="1214"/>
      <x/>
      <x/>
      <x/>
      <x v="7378"/>
    </i>
    <i r="3">
      <x v="11"/>
      <x/>
      <x v="8"/>
      <x v="58"/>
      <x/>
      <x v="3194"/>
      <x v="1"/>
      <x v="7882"/>
    </i>
    <i r="5">
      <x v="12"/>
      <x v="56"/>
      <x/>
      <x v="2903"/>
      <x v="1"/>
      <x v="7573"/>
    </i>
    <i r="5">
      <x v="13"/>
      <x v="57"/>
      <x/>
      <x v="3193"/>
      <x v="1"/>
      <x v="7881"/>
    </i>
    <i r="3">
      <x v="12"/>
      <x/>
      <x/>
      <x v="453"/>
      <x/>
      <x/>
      <x/>
      <x v="7836"/>
    </i>
    <i r="6">
      <x v="454"/>
      <x/>
      <x/>
      <x/>
      <x v="7834"/>
    </i>
    <i r="6">
      <x v="1009"/>
      <x/>
      <x/>
      <x/>
      <x v="7835"/>
    </i>
    <i r="6">
      <x v="1538"/>
      <x/>
      <x/>
      <x/>
      <x v="7781"/>
    </i>
    <i r="6">
      <x v="1595"/>
      <x/>
      <x/>
      <x/>
      <x v="7837"/>
    </i>
    <i r="5">
      <x v="1"/>
      <x v="1632"/>
      <x/>
      <x/>
      <x/>
      <x v="7880"/>
    </i>
    <i r="5">
      <x v="3"/>
      <x v="1644"/>
      <x/>
      <x/>
      <x/>
      <x v="7896"/>
    </i>
    <i r="5">
      <x v="5"/>
      <x v="52"/>
      <x/>
      <x/>
      <x/>
      <x v="7354"/>
    </i>
    <i r="6">
      <x v="1341"/>
      <x/>
      <x/>
      <x/>
      <x v="7780"/>
    </i>
    <i r="5">
      <x v="9"/>
      <x v="53"/>
      <x/>
      <x/>
      <x/>
      <x v="7897"/>
    </i>
    <i r="5">
      <x v="10"/>
      <x v="1413"/>
      <x/>
      <x/>
      <x/>
      <x v="7640"/>
    </i>
    <i r="3">
      <x v="13"/>
      <x/>
      <x/>
      <x v="38"/>
      <x/>
      <x/>
      <x/>
      <x v="7833"/>
    </i>
    <i r="5">
      <x v="1"/>
      <x v="42"/>
      <x/>
      <x/>
      <x/>
      <x v="7352"/>
    </i>
    <i r="6">
      <x v="1567"/>
      <x/>
      <x/>
      <x/>
      <x v="7806"/>
    </i>
    <i r="5">
      <x v="2"/>
      <x v="41"/>
      <x/>
      <x/>
      <x/>
      <x v="7351"/>
    </i>
    <i r="6">
      <x v="1202"/>
      <x/>
      <x/>
      <x/>
      <x v="7433"/>
    </i>
    <i r="5">
      <x v="3"/>
      <x v="275"/>
      <x/>
      <x/>
      <x/>
      <x v="7895"/>
    </i>
    <i r="6">
      <x v="1643"/>
      <x/>
      <x/>
      <x/>
      <x v="7921"/>
    </i>
    <i r="5">
      <x v="4"/>
      <x v="35"/>
      <x/>
      <x v="3192"/>
      <x v="1"/>
      <x v="7920"/>
    </i>
    <i r="3">
      <x v="14"/>
      <x/>
      <x/>
      <x v="1630"/>
      <x/>
      <x/>
      <x/>
      <x v="7879"/>
    </i>
    <i r="5">
      <x v="4"/>
      <x v="28"/>
      <x/>
      <x v="3191"/>
      <x v="1"/>
      <x v="7207"/>
    </i>
    <i r="6">
      <x v="307"/>
      <x/>
      <x v="3190"/>
      <x v="1"/>
      <x v="7919"/>
    </i>
    <i r="3">
      <x v="15"/>
      <x/>
      <x v="4"/>
      <x v="24"/>
      <x/>
      <x v="3189"/>
      <x v="1"/>
      <x v="7570"/>
    </i>
    <i r="3">
      <x v="25"/>
      <x/>
      <x v="46"/>
      <x v="189"/>
      <x/>
      <x/>
      <x/>
      <x v="7613"/>
    </i>
    <i r="6">
      <x v="645"/>
      <x/>
      <x/>
      <x/>
      <x v="7887"/>
    </i>
    <i r="3">
      <x v="27"/>
      <x/>
      <x v="1"/>
      <x v="1612"/>
      <x/>
      <x v="2316"/>
      <x v="1"/>
      <x v="7855"/>
    </i>
    <i r="3">
      <x v="30"/>
      <x/>
      <x/>
      <x v="1293"/>
      <x/>
      <x/>
      <x/>
      <x v="7778"/>
    </i>
    <i r="6">
      <x v="1537"/>
      <x/>
      <x/>
      <x/>
      <x v="7779"/>
    </i>
    <i r="5">
      <x v="3"/>
      <x v="1642"/>
      <x/>
      <x/>
      <x/>
      <x v="7894"/>
    </i>
    <i r="3">
      <x v="31"/>
      <x/>
      <x v="27"/>
      <x v="1709"/>
      <x/>
      <x v="3387"/>
      <x v="1"/>
      <x v="7975"/>
    </i>
    <i r="6">
      <x v="1710"/>
      <x/>
      <x v="3388"/>
      <x v="1"/>
      <x v="7976"/>
    </i>
    <i r="5">
      <x v="30"/>
      <x v="1669"/>
      <x/>
      <x v="3374"/>
      <x v="2"/>
      <x v="7937"/>
    </i>
    <i r="3">
      <x v="36"/>
      <x/>
      <x v="3"/>
      <x v="1601"/>
      <x v="1"/>
      <x/>
      <x/>
      <x v="7844"/>
    </i>
    <i r="3">
      <x v="40"/>
      <x/>
      <x v="1"/>
      <x v="1706"/>
      <x/>
      <x/>
      <x/>
      <x v="7972"/>
    </i>
    <i r="6">
      <x v="1707"/>
      <x/>
      <x/>
      <x/>
      <x v="7973"/>
    </i>
    <i r="5">
      <x v="2"/>
      <x v="70"/>
      <x/>
      <x/>
      <x/>
      <x v="7189"/>
    </i>
    <i r="6">
      <x v="71"/>
      <x/>
      <x/>
      <x/>
      <x v="7190"/>
    </i>
    <i r="3">
      <x v="45"/>
      <x/>
      <x v="6"/>
      <x v="1608"/>
      <x/>
      <x/>
      <x v="2"/>
      <x v="7924"/>
    </i>
    <i r="5">
      <x v="30"/>
      <x v="1708"/>
      <x/>
      <x/>
      <x/>
      <x v="7974"/>
    </i>
    <i r="5">
      <x v="35"/>
      <x v="1609"/>
      <x/>
      <x/>
      <x/>
      <x v="7851"/>
    </i>
    <i r="2">
      <x v="1"/>
      <x v="10"/>
      <x/>
      <x v="8"/>
      <x v="1705"/>
      <x/>
      <x/>
      <x/>
      <x v="7970"/>
    </i>
    <i t="default" r="1">
      <x/>
    </i>
  </rowItems>
  <colItems count="1">
    <i/>
  </colItems>
  <dataFields count="1">
    <dataField name="º" fld="1" subtotal="count" baseField="11" baseItem="3"/>
  </dataFields>
  <formats count="1015">
    <format dxfId="1023">
      <pivotArea dataOnly="0" outline="0" fieldPosition="0">
        <references count="1">
          <reference field="12" count="0" defaultSubtotal="1"/>
        </references>
      </pivotArea>
    </format>
    <format dxfId="1022">
      <pivotArea outline="0" collapsedLevelsAreSubtotals="1" fieldPosition="0"/>
    </format>
    <format dxfId="1021">
      <pivotArea dataOnly="0" labelOnly="1" outline="0" axis="axisValues" fieldPosition="0"/>
    </format>
    <format dxfId="1020">
      <pivotArea dataOnly="0" outline="0" fieldPosition="0">
        <references count="1">
          <reference field="12" count="0" defaultSubtotal="1"/>
        </references>
      </pivotArea>
    </format>
    <format dxfId="1019">
      <pivotArea outline="0" collapsedLevelsAreSubtotals="1" fieldPosition="0"/>
    </format>
    <format dxfId="1018">
      <pivotArea dataOnly="0" labelOnly="1" outline="0" axis="axisValues" fieldPosition="0"/>
    </format>
    <format dxfId="1017">
      <pivotArea outline="0" collapsedLevelsAreSubtotals="1" fieldPosition="0"/>
    </format>
    <format dxfId="1016">
      <pivotArea dataOnly="0" labelOnly="1" outline="0" axis="axisValues" fieldPosition="0"/>
    </format>
    <format dxfId="1015">
      <pivotArea dataOnly="0" outline="0" fieldPosition="0">
        <references count="1">
          <reference field="12" count="0" defaultSubtotal="1"/>
        </references>
      </pivotArea>
    </format>
    <format dxfId="1014">
      <pivotArea outline="0" collapsedLevelsAreSubtotals="1" fieldPosition="0"/>
    </format>
    <format dxfId="1013">
      <pivotArea dataOnly="0" labelOnly="1" outline="0" axis="axisValues" fieldPosition="0"/>
    </format>
    <format dxfId="1012">
      <pivotArea outline="0" collapsedLevelsAreSubtotals="1" fieldPosition="0"/>
    </format>
    <format dxfId="1011">
      <pivotArea dataOnly="0" labelOnly="1" outline="0" axis="axisValues" fieldPosition="0"/>
    </format>
    <format dxfId="1010">
      <pivotArea dataOnly="0" labelOnly="1" outline="0" axis="axisValues" fieldPosition="0"/>
    </format>
    <format dxfId="1009">
      <pivotArea type="all" dataOnly="0" outline="0" fieldPosition="0"/>
    </format>
    <format dxfId="1008">
      <pivotArea outline="0" collapsedLevelsAreSubtotals="1" fieldPosition="0"/>
    </format>
    <format dxfId="1007">
      <pivotArea dataOnly="0" labelOnly="1" outline="0" axis="axisValues" fieldPosition="0"/>
    </format>
    <format dxfId="1006">
      <pivotArea outline="0" collapsedLevelsAreSubtotals="1" fieldPosition="0"/>
    </format>
    <format dxfId="1005">
      <pivotArea dataOnly="0" labelOnly="1" outline="0" axis="axisValues" fieldPosition="0"/>
    </format>
    <format dxfId="1004">
      <pivotArea dataOnly="0" outline="0" fieldPosition="0">
        <references count="1">
          <reference field="12" count="0" defaultSubtotal="1"/>
        </references>
      </pivotArea>
    </format>
    <format dxfId="1003">
      <pivotArea outline="0" collapsedLevelsAreSubtotals="1" fieldPosition="0"/>
    </format>
    <format dxfId="1002">
      <pivotArea dataOnly="0" labelOnly="1" outline="0" axis="axisValues" fieldPosition="0"/>
    </format>
    <format dxfId="1001">
      <pivotArea outline="0" collapsedLevelsAreSubtotals="1" fieldPosition="0"/>
    </format>
    <format dxfId="1000">
      <pivotArea dataOnly="0" labelOnly="1" outline="0" axis="axisValues" fieldPosition="0"/>
    </format>
    <format dxfId="999">
      <pivotArea dataOnly="0" outline="0" fieldPosition="0">
        <references count="1">
          <reference field="12" count="0" defaultSubtotal="1"/>
        </references>
      </pivotArea>
    </format>
    <format dxfId="998">
      <pivotArea outline="0" collapsedLevelsAreSubtotals="1" fieldPosition="0"/>
    </format>
    <format dxfId="997">
      <pivotArea dataOnly="0" labelOnly="1" outline="0" axis="axisValues" fieldPosition="0"/>
    </format>
    <format dxfId="996">
      <pivotArea outline="0" collapsedLevelsAreSubtotals="1" fieldPosition="0"/>
    </format>
    <format dxfId="995">
      <pivotArea dataOnly="0" labelOnly="1" outline="0" axis="axisValues" fieldPosition="0"/>
    </format>
    <format dxfId="994">
      <pivotArea dataOnly="0" labelOnly="1" outline="0" axis="axisValues" fieldPosition="0"/>
    </format>
    <format dxfId="993">
      <pivotArea outline="0" collapsedLevelsAreSubtotals="1" fieldPosition="0"/>
    </format>
    <format dxfId="992">
      <pivotArea dataOnly="0" labelOnly="1" outline="0" axis="axisValues" fieldPosition="0"/>
    </format>
    <format dxfId="991">
      <pivotArea dataOnly="0" outline="0" fieldPosition="0">
        <references count="1">
          <reference field="12" count="0" defaultSubtotal="1"/>
        </references>
      </pivotArea>
    </format>
    <format dxfId="990">
      <pivotArea outline="0" collapsedLevelsAreSubtotals="1" fieldPosition="0"/>
    </format>
    <format dxfId="989">
      <pivotArea dataOnly="0" labelOnly="1" outline="0" axis="axisValues" fieldPosition="0"/>
    </format>
    <format dxfId="988">
      <pivotArea outline="0" collapsedLevelsAreSubtotals="1" fieldPosition="0"/>
    </format>
    <format dxfId="987">
      <pivotArea dataOnly="0" labelOnly="1" outline="0" axis="axisValues" fieldPosition="0"/>
    </format>
    <format dxfId="986">
      <pivotArea dataOnly="0" outline="0" fieldPosition="0">
        <references count="1">
          <reference field="12" count="0" defaultSubtotal="1"/>
        </references>
      </pivotArea>
    </format>
    <format dxfId="985">
      <pivotArea outline="0" collapsedLevelsAreSubtotals="1" fieldPosition="0"/>
    </format>
    <format dxfId="984">
      <pivotArea dataOnly="0" labelOnly="1" outline="0" axis="axisValues" fieldPosition="0"/>
    </format>
    <format dxfId="983">
      <pivotArea outline="0" collapsedLevelsAreSubtotals="1" fieldPosition="0"/>
    </format>
    <format dxfId="982">
      <pivotArea dataOnly="0" labelOnly="1" outline="0" axis="axisValues" fieldPosition="0"/>
    </format>
    <format dxfId="981">
      <pivotArea dataOnly="0" labelOnly="1" outline="0" axis="axisValues" fieldPosition="0"/>
    </format>
    <format dxfId="980">
      <pivotArea outline="0" collapsedLevelsAreSubtotals="1" fieldPosition="0"/>
    </format>
    <format dxfId="979">
      <pivotArea dataOnly="0" labelOnly="1" outline="0" axis="axisValues" fieldPosition="0"/>
    </format>
    <format dxfId="978">
      <pivotArea outline="0" collapsedLevelsAreSubtotals="1" fieldPosition="0"/>
    </format>
    <format dxfId="977">
      <pivotArea dataOnly="0" labelOnly="1" outline="0" axis="axisValues" fieldPosition="0"/>
    </format>
    <format dxfId="976">
      <pivotArea dataOnly="0" outline="0" fieldPosition="0">
        <references count="1">
          <reference field="12" count="0" defaultSubtotal="1"/>
        </references>
      </pivotArea>
    </format>
    <format dxfId="975">
      <pivotArea outline="0" collapsedLevelsAreSubtotals="1" fieldPosition="0"/>
    </format>
    <format dxfId="974">
      <pivotArea dataOnly="0" labelOnly="1" outline="0" axis="axisValues" fieldPosition="0"/>
    </format>
    <format dxfId="973">
      <pivotArea outline="0" collapsedLevelsAreSubtotals="1" fieldPosition="0"/>
    </format>
    <format dxfId="972">
      <pivotArea dataOnly="0" labelOnly="1" outline="0" axis="axisValues" fieldPosition="0"/>
    </format>
    <format dxfId="971">
      <pivotArea dataOnly="0" outline="0" fieldPosition="0">
        <references count="1">
          <reference field="12" count="0" defaultSubtotal="1"/>
        </references>
      </pivotArea>
    </format>
    <format dxfId="970">
      <pivotArea outline="0" collapsedLevelsAreSubtotals="1" fieldPosition="0"/>
    </format>
    <format dxfId="969">
      <pivotArea dataOnly="0" labelOnly="1" outline="0" axis="axisValues" fieldPosition="0"/>
    </format>
    <format dxfId="968">
      <pivotArea outline="0" collapsedLevelsAreSubtotals="1" fieldPosition="0"/>
    </format>
    <format dxfId="967">
      <pivotArea dataOnly="0" labelOnly="1" outline="0" axis="axisValues" fieldPosition="0"/>
    </format>
    <format dxfId="966">
      <pivotArea dataOnly="0" labelOnly="1" outline="0" axis="axisValues" fieldPosition="0"/>
    </format>
    <format dxfId="965">
      <pivotArea outline="0" collapsedLevelsAreSubtotals="1" fieldPosition="0"/>
    </format>
    <format dxfId="964">
      <pivotArea dataOnly="0" labelOnly="1" outline="0" axis="axisValues" fieldPosition="0"/>
    </format>
    <format dxfId="963">
      <pivotArea dataOnly="0" outline="0" fieldPosition="0">
        <references count="1">
          <reference field="12" count="0" defaultSubtotal="1"/>
        </references>
      </pivotArea>
    </format>
    <format dxfId="962">
      <pivotArea outline="0" collapsedLevelsAreSubtotals="1" fieldPosition="0"/>
    </format>
    <format dxfId="961">
      <pivotArea dataOnly="0" labelOnly="1" outline="0" axis="axisValues" fieldPosition="0"/>
    </format>
    <format dxfId="960">
      <pivotArea outline="0" collapsedLevelsAreSubtotals="1" fieldPosition="0"/>
    </format>
    <format dxfId="959">
      <pivotArea dataOnly="0" labelOnly="1" outline="0" axis="axisValues" fieldPosition="0"/>
    </format>
    <format dxfId="958">
      <pivotArea dataOnly="0" outline="0" fieldPosition="0">
        <references count="1">
          <reference field="12" count="0" defaultSubtotal="1"/>
        </references>
      </pivotArea>
    </format>
    <format dxfId="957">
      <pivotArea outline="0" collapsedLevelsAreSubtotals="1" fieldPosition="0"/>
    </format>
    <format dxfId="956">
      <pivotArea dataOnly="0" labelOnly="1" outline="0" axis="axisValues" fieldPosition="0"/>
    </format>
    <format dxfId="955">
      <pivotArea outline="0" collapsedLevelsAreSubtotals="1" fieldPosition="0"/>
    </format>
    <format dxfId="954">
      <pivotArea dataOnly="0" labelOnly="1" outline="0" axis="axisValues" fieldPosition="0"/>
    </format>
    <format dxfId="953">
      <pivotArea dataOnly="0" labelOnly="1" outline="0" axis="axisValues" fieldPosition="0"/>
    </format>
    <format dxfId="952">
      <pivotArea outline="0" collapsedLevelsAreSubtotals="1" fieldPosition="0"/>
    </format>
    <format dxfId="951">
      <pivotArea dataOnly="0" labelOnly="1" outline="0" axis="axisValues" fieldPosition="0"/>
    </format>
    <format dxfId="950">
      <pivotArea dataOnly="0" outline="0" fieldPosition="0">
        <references count="1">
          <reference field="12" count="0" defaultSubtotal="1"/>
        </references>
      </pivotArea>
    </format>
    <format dxfId="949">
      <pivotArea outline="0" collapsedLevelsAreSubtotals="1" fieldPosition="0"/>
    </format>
    <format dxfId="948">
      <pivotArea dataOnly="0" labelOnly="1" outline="0" axis="axisValues" fieldPosition="0"/>
    </format>
    <format dxfId="947">
      <pivotArea outline="0" collapsedLevelsAreSubtotals="1" fieldPosition="0"/>
    </format>
    <format dxfId="946">
      <pivotArea dataOnly="0" labelOnly="1" outline="0" axis="axisValues" fieldPosition="0"/>
    </format>
    <format dxfId="945">
      <pivotArea dataOnly="0" outline="0" fieldPosition="0">
        <references count="1">
          <reference field="12" count="0" defaultSubtotal="1"/>
        </references>
      </pivotArea>
    </format>
    <format dxfId="944">
      <pivotArea outline="0" collapsedLevelsAreSubtotals="1" fieldPosition="0"/>
    </format>
    <format dxfId="943">
      <pivotArea dataOnly="0" labelOnly="1" outline="0" axis="axisValues" fieldPosition="0"/>
    </format>
    <format dxfId="942">
      <pivotArea outline="0" collapsedLevelsAreSubtotals="1" fieldPosition="0"/>
    </format>
    <format dxfId="941">
      <pivotArea dataOnly="0" labelOnly="1" outline="0" axis="axisValues" fieldPosition="0"/>
    </format>
    <format dxfId="940">
      <pivotArea dataOnly="0" labelOnly="1" outline="0" axis="axisValues" fieldPosition="0"/>
    </format>
    <format dxfId="939">
      <pivotArea outline="0" collapsedLevelsAreSubtotals="1" fieldPosition="0"/>
    </format>
    <format dxfId="938">
      <pivotArea dataOnly="0" labelOnly="1" outline="0" axis="axisValues" fieldPosition="0"/>
    </format>
    <format dxfId="937">
      <pivotArea outline="0" collapsedLevelsAreSubtotals="1" fieldPosition="0"/>
    </format>
    <format dxfId="936">
      <pivotArea dataOnly="0" labelOnly="1" outline="0" axis="axisValues" fieldPosition="0"/>
    </format>
    <format dxfId="935">
      <pivotArea dataOnly="0" outline="0" fieldPosition="0">
        <references count="1">
          <reference field="12" count="0" defaultSubtotal="1"/>
        </references>
      </pivotArea>
    </format>
    <format dxfId="934">
      <pivotArea outline="0" collapsedLevelsAreSubtotals="1" fieldPosition="0"/>
    </format>
    <format dxfId="933">
      <pivotArea dataOnly="0" labelOnly="1" outline="0" axis="axisValues" fieldPosition="0"/>
    </format>
    <format dxfId="932">
      <pivotArea outline="0" collapsedLevelsAreSubtotals="1" fieldPosition="0"/>
    </format>
    <format dxfId="931">
      <pivotArea dataOnly="0" labelOnly="1" outline="0" axis="axisValues" fieldPosition="0"/>
    </format>
    <format dxfId="930">
      <pivotArea dataOnly="0" outline="0" fieldPosition="0">
        <references count="1">
          <reference field="12" count="0" defaultSubtotal="1"/>
        </references>
      </pivotArea>
    </format>
    <format dxfId="929">
      <pivotArea outline="0" collapsedLevelsAreSubtotals="1" fieldPosition="0"/>
    </format>
    <format dxfId="928">
      <pivotArea dataOnly="0" labelOnly="1" outline="0" axis="axisValues" fieldPosition="0"/>
    </format>
    <format dxfId="927">
      <pivotArea outline="0" collapsedLevelsAreSubtotals="1" fieldPosition="0"/>
    </format>
    <format dxfId="926">
      <pivotArea dataOnly="0" labelOnly="1" outline="0" axis="axisValues" fieldPosition="0"/>
    </format>
    <format dxfId="925">
      <pivotArea dataOnly="0" labelOnly="1" outline="0" axis="axisValues" fieldPosition="0"/>
    </format>
    <format dxfId="924">
      <pivotArea outline="0" collapsedLevelsAreSubtotals="1" fieldPosition="0"/>
    </format>
    <format dxfId="923">
      <pivotArea dataOnly="0" labelOnly="1" outline="0" axis="axisValues" fieldPosition="0"/>
    </format>
    <format dxfId="922">
      <pivotArea dataOnly="0" outline="0" fieldPosition="0">
        <references count="1">
          <reference field="12" count="0" defaultSubtotal="1"/>
        </references>
      </pivotArea>
    </format>
    <format dxfId="921">
      <pivotArea outline="0" collapsedLevelsAreSubtotals="1" fieldPosition="0"/>
    </format>
    <format dxfId="920">
      <pivotArea dataOnly="0" labelOnly="1" outline="0" axis="axisValues" fieldPosition="0"/>
    </format>
    <format dxfId="919">
      <pivotArea outline="0" collapsedLevelsAreSubtotals="1" fieldPosition="0"/>
    </format>
    <format dxfId="918">
      <pivotArea dataOnly="0" labelOnly="1" outline="0" axis="axisValues" fieldPosition="0"/>
    </format>
    <format dxfId="917">
      <pivotArea dataOnly="0" outline="0" fieldPosition="0">
        <references count="1">
          <reference field="12" count="0" defaultSubtotal="1"/>
        </references>
      </pivotArea>
    </format>
    <format dxfId="916">
      <pivotArea outline="0" collapsedLevelsAreSubtotals="1" fieldPosition="0"/>
    </format>
    <format dxfId="915">
      <pivotArea dataOnly="0" labelOnly="1" outline="0" axis="axisValues" fieldPosition="0"/>
    </format>
    <format dxfId="914">
      <pivotArea outline="0" collapsedLevelsAreSubtotals="1" fieldPosition="0"/>
    </format>
    <format dxfId="913">
      <pivotArea dataOnly="0" labelOnly="1" outline="0" axis="axisValues" fieldPosition="0"/>
    </format>
    <format dxfId="912">
      <pivotArea dataOnly="0" labelOnly="1" outline="0" axis="axisValues" fieldPosition="0"/>
    </format>
    <format dxfId="911">
      <pivotArea outline="0" collapsedLevelsAreSubtotals="1" fieldPosition="0"/>
    </format>
    <format dxfId="910">
      <pivotArea dataOnly="0" labelOnly="1" outline="0" axis="axisValues" fieldPosition="0"/>
    </format>
    <format dxfId="909">
      <pivotArea outline="0" collapsedLevelsAreSubtotals="1" fieldPosition="0"/>
    </format>
    <format dxfId="908">
      <pivotArea dataOnly="0" labelOnly="1" outline="0" axis="axisValues" fieldPosition="0"/>
    </format>
    <format dxfId="907">
      <pivotArea dataOnly="0" outline="0" fieldPosition="0">
        <references count="1">
          <reference field="12" count="0" defaultSubtotal="1"/>
        </references>
      </pivotArea>
    </format>
    <format dxfId="906">
      <pivotArea outline="0" collapsedLevelsAreSubtotals="1" fieldPosition="0"/>
    </format>
    <format dxfId="905">
      <pivotArea dataOnly="0" labelOnly="1" outline="0" axis="axisValues" fieldPosition="0"/>
    </format>
    <format dxfId="904">
      <pivotArea outline="0" collapsedLevelsAreSubtotals="1" fieldPosition="0"/>
    </format>
    <format dxfId="903">
      <pivotArea dataOnly="0" labelOnly="1" outline="0" axis="axisValues" fieldPosition="0"/>
    </format>
    <format dxfId="902">
      <pivotArea dataOnly="0" outline="0" fieldPosition="0">
        <references count="1">
          <reference field="12" count="0" defaultSubtotal="1"/>
        </references>
      </pivotArea>
    </format>
    <format dxfId="901">
      <pivotArea outline="0" collapsedLevelsAreSubtotals="1" fieldPosition="0"/>
    </format>
    <format dxfId="900">
      <pivotArea dataOnly="0" labelOnly="1" outline="0" axis="axisValues" fieldPosition="0"/>
    </format>
    <format dxfId="899">
      <pivotArea outline="0" collapsedLevelsAreSubtotals="1" fieldPosition="0"/>
    </format>
    <format dxfId="898">
      <pivotArea dataOnly="0" labelOnly="1" outline="0" axis="axisValues" fieldPosition="0"/>
    </format>
    <format dxfId="897">
      <pivotArea dataOnly="0" labelOnly="1" outline="0" axis="axisValues" fieldPosition="0"/>
    </format>
    <format dxfId="896">
      <pivotArea outline="0" collapsedLevelsAreSubtotals="1" fieldPosition="0"/>
    </format>
    <format dxfId="895">
      <pivotArea dataOnly="0" labelOnly="1" outline="0" axis="axisValues" fieldPosition="0"/>
    </format>
    <format dxfId="894">
      <pivotArea dataOnly="0" outline="0" fieldPosition="0">
        <references count="1">
          <reference field="12" count="0" defaultSubtotal="1"/>
        </references>
      </pivotArea>
    </format>
    <format dxfId="893">
      <pivotArea outline="0" collapsedLevelsAreSubtotals="1" fieldPosition="0"/>
    </format>
    <format dxfId="892">
      <pivotArea dataOnly="0" labelOnly="1" outline="0" axis="axisValues" fieldPosition="0"/>
    </format>
    <format dxfId="891">
      <pivotArea outline="0" collapsedLevelsAreSubtotals="1" fieldPosition="0"/>
    </format>
    <format dxfId="890">
      <pivotArea dataOnly="0" labelOnly="1" outline="0" axis="axisValues" fieldPosition="0"/>
    </format>
    <format dxfId="889">
      <pivotArea dataOnly="0" outline="0" fieldPosition="0">
        <references count="1">
          <reference field="12" count="0" defaultSubtotal="1"/>
        </references>
      </pivotArea>
    </format>
    <format dxfId="888">
      <pivotArea outline="0" collapsedLevelsAreSubtotals="1" fieldPosition="0"/>
    </format>
    <format dxfId="887">
      <pivotArea dataOnly="0" labelOnly="1" outline="0" axis="axisValues" fieldPosition="0"/>
    </format>
    <format dxfId="886">
      <pivotArea outline="0" collapsedLevelsAreSubtotals="1" fieldPosition="0"/>
    </format>
    <format dxfId="885">
      <pivotArea dataOnly="0" labelOnly="1" outline="0" axis="axisValues" fieldPosition="0"/>
    </format>
    <format dxfId="884">
      <pivotArea dataOnly="0" labelOnly="1" outline="0" axis="axisValues" fieldPosition="0"/>
    </format>
    <format dxfId="8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882">
      <pivotArea outline="0" collapsedLevelsAreSubtotals="1" fieldPosition="0"/>
    </format>
    <format dxfId="881">
      <pivotArea dataOnly="0" labelOnly="1" outline="0" axis="axisValues" fieldPosition="0"/>
    </format>
    <format dxfId="880">
      <pivotArea outline="0" collapsedLevelsAreSubtotals="1" fieldPosition="0"/>
    </format>
    <format dxfId="879">
      <pivotArea dataOnly="0" labelOnly="1" outline="0" axis="axisValues" fieldPosition="0"/>
    </format>
    <format dxfId="878">
      <pivotArea dataOnly="0" outline="0" fieldPosition="0">
        <references count="1">
          <reference field="12" count="0" defaultSubtotal="1"/>
        </references>
      </pivotArea>
    </format>
    <format dxfId="877">
      <pivotArea outline="0" collapsedLevelsAreSubtotals="1" fieldPosition="0"/>
    </format>
    <format dxfId="876">
      <pivotArea dataOnly="0" labelOnly="1" outline="0" axis="axisValues" fieldPosition="0"/>
    </format>
    <format dxfId="875">
      <pivotArea outline="0" collapsedLevelsAreSubtotals="1" fieldPosition="0"/>
    </format>
    <format dxfId="874">
      <pivotArea dataOnly="0" labelOnly="1" outline="0" axis="axisValues" fieldPosition="0"/>
    </format>
    <format dxfId="873">
      <pivotArea dataOnly="0" outline="0" fieldPosition="0">
        <references count="1">
          <reference field="12" count="0" defaultSubtotal="1"/>
        </references>
      </pivotArea>
    </format>
    <format dxfId="872">
      <pivotArea outline="0" collapsedLevelsAreSubtotals="1" fieldPosition="0"/>
    </format>
    <format dxfId="871">
      <pivotArea dataOnly="0" labelOnly="1" outline="0" axis="axisValues" fieldPosition="0"/>
    </format>
    <format dxfId="870">
      <pivotArea outline="0" collapsedLevelsAreSubtotals="1" fieldPosition="0"/>
    </format>
    <format dxfId="869">
      <pivotArea dataOnly="0" labelOnly="1" outline="0" axis="axisValues" fieldPosition="0"/>
    </format>
    <format dxfId="868">
      <pivotArea dataOnly="0" labelOnly="1" outline="0" axis="axisValues" fieldPosition="0"/>
    </format>
    <format dxfId="867">
      <pivotArea outline="0" collapsedLevelsAreSubtotals="1" fieldPosition="0"/>
    </format>
    <format dxfId="866">
      <pivotArea dataOnly="0" labelOnly="1" outline="0" axis="axisValues" fieldPosition="0"/>
    </format>
    <format dxfId="865">
      <pivotArea dataOnly="0" outline="0" fieldPosition="0">
        <references count="1">
          <reference field="12" count="0" defaultSubtotal="1"/>
        </references>
      </pivotArea>
    </format>
    <format dxfId="864">
      <pivotArea outline="0" collapsedLevelsAreSubtotals="1" fieldPosition="0"/>
    </format>
    <format dxfId="863">
      <pivotArea dataOnly="0" labelOnly="1" outline="0" axis="axisValues" fieldPosition="0"/>
    </format>
    <format dxfId="862">
      <pivotArea outline="0" collapsedLevelsAreSubtotals="1" fieldPosition="0"/>
    </format>
    <format dxfId="861">
      <pivotArea dataOnly="0" labelOnly="1" outline="0" axis="axisValues" fieldPosition="0"/>
    </format>
    <format dxfId="860">
      <pivotArea dataOnly="0" outline="0" fieldPosition="0">
        <references count="1">
          <reference field="12" count="0" defaultSubtotal="1"/>
        </references>
      </pivotArea>
    </format>
    <format dxfId="859">
      <pivotArea outline="0" collapsedLevelsAreSubtotals="1" fieldPosition="0"/>
    </format>
    <format dxfId="858">
      <pivotArea dataOnly="0" labelOnly="1" outline="0" axis="axisValues" fieldPosition="0"/>
    </format>
    <format dxfId="857">
      <pivotArea outline="0" collapsedLevelsAreSubtotals="1" fieldPosition="0"/>
    </format>
    <format dxfId="856">
      <pivotArea dataOnly="0" labelOnly="1" outline="0" axis="axisValues" fieldPosition="0"/>
    </format>
    <format dxfId="855">
      <pivotArea dataOnly="0" labelOnly="1" outline="0" axis="axisValues" fieldPosition="0"/>
    </format>
    <format dxfId="854">
      <pivotArea outline="0" collapsedLevelsAreSubtotals="1" fieldPosition="0"/>
    </format>
    <format dxfId="853">
      <pivotArea dataOnly="0" labelOnly="1" outline="0" axis="axisValues" fieldPosition="0"/>
    </format>
    <format dxfId="852">
      <pivotArea dataOnly="0" outline="0" fieldPosition="0">
        <references count="1">
          <reference field="12" count="0" defaultSubtotal="1"/>
        </references>
      </pivotArea>
    </format>
    <format dxfId="851">
      <pivotArea outline="0" collapsedLevelsAreSubtotals="1" fieldPosition="0"/>
    </format>
    <format dxfId="850">
      <pivotArea dataOnly="0" labelOnly="1" outline="0" axis="axisValues" fieldPosition="0"/>
    </format>
    <format dxfId="849">
      <pivotArea outline="0" collapsedLevelsAreSubtotals="1" fieldPosition="0"/>
    </format>
    <format dxfId="848">
      <pivotArea dataOnly="0" labelOnly="1" outline="0" axis="axisValues" fieldPosition="0"/>
    </format>
    <format dxfId="847">
      <pivotArea dataOnly="0" outline="0" fieldPosition="0">
        <references count="1">
          <reference field="12" count="0" defaultSubtotal="1"/>
        </references>
      </pivotArea>
    </format>
    <format dxfId="846">
      <pivotArea outline="0" collapsedLevelsAreSubtotals="1" fieldPosition="0"/>
    </format>
    <format dxfId="845">
      <pivotArea dataOnly="0" labelOnly="1" outline="0" axis="axisValues" fieldPosition="0"/>
    </format>
    <format dxfId="844">
      <pivotArea outline="0" collapsedLevelsAreSubtotals="1" fieldPosition="0"/>
    </format>
    <format dxfId="843">
      <pivotArea dataOnly="0" labelOnly="1" outline="0" axis="axisValues" fieldPosition="0"/>
    </format>
    <format dxfId="842">
      <pivotArea dataOnly="0" labelOnly="1" outline="0" axis="axisValues" fieldPosition="0"/>
    </format>
    <format dxfId="841">
      <pivotArea outline="0" collapsedLevelsAreSubtotals="1" fieldPosition="0"/>
    </format>
    <format dxfId="840">
      <pivotArea dataOnly="0" labelOnly="1" outline="0" axis="axisValues" fieldPosition="0"/>
    </format>
    <format dxfId="839">
      <pivotArea outline="0" collapsedLevelsAreSubtotals="1" fieldPosition="0"/>
    </format>
    <format dxfId="838">
      <pivotArea dataOnly="0" labelOnly="1" outline="0" axis="axisValues" fieldPosition="0"/>
    </format>
    <format dxfId="837">
      <pivotArea dataOnly="0" outline="0" fieldPosition="0">
        <references count="1">
          <reference field="12" count="0" defaultSubtotal="1"/>
        </references>
      </pivotArea>
    </format>
    <format dxfId="836">
      <pivotArea outline="0" collapsedLevelsAreSubtotals="1" fieldPosition="0"/>
    </format>
    <format dxfId="835">
      <pivotArea dataOnly="0" labelOnly="1" outline="0" axis="axisValues" fieldPosition="0"/>
    </format>
    <format dxfId="834">
      <pivotArea outline="0" collapsedLevelsAreSubtotals="1" fieldPosition="0"/>
    </format>
    <format dxfId="833">
      <pivotArea dataOnly="0" labelOnly="1" outline="0" axis="axisValues" fieldPosition="0"/>
    </format>
    <format dxfId="832">
      <pivotArea dataOnly="0" outline="0" fieldPosition="0">
        <references count="1">
          <reference field="12" count="0" defaultSubtotal="1"/>
        </references>
      </pivotArea>
    </format>
    <format dxfId="831">
      <pivotArea outline="0" collapsedLevelsAreSubtotals="1" fieldPosition="0"/>
    </format>
    <format dxfId="830">
      <pivotArea dataOnly="0" labelOnly="1" outline="0" axis="axisValues" fieldPosition="0"/>
    </format>
    <format dxfId="829">
      <pivotArea outline="0" collapsedLevelsAreSubtotals="1" fieldPosition="0"/>
    </format>
    <format dxfId="828">
      <pivotArea dataOnly="0" labelOnly="1" outline="0" axis="axisValues" fieldPosition="0"/>
    </format>
    <format dxfId="827">
      <pivotArea dataOnly="0" labelOnly="1" outline="0" axis="axisValues" fieldPosition="0"/>
    </format>
    <format dxfId="826">
      <pivotArea outline="0" collapsedLevelsAreSubtotals="1" fieldPosition="0"/>
    </format>
    <format dxfId="825">
      <pivotArea dataOnly="0" labelOnly="1" outline="0" axis="axisValues" fieldPosition="0"/>
    </format>
    <format dxfId="824">
      <pivotArea dataOnly="0" outline="0" fieldPosition="0">
        <references count="1">
          <reference field="12" count="0" defaultSubtotal="1"/>
        </references>
      </pivotArea>
    </format>
    <format dxfId="823">
      <pivotArea outline="0" collapsedLevelsAreSubtotals="1" fieldPosition="0"/>
    </format>
    <format dxfId="822">
      <pivotArea dataOnly="0" labelOnly="1" outline="0" axis="axisValues" fieldPosition="0"/>
    </format>
    <format dxfId="821">
      <pivotArea outline="0" collapsedLevelsAreSubtotals="1" fieldPosition="0"/>
    </format>
    <format dxfId="820">
      <pivotArea dataOnly="0" labelOnly="1" outline="0" axis="axisValues" fieldPosition="0"/>
    </format>
    <format dxfId="819">
      <pivotArea dataOnly="0" outline="0" fieldPosition="0">
        <references count="1">
          <reference field="12" count="0" defaultSubtotal="1"/>
        </references>
      </pivotArea>
    </format>
    <format dxfId="818">
      <pivotArea outline="0" collapsedLevelsAreSubtotals="1" fieldPosition="0"/>
    </format>
    <format dxfId="817">
      <pivotArea dataOnly="0" labelOnly="1" outline="0" axis="axisValues" fieldPosition="0"/>
    </format>
    <format dxfId="816">
      <pivotArea outline="0" collapsedLevelsAreSubtotals="1" fieldPosition="0"/>
    </format>
    <format dxfId="815">
      <pivotArea dataOnly="0" labelOnly="1" outline="0" axis="axisValues" fieldPosition="0"/>
    </format>
    <format dxfId="814">
      <pivotArea dataOnly="0" labelOnly="1" outline="0" axis="axisValues" fieldPosition="0"/>
    </format>
    <format dxfId="813">
      <pivotArea outline="0" collapsedLevelsAreSubtotals="1" fieldPosition="0"/>
    </format>
    <format dxfId="812">
      <pivotArea dataOnly="0" labelOnly="1" outline="0" axis="axisValues" fieldPosition="0"/>
    </format>
    <format dxfId="811">
      <pivotArea dataOnly="0" outline="0" fieldPosition="0">
        <references count="1">
          <reference field="12" count="0" defaultSubtotal="1"/>
        </references>
      </pivotArea>
    </format>
    <format dxfId="810">
      <pivotArea outline="0" collapsedLevelsAreSubtotals="1" fieldPosition="0"/>
    </format>
    <format dxfId="809">
      <pivotArea dataOnly="0" labelOnly="1" outline="0" axis="axisValues" fieldPosition="0"/>
    </format>
    <format dxfId="808">
      <pivotArea outline="0" collapsedLevelsAreSubtotals="1" fieldPosition="0"/>
    </format>
    <format dxfId="807">
      <pivotArea dataOnly="0" labelOnly="1" outline="0" axis="axisValues" fieldPosition="0"/>
    </format>
    <format dxfId="806">
      <pivotArea dataOnly="0" outline="0" fieldPosition="0">
        <references count="1">
          <reference field="12" count="0" defaultSubtotal="1"/>
        </references>
      </pivotArea>
    </format>
    <format dxfId="805">
      <pivotArea outline="0" collapsedLevelsAreSubtotals="1" fieldPosition="0"/>
    </format>
    <format dxfId="804">
      <pivotArea dataOnly="0" labelOnly="1" outline="0" axis="axisValues" fieldPosition="0"/>
    </format>
    <format dxfId="803">
      <pivotArea outline="0" collapsedLevelsAreSubtotals="1" fieldPosition="0"/>
    </format>
    <format dxfId="802">
      <pivotArea dataOnly="0" labelOnly="1" outline="0" axis="axisValues" fieldPosition="0"/>
    </format>
    <format dxfId="801">
      <pivotArea dataOnly="0" labelOnly="1" outline="0" axis="axisValues" fieldPosition="0"/>
    </format>
    <format dxfId="800">
      <pivotArea outline="0" collapsedLevelsAreSubtotals="1" fieldPosition="0"/>
    </format>
    <format dxfId="799">
      <pivotArea dataOnly="0" labelOnly="1" outline="0" axis="axisValues" fieldPosition="0"/>
    </format>
    <format dxfId="798">
      <pivotArea dataOnly="0" outline="0" fieldPosition="0">
        <references count="1">
          <reference field="12" count="0" defaultSubtotal="1"/>
        </references>
      </pivotArea>
    </format>
    <format dxfId="797">
      <pivotArea outline="0" collapsedLevelsAreSubtotals="1" fieldPosition="0"/>
    </format>
    <format dxfId="796">
      <pivotArea dataOnly="0" labelOnly="1" outline="0" axis="axisValues" fieldPosition="0"/>
    </format>
    <format dxfId="795">
      <pivotArea outline="0" collapsedLevelsAreSubtotals="1" fieldPosition="0"/>
    </format>
    <format dxfId="794">
      <pivotArea dataOnly="0" labelOnly="1" outline="0" axis="axisValues" fieldPosition="0"/>
    </format>
    <format dxfId="793">
      <pivotArea dataOnly="0" outline="0" fieldPosition="0">
        <references count="1">
          <reference field="12" count="0" defaultSubtotal="1"/>
        </references>
      </pivotArea>
    </format>
    <format dxfId="792">
      <pivotArea outline="0" collapsedLevelsAreSubtotals="1" fieldPosition="0"/>
    </format>
    <format dxfId="791">
      <pivotArea dataOnly="0" labelOnly="1" outline="0" axis="axisValues" fieldPosition="0"/>
    </format>
    <format dxfId="790">
      <pivotArea outline="0" collapsedLevelsAreSubtotals="1" fieldPosition="0"/>
    </format>
    <format dxfId="789">
      <pivotArea dataOnly="0" labelOnly="1" outline="0" axis="axisValues" fieldPosition="0"/>
    </format>
    <format dxfId="788">
      <pivotArea dataOnly="0" labelOnly="1" outline="0" axis="axisValues" fieldPosition="0"/>
    </format>
    <format dxfId="787">
      <pivotArea outline="0" collapsedLevelsAreSubtotals="1" fieldPosition="0"/>
    </format>
    <format dxfId="786">
      <pivotArea dataOnly="0" labelOnly="1" outline="0" axis="axisValues" fieldPosition="0"/>
    </format>
    <format dxfId="785">
      <pivotArea outline="0" collapsedLevelsAreSubtotals="1" fieldPosition="0"/>
    </format>
    <format dxfId="784">
      <pivotArea dataOnly="0" labelOnly="1" outline="0" axis="axisValues" fieldPosition="0"/>
    </format>
    <format dxfId="783">
      <pivotArea dataOnly="0" outline="0" fieldPosition="0">
        <references count="1">
          <reference field="12" count="0" defaultSubtotal="1"/>
        </references>
      </pivotArea>
    </format>
    <format dxfId="782">
      <pivotArea outline="0" collapsedLevelsAreSubtotals="1" fieldPosition="0"/>
    </format>
    <format dxfId="781">
      <pivotArea dataOnly="0" labelOnly="1" outline="0" axis="axisValues" fieldPosition="0"/>
    </format>
    <format dxfId="780">
      <pivotArea outline="0" collapsedLevelsAreSubtotals="1" fieldPosition="0"/>
    </format>
    <format dxfId="779">
      <pivotArea dataOnly="0" labelOnly="1" outline="0" axis="axisValues" fieldPosition="0"/>
    </format>
    <format dxfId="778">
      <pivotArea dataOnly="0" outline="0" fieldPosition="0">
        <references count="1">
          <reference field="12" count="0" defaultSubtotal="1"/>
        </references>
      </pivotArea>
    </format>
    <format dxfId="777">
      <pivotArea outline="0" collapsedLevelsAreSubtotals="1" fieldPosition="0"/>
    </format>
    <format dxfId="776">
      <pivotArea dataOnly="0" labelOnly="1" outline="0" axis="axisValues" fieldPosition="0"/>
    </format>
    <format dxfId="775">
      <pivotArea outline="0" collapsedLevelsAreSubtotals="1" fieldPosition="0"/>
    </format>
    <format dxfId="774">
      <pivotArea dataOnly="0" labelOnly="1" outline="0" axis="axisValues" fieldPosition="0"/>
    </format>
    <format dxfId="773">
      <pivotArea dataOnly="0" labelOnly="1" outline="0" axis="axisValues" fieldPosition="0"/>
    </format>
    <format dxfId="772">
      <pivotArea outline="0" collapsedLevelsAreSubtotals="1" fieldPosition="0"/>
    </format>
    <format dxfId="771">
      <pivotArea dataOnly="0" labelOnly="1" outline="0" axis="axisValues" fieldPosition="0"/>
    </format>
    <format dxfId="770">
      <pivotArea dataOnly="0" outline="0" fieldPosition="0">
        <references count="1">
          <reference field="12" count="0" defaultSubtotal="1"/>
        </references>
      </pivotArea>
    </format>
    <format dxfId="769">
      <pivotArea outline="0" collapsedLevelsAreSubtotals="1" fieldPosition="0"/>
    </format>
    <format dxfId="768">
      <pivotArea dataOnly="0" labelOnly="1" outline="0" axis="axisValues" fieldPosition="0"/>
    </format>
    <format dxfId="767">
      <pivotArea outline="0" collapsedLevelsAreSubtotals="1" fieldPosition="0"/>
    </format>
    <format dxfId="766">
      <pivotArea dataOnly="0" labelOnly="1" outline="0" axis="axisValues" fieldPosition="0"/>
    </format>
    <format dxfId="765">
      <pivotArea dataOnly="0" outline="0" fieldPosition="0">
        <references count="1">
          <reference field="12" count="0" defaultSubtotal="1"/>
        </references>
      </pivotArea>
    </format>
    <format dxfId="764">
      <pivotArea outline="0" collapsedLevelsAreSubtotals="1" fieldPosition="0"/>
    </format>
    <format dxfId="763">
      <pivotArea dataOnly="0" labelOnly="1" outline="0" axis="axisValues" fieldPosition="0"/>
    </format>
    <format dxfId="762">
      <pivotArea outline="0" collapsedLevelsAreSubtotals="1" fieldPosition="0"/>
    </format>
    <format dxfId="761">
      <pivotArea dataOnly="0" labelOnly="1" outline="0" axis="axisValues" fieldPosition="0"/>
    </format>
    <format dxfId="760">
      <pivotArea dataOnly="0" labelOnly="1" outline="0" axis="axisValues" fieldPosition="0"/>
    </format>
    <format dxfId="759">
      <pivotArea outline="0" collapsedLevelsAreSubtotals="1" fieldPosition="0"/>
    </format>
    <format dxfId="758">
      <pivotArea dataOnly="0" labelOnly="1" outline="0" axis="axisValues" fieldPosition="0"/>
    </format>
    <format dxfId="757">
      <pivotArea dataOnly="0" outline="0" fieldPosition="0">
        <references count="1">
          <reference field="12" count="0" defaultSubtotal="1"/>
        </references>
      </pivotArea>
    </format>
    <format dxfId="756">
      <pivotArea outline="0" collapsedLevelsAreSubtotals="1" fieldPosition="0"/>
    </format>
    <format dxfId="755">
      <pivotArea dataOnly="0" labelOnly="1" outline="0" axis="axisValues" fieldPosition="0"/>
    </format>
    <format dxfId="754">
      <pivotArea outline="0" collapsedLevelsAreSubtotals="1" fieldPosition="0"/>
    </format>
    <format dxfId="753">
      <pivotArea dataOnly="0" labelOnly="1" outline="0" axis="axisValues" fieldPosition="0"/>
    </format>
    <format dxfId="752">
      <pivotArea dataOnly="0" outline="0" fieldPosition="0">
        <references count="1">
          <reference field="12" count="0" defaultSubtotal="1"/>
        </references>
      </pivotArea>
    </format>
    <format dxfId="751">
      <pivotArea outline="0" collapsedLevelsAreSubtotals="1" fieldPosition="0"/>
    </format>
    <format dxfId="750">
      <pivotArea dataOnly="0" labelOnly="1" outline="0" axis="axisValues" fieldPosition="0"/>
    </format>
    <format dxfId="749">
      <pivotArea outline="0" collapsedLevelsAreSubtotals="1" fieldPosition="0"/>
    </format>
    <format dxfId="748">
      <pivotArea dataOnly="0" labelOnly="1" outline="0" axis="axisValues" fieldPosition="0"/>
    </format>
    <format dxfId="747">
      <pivotArea dataOnly="0" labelOnly="1" outline="0" axis="axisValues" fieldPosition="0"/>
    </format>
    <format dxfId="746">
      <pivotArea outline="0" collapsedLevelsAreSubtotals="1" fieldPosition="0"/>
    </format>
    <format dxfId="745">
      <pivotArea dataOnly="0" labelOnly="1" outline="0" axis="axisValues" fieldPosition="0"/>
    </format>
    <format dxfId="744">
      <pivotArea outline="0" collapsedLevelsAreSubtotals="1" fieldPosition="0"/>
    </format>
    <format dxfId="743">
      <pivotArea dataOnly="0" labelOnly="1" outline="0" axis="axisValues" fieldPosition="0"/>
    </format>
    <format dxfId="742">
      <pivotArea dataOnly="0" outline="0" fieldPosition="0">
        <references count="1">
          <reference field="12" count="0" defaultSubtotal="1"/>
        </references>
      </pivotArea>
    </format>
    <format dxfId="741">
      <pivotArea outline="0" collapsedLevelsAreSubtotals="1" fieldPosition="0"/>
    </format>
    <format dxfId="740">
      <pivotArea dataOnly="0" labelOnly="1" outline="0" axis="axisValues" fieldPosition="0"/>
    </format>
    <format dxfId="739">
      <pivotArea outline="0" collapsedLevelsAreSubtotals="1" fieldPosition="0"/>
    </format>
    <format dxfId="738">
      <pivotArea dataOnly="0" labelOnly="1" outline="0" axis="axisValues" fieldPosition="0"/>
    </format>
    <format dxfId="737">
      <pivotArea dataOnly="0" outline="0" fieldPosition="0">
        <references count="1">
          <reference field="12" count="0" defaultSubtotal="1"/>
        </references>
      </pivotArea>
    </format>
    <format dxfId="736">
      <pivotArea outline="0" collapsedLevelsAreSubtotals="1" fieldPosition="0"/>
    </format>
    <format dxfId="735">
      <pivotArea dataOnly="0" labelOnly="1" outline="0" axis="axisValues" fieldPosition="0"/>
    </format>
    <format dxfId="734">
      <pivotArea outline="0" collapsedLevelsAreSubtotals="1" fieldPosition="0"/>
    </format>
    <format dxfId="733">
      <pivotArea dataOnly="0" labelOnly="1" outline="0" axis="axisValues" fieldPosition="0"/>
    </format>
    <format dxfId="732">
      <pivotArea dataOnly="0" labelOnly="1" outline="0" axis="axisValues" fieldPosition="0"/>
    </format>
    <format dxfId="731">
      <pivotArea outline="0" collapsedLevelsAreSubtotals="1" fieldPosition="0"/>
    </format>
    <format dxfId="730">
      <pivotArea dataOnly="0" labelOnly="1" outline="0" axis="axisValues" fieldPosition="0"/>
    </format>
    <format dxfId="729">
      <pivotArea dataOnly="0" outline="0" fieldPosition="0">
        <references count="1">
          <reference field="12" count="0" defaultSubtotal="1"/>
        </references>
      </pivotArea>
    </format>
    <format dxfId="728">
      <pivotArea outline="0" collapsedLevelsAreSubtotals="1" fieldPosition="0"/>
    </format>
    <format dxfId="727">
      <pivotArea dataOnly="0" labelOnly="1" outline="0" axis="axisValues" fieldPosition="0"/>
    </format>
    <format dxfId="726">
      <pivotArea outline="0" collapsedLevelsAreSubtotals="1" fieldPosition="0"/>
    </format>
    <format dxfId="725">
      <pivotArea dataOnly="0" labelOnly="1" outline="0" axis="axisValues" fieldPosition="0"/>
    </format>
    <format dxfId="724">
      <pivotArea dataOnly="0" outline="0" fieldPosition="0">
        <references count="1">
          <reference field="12" count="0" defaultSubtotal="1"/>
        </references>
      </pivotArea>
    </format>
    <format dxfId="723">
      <pivotArea outline="0" collapsedLevelsAreSubtotals="1" fieldPosition="0"/>
    </format>
    <format dxfId="722">
      <pivotArea dataOnly="0" labelOnly="1" outline="0" axis="axisValues" fieldPosition="0"/>
    </format>
    <format dxfId="721">
      <pivotArea outline="0" collapsedLevelsAreSubtotals="1" fieldPosition="0"/>
    </format>
    <format dxfId="720">
      <pivotArea dataOnly="0" labelOnly="1" outline="0" axis="axisValues" fieldPosition="0"/>
    </format>
    <format dxfId="719">
      <pivotArea dataOnly="0" labelOnly="1" outline="0" axis="axisValues" fieldPosition="0"/>
    </format>
    <format dxfId="718">
      <pivotArea outline="0" collapsedLevelsAreSubtotals="1" fieldPosition="0"/>
    </format>
    <format dxfId="717">
      <pivotArea dataOnly="0" labelOnly="1" outline="0" axis="axisValues" fieldPosition="0"/>
    </format>
    <format dxfId="716">
      <pivotArea dataOnly="0" outline="0" fieldPosition="0">
        <references count="1">
          <reference field="12" count="0" defaultSubtotal="1"/>
        </references>
      </pivotArea>
    </format>
    <format dxfId="715">
      <pivotArea outline="0" collapsedLevelsAreSubtotals="1" fieldPosition="0"/>
    </format>
    <format dxfId="714">
      <pivotArea dataOnly="0" labelOnly="1" outline="0" axis="axisValues" fieldPosition="0"/>
    </format>
    <format dxfId="713">
      <pivotArea outline="0" collapsedLevelsAreSubtotals="1" fieldPosition="0"/>
    </format>
    <format dxfId="712">
      <pivotArea dataOnly="0" labelOnly="1" outline="0" axis="axisValues" fieldPosition="0"/>
    </format>
    <format dxfId="711">
      <pivotArea dataOnly="0" outline="0" fieldPosition="0">
        <references count="1">
          <reference field="12" count="0" defaultSubtotal="1"/>
        </references>
      </pivotArea>
    </format>
    <format dxfId="710">
      <pivotArea outline="0" collapsedLevelsAreSubtotals="1" fieldPosition="0"/>
    </format>
    <format dxfId="709">
      <pivotArea dataOnly="0" labelOnly="1" outline="0" axis="axisValues" fieldPosition="0"/>
    </format>
    <format dxfId="708">
      <pivotArea outline="0" collapsedLevelsAreSubtotals="1" fieldPosition="0"/>
    </format>
    <format dxfId="707">
      <pivotArea dataOnly="0" labelOnly="1" outline="0" axis="axisValues" fieldPosition="0"/>
    </format>
    <format dxfId="706">
      <pivotArea dataOnly="0" labelOnly="1" outline="0" axis="axisValues" fieldPosition="0"/>
    </format>
    <format dxfId="705">
      <pivotArea outline="0" collapsedLevelsAreSubtotals="1" fieldPosition="0"/>
    </format>
    <format dxfId="704">
      <pivotArea dataOnly="0" labelOnly="1" outline="0" axis="axisValues" fieldPosition="0"/>
    </format>
    <format dxfId="703">
      <pivotArea dataOnly="0" outline="0" fieldPosition="0">
        <references count="1">
          <reference field="12" count="0" defaultSubtotal="1"/>
        </references>
      </pivotArea>
    </format>
    <format dxfId="702">
      <pivotArea outline="0" collapsedLevelsAreSubtotals="1" fieldPosition="0"/>
    </format>
    <format dxfId="701">
      <pivotArea dataOnly="0" labelOnly="1" outline="0" axis="axisValues" fieldPosition="0"/>
    </format>
    <format dxfId="700">
      <pivotArea outline="0" collapsedLevelsAreSubtotals="1" fieldPosition="0"/>
    </format>
    <format dxfId="699">
      <pivotArea dataOnly="0" labelOnly="1" outline="0" axis="axisValues" fieldPosition="0"/>
    </format>
    <format dxfId="698">
      <pivotArea dataOnly="0" outline="0" fieldPosition="0">
        <references count="1">
          <reference field="12" count="0" defaultSubtotal="1"/>
        </references>
      </pivotArea>
    </format>
    <format dxfId="697">
      <pivotArea outline="0" collapsedLevelsAreSubtotals="1" fieldPosition="0"/>
    </format>
    <format dxfId="696">
      <pivotArea dataOnly="0" labelOnly="1" outline="0" axis="axisValues" fieldPosition="0"/>
    </format>
    <format dxfId="695">
      <pivotArea outline="0" collapsedLevelsAreSubtotals="1" fieldPosition="0"/>
    </format>
    <format dxfId="694">
      <pivotArea dataOnly="0" labelOnly="1" outline="0" axis="axisValues" fieldPosition="0"/>
    </format>
    <format dxfId="693">
      <pivotArea dataOnly="0" labelOnly="1" outline="0" axis="axisValues" fieldPosition="0"/>
    </format>
    <format dxfId="692">
      <pivotArea outline="0" collapsedLevelsAreSubtotals="1" fieldPosition="0"/>
    </format>
    <format dxfId="691">
      <pivotArea dataOnly="0" labelOnly="1" outline="0" axis="axisValues" fieldPosition="0"/>
    </format>
    <format dxfId="690">
      <pivotArea outline="0" collapsedLevelsAreSubtotals="1" fieldPosition="0"/>
    </format>
    <format dxfId="689">
      <pivotArea dataOnly="0" labelOnly="1" outline="0" axis="axisValues" fieldPosition="0"/>
    </format>
    <format dxfId="688">
      <pivotArea dataOnly="0" outline="0" fieldPosition="0">
        <references count="1">
          <reference field="12" count="0" defaultSubtotal="1"/>
        </references>
      </pivotArea>
    </format>
    <format dxfId="687">
      <pivotArea outline="0" collapsedLevelsAreSubtotals="1" fieldPosition="0"/>
    </format>
    <format dxfId="686">
      <pivotArea dataOnly="0" labelOnly="1" outline="0" axis="axisValues" fieldPosition="0"/>
    </format>
    <format dxfId="685">
      <pivotArea outline="0" collapsedLevelsAreSubtotals="1" fieldPosition="0"/>
    </format>
    <format dxfId="684">
      <pivotArea dataOnly="0" labelOnly="1" outline="0" axis="axisValues" fieldPosition="0"/>
    </format>
    <format dxfId="683">
      <pivotArea dataOnly="0" outline="0" fieldPosition="0">
        <references count="1">
          <reference field="12" count="0" defaultSubtotal="1"/>
        </references>
      </pivotArea>
    </format>
    <format dxfId="682">
      <pivotArea outline="0" collapsedLevelsAreSubtotals="1" fieldPosition="0"/>
    </format>
    <format dxfId="681">
      <pivotArea dataOnly="0" labelOnly="1" outline="0" axis="axisValues" fieldPosition="0"/>
    </format>
    <format dxfId="680">
      <pivotArea outline="0" collapsedLevelsAreSubtotals="1" fieldPosition="0"/>
    </format>
    <format dxfId="679">
      <pivotArea dataOnly="0" labelOnly="1" outline="0" axis="axisValues" fieldPosition="0"/>
    </format>
    <format dxfId="678">
      <pivotArea dataOnly="0" labelOnly="1" outline="0" axis="axisValues" fieldPosition="0"/>
    </format>
    <format dxfId="677">
      <pivotArea outline="0" collapsedLevelsAreSubtotals="1" fieldPosition="0"/>
    </format>
    <format dxfId="676">
      <pivotArea dataOnly="0" labelOnly="1" outline="0" axis="axisValues" fieldPosition="0"/>
    </format>
    <format dxfId="675">
      <pivotArea dataOnly="0" outline="0" fieldPosition="0">
        <references count="1">
          <reference field="12" count="0" defaultSubtotal="1"/>
        </references>
      </pivotArea>
    </format>
    <format dxfId="674">
      <pivotArea outline="0" collapsedLevelsAreSubtotals="1" fieldPosition="0"/>
    </format>
    <format dxfId="673">
      <pivotArea dataOnly="0" labelOnly="1" outline="0" axis="axisValues" fieldPosition="0"/>
    </format>
    <format dxfId="672">
      <pivotArea outline="0" collapsedLevelsAreSubtotals="1" fieldPosition="0"/>
    </format>
    <format dxfId="671">
      <pivotArea dataOnly="0" labelOnly="1" outline="0" axis="axisValues" fieldPosition="0"/>
    </format>
    <format dxfId="670">
      <pivotArea dataOnly="0" outline="0" fieldPosition="0">
        <references count="1">
          <reference field="12" count="0" defaultSubtotal="1"/>
        </references>
      </pivotArea>
    </format>
    <format dxfId="669">
      <pivotArea outline="0" collapsedLevelsAreSubtotals="1" fieldPosition="0"/>
    </format>
    <format dxfId="668">
      <pivotArea dataOnly="0" labelOnly="1" outline="0" axis="axisValues" fieldPosition="0"/>
    </format>
    <format dxfId="667">
      <pivotArea outline="0" collapsedLevelsAreSubtotals="1" fieldPosition="0"/>
    </format>
    <format dxfId="666">
      <pivotArea dataOnly="0" labelOnly="1" outline="0" axis="axisValues" fieldPosition="0"/>
    </format>
    <format dxfId="665">
      <pivotArea dataOnly="0" labelOnly="1" outline="0" axis="axisValues" fieldPosition="0"/>
    </format>
    <format dxfId="664">
      <pivotArea outline="0" collapsedLevelsAreSubtotals="1" fieldPosition="0"/>
    </format>
    <format dxfId="663">
      <pivotArea dataOnly="0" labelOnly="1" outline="0" axis="axisValues" fieldPosition="0"/>
    </format>
    <format dxfId="662">
      <pivotArea dataOnly="0" outline="0" fieldPosition="0">
        <references count="1">
          <reference field="12" count="0" defaultSubtotal="1"/>
        </references>
      </pivotArea>
    </format>
    <format dxfId="661">
      <pivotArea outline="0" collapsedLevelsAreSubtotals="1" fieldPosition="0"/>
    </format>
    <format dxfId="660">
      <pivotArea dataOnly="0" labelOnly="1" outline="0" axis="axisValues" fieldPosition="0"/>
    </format>
    <format dxfId="659">
      <pivotArea outline="0" collapsedLevelsAreSubtotals="1" fieldPosition="0"/>
    </format>
    <format dxfId="658">
      <pivotArea dataOnly="0" labelOnly="1" outline="0" axis="axisValues" fieldPosition="0"/>
    </format>
    <format dxfId="657">
      <pivotArea dataOnly="0" outline="0" fieldPosition="0">
        <references count="1">
          <reference field="12" count="0" defaultSubtotal="1"/>
        </references>
      </pivotArea>
    </format>
    <format dxfId="656">
      <pivotArea outline="0" collapsedLevelsAreSubtotals="1" fieldPosition="0"/>
    </format>
    <format dxfId="655">
      <pivotArea dataOnly="0" labelOnly="1" outline="0" axis="axisValues" fieldPosition="0"/>
    </format>
    <format dxfId="654">
      <pivotArea outline="0" collapsedLevelsAreSubtotals="1" fieldPosition="0"/>
    </format>
    <format dxfId="653">
      <pivotArea dataOnly="0" labelOnly="1" outline="0" axis="axisValues" fieldPosition="0"/>
    </format>
    <format dxfId="652">
      <pivotArea dataOnly="0" labelOnly="1" outline="0" axis="axisValues" fieldPosition="0"/>
    </format>
    <format dxfId="651">
      <pivotArea outline="0" collapsedLevelsAreSubtotals="1" fieldPosition="0"/>
    </format>
    <format dxfId="650">
      <pivotArea dataOnly="0" labelOnly="1" outline="0" axis="axisValues" fieldPosition="0"/>
    </format>
    <format dxfId="649">
      <pivotArea outline="0" collapsedLevelsAreSubtotals="1" fieldPosition="0"/>
    </format>
    <format dxfId="648">
      <pivotArea dataOnly="0" labelOnly="1" outline="0" axis="axisValues" fieldPosition="0"/>
    </format>
    <format dxfId="647">
      <pivotArea dataOnly="0" outline="0" fieldPosition="0">
        <references count="1">
          <reference field="12" count="0" defaultSubtotal="1"/>
        </references>
      </pivotArea>
    </format>
    <format dxfId="646">
      <pivotArea outline="0" collapsedLevelsAreSubtotals="1" fieldPosition="0"/>
    </format>
    <format dxfId="645">
      <pivotArea dataOnly="0" labelOnly="1" outline="0" axis="axisValues" fieldPosition="0"/>
    </format>
    <format dxfId="644">
      <pivotArea outline="0" collapsedLevelsAreSubtotals="1" fieldPosition="0"/>
    </format>
    <format dxfId="643">
      <pivotArea dataOnly="0" labelOnly="1" outline="0" axis="axisValues" fieldPosition="0"/>
    </format>
    <format dxfId="642">
      <pivotArea dataOnly="0" outline="0" fieldPosition="0">
        <references count="1">
          <reference field="12" count="0" defaultSubtotal="1"/>
        </references>
      </pivotArea>
    </format>
    <format dxfId="641">
      <pivotArea outline="0" collapsedLevelsAreSubtotals="1" fieldPosition="0"/>
    </format>
    <format dxfId="640">
      <pivotArea dataOnly="0" labelOnly="1" outline="0" axis="axisValues" fieldPosition="0"/>
    </format>
    <format dxfId="639">
      <pivotArea outline="0" collapsedLevelsAreSubtotals="1" fieldPosition="0"/>
    </format>
    <format dxfId="638">
      <pivotArea dataOnly="0" labelOnly="1" outline="0" axis="axisValues" fieldPosition="0"/>
    </format>
    <format dxfId="637">
      <pivotArea dataOnly="0" labelOnly="1" outline="0" axis="axisValues" fieldPosition="0"/>
    </format>
    <format dxfId="636">
      <pivotArea outline="0" collapsedLevelsAreSubtotals="1" fieldPosition="0"/>
    </format>
    <format dxfId="635">
      <pivotArea dataOnly="0" labelOnly="1" outline="0" axis="axisValues" fieldPosition="0"/>
    </format>
    <format dxfId="634">
      <pivotArea outline="0" collapsedLevelsAreSubtotals="1" fieldPosition="0"/>
    </format>
    <format dxfId="633">
      <pivotArea dataOnly="0" labelOnly="1" outline="0" axis="axisValues" fieldPosition="0"/>
    </format>
    <format dxfId="632">
      <pivotArea dataOnly="0" outline="0" fieldPosition="0">
        <references count="1">
          <reference field="12" count="0" defaultSubtotal="1"/>
        </references>
      </pivotArea>
    </format>
    <format dxfId="631">
      <pivotArea outline="0" collapsedLevelsAreSubtotals="1" fieldPosition="0"/>
    </format>
    <format dxfId="630">
      <pivotArea dataOnly="0" labelOnly="1" outline="0" axis="axisValues" fieldPosition="0"/>
    </format>
    <format dxfId="629">
      <pivotArea outline="0" collapsedLevelsAreSubtotals="1" fieldPosition="0"/>
    </format>
    <format dxfId="628">
      <pivotArea dataOnly="0" labelOnly="1" outline="0" axis="axisValues" fieldPosition="0"/>
    </format>
    <format dxfId="627">
      <pivotArea dataOnly="0" outline="0" fieldPosition="0">
        <references count="1">
          <reference field="12" count="0" defaultSubtotal="1"/>
        </references>
      </pivotArea>
    </format>
    <format dxfId="626">
      <pivotArea outline="0" collapsedLevelsAreSubtotals="1" fieldPosition="0"/>
    </format>
    <format dxfId="625">
      <pivotArea dataOnly="0" labelOnly="1" outline="0" axis="axisValues" fieldPosition="0"/>
    </format>
    <format dxfId="624">
      <pivotArea outline="0" collapsedLevelsAreSubtotals="1" fieldPosition="0"/>
    </format>
    <format dxfId="623">
      <pivotArea dataOnly="0" labelOnly="1" outline="0" axis="axisValues" fieldPosition="0"/>
    </format>
    <format dxfId="622">
      <pivotArea dataOnly="0" labelOnly="1" outline="0" axis="axisValues" fieldPosition="0"/>
    </format>
    <format dxfId="621">
      <pivotArea outline="0" collapsedLevelsAreSubtotals="1" fieldPosition="0"/>
    </format>
    <format dxfId="620">
      <pivotArea dataOnly="0" labelOnly="1" outline="0" axis="axisValues" fieldPosition="0"/>
    </format>
    <format dxfId="619">
      <pivotArea outline="0" collapsedLevelsAreSubtotals="1" fieldPosition="0"/>
    </format>
    <format dxfId="618">
      <pivotArea dataOnly="0" labelOnly="1" outline="0" axis="axisValues" fieldPosition="0"/>
    </format>
    <format dxfId="617">
      <pivotArea dataOnly="0" outline="0" fieldPosition="0">
        <references count="1">
          <reference field="12" count="0" defaultSubtotal="1"/>
        </references>
      </pivotArea>
    </format>
    <format dxfId="616">
      <pivotArea outline="0" collapsedLevelsAreSubtotals="1" fieldPosition="0"/>
    </format>
    <format dxfId="615">
      <pivotArea dataOnly="0" labelOnly="1" outline="0" axis="axisValues" fieldPosition="0"/>
    </format>
    <format dxfId="614">
      <pivotArea outline="0" collapsedLevelsAreSubtotals="1" fieldPosition="0"/>
    </format>
    <format dxfId="613">
      <pivotArea dataOnly="0" labelOnly="1" outline="0" axis="axisValues" fieldPosition="0"/>
    </format>
    <format dxfId="612">
      <pivotArea dataOnly="0" outline="0" fieldPosition="0">
        <references count="1">
          <reference field="12" count="0" defaultSubtotal="1"/>
        </references>
      </pivotArea>
    </format>
    <format dxfId="611">
      <pivotArea outline="0" collapsedLevelsAreSubtotals="1" fieldPosition="0"/>
    </format>
    <format dxfId="610">
      <pivotArea dataOnly="0" labelOnly="1" outline="0" axis="axisValues" fieldPosition="0"/>
    </format>
    <format dxfId="609">
      <pivotArea outline="0" collapsedLevelsAreSubtotals="1" fieldPosition="0"/>
    </format>
    <format dxfId="608">
      <pivotArea dataOnly="0" labelOnly="1" outline="0" axis="axisValues" fieldPosition="0"/>
    </format>
    <format dxfId="607">
      <pivotArea dataOnly="0" labelOnly="1" outline="0" axis="axisValues" fieldPosition="0"/>
    </format>
    <format dxfId="606">
      <pivotArea outline="0" collapsedLevelsAreSubtotals="1" fieldPosition="0"/>
    </format>
    <format dxfId="605">
      <pivotArea dataOnly="0" labelOnly="1" outline="0" axis="axisValues" fieldPosition="0"/>
    </format>
    <format dxfId="604">
      <pivotArea dataOnly="0" outline="0" fieldPosition="0">
        <references count="1">
          <reference field="12" count="0" defaultSubtotal="1"/>
        </references>
      </pivotArea>
    </format>
    <format dxfId="603">
      <pivotArea outline="0" collapsedLevelsAreSubtotals="1" fieldPosition="0"/>
    </format>
    <format dxfId="602">
      <pivotArea dataOnly="0" labelOnly="1" outline="0" axis="axisValues" fieldPosition="0"/>
    </format>
    <format dxfId="601">
      <pivotArea outline="0" collapsedLevelsAreSubtotals="1" fieldPosition="0"/>
    </format>
    <format dxfId="600">
      <pivotArea dataOnly="0" labelOnly="1" outline="0" axis="axisValues" fieldPosition="0"/>
    </format>
    <format dxfId="599">
      <pivotArea dataOnly="0" outline="0" fieldPosition="0">
        <references count="1">
          <reference field="12" count="0" defaultSubtotal="1"/>
        </references>
      </pivotArea>
    </format>
    <format dxfId="598">
      <pivotArea outline="0" collapsedLevelsAreSubtotals="1" fieldPosition="0"/>
    </format>
    <format dxfId="597">
      <pivotArea dataOnly="0" labelOnly="1" outline="0" axis="axisValues" fieldPosition="0"/>
    </format>
    <format dxfId="596">
      <pivotArea outline="0" collapsedLevelsAreSubtotals="1" fieldPosition="0"/>
    </format>
    <format dxfId="595">
      <pivotArea dataOnly="0" labelOnly="1" outline="0" axis="axisValues" fieldPosition="0"/>
    </format>
    <format dxfId="594">
      <pivotArea dataOnly="0" labelOnly="1" outline="0" axis="axisValues" fieldPosition="0"/>
    </format>
    <format dxfId="593">
      <pivotArea outline="0" collapsedLevelsAreSubtotals="1" fieldPosition="0"/>
    </format>
    <format dxfId="592">
      <pivotArea dataOnly="0" labelOnly="1" outline="0" axis="axisValues" fieldPosition="0"/>
    </format>
    <format dxfId="591">
      <pivotArea outline="0" collapsedLevelsAreSubtotals="1" fieldPosition="0"/>
    </format>
    <format dxfId="590">
      <pivotArea dataOnly="0" labelOnly="1" outline="0" axis="axisValues" fieldPosition="0"/>
    </format>
    <format dxfId="589">
      <pivotArea dataOnly="0" outline="0" fieldPosition="0">
        <references count="1">
          <reference field="12" count="0" defaultSubtotal="1"/>
        </references>
      </pivotArea>
    </format>
    <format dxfId="588">
      <pivotArea outline="0" collapsedLevelsAreSubtotals="1" fieldPosition="0"/>
    </format>
    <format dxfId="587">
      <pivotArea dataOnly="0" labelOnly="1" outline="0" axis="axisValues" fieldPosition="0"/>
    </format>
    <format dxfId="586">
      <pivotArea outline="0" collapsedLevelsAreSubtotals="1" fieldPosition="0"/>
    </format>
    <format dxfId="585">
      <pivotArea dataOnly="0" labelOnly="1" outline="0" axis="axisValues" fieldPosition="0"/>
    </format>
    <format dxfId="584">
      <pivotArea dataOnly="0" outline="0" fieldPosition="0">
        <references count="1">
          <reference field="12" count="0" defaultSubtotal="1"/>
        </references>
      </pivotArea>
    </format>
    <format dxfId="583">
      <pivotArea outline="0" collapsedLevelsAreSubtotals="1" fieldPosition="0"/>
    </format>
    <format dxfId="582">
      <pivotArea dataOnly="0" labelOnly="1" outline="0" axis="axisValues" fieldPosition="0"/>
    </format>
    <format dxfId="581">
      <pivotArea outline="0" collapsedLevelsAreSubtotals="1" fieldPosition="0"/>
    </format>
    <format dxfId="580">
      <pivotArea dataOnly="0" labelOnly="1" outline="0" axis="axisValues" fieldPosition="0"/>
    </format>
    <format dxfId="579">
      <pivotArea dataOnly="0" labelOnly="1" outline="0" axis="axisValues" fieldPosition="0"/>
    </format>
    <format dxfId="578">
      <pivotArea outline="0" collapsedLevelsAreSubtotals="1" fieldPosition="0"/>
    </format>
    <format dxfId="577">
      <pivotArea dataOnly="0" labelOnly="1" outline="0" axis="axisValues" fieldPosition="0"/>
    </format>
    <format dxfId="576">
      <pivotArea dataOnly="0" outline="0" fieldPosition="0">
        <references count="1">
          <reference field="12" count="0" defaultSubtotal="1"/>
        </references>
      </pivotArea>
    </format>
    <format dxfId="575">
      <pivotArea outline="0" collapsedLevelsAreSubtotals="1" fieldPosition="0"/>
    </format>
    <format dxfId="574">
      <pivotArea dataOnly="0" labelOnly="1" outline="0" axis="axisValues" fieldPosition="0"/>
    </format>
    <format dxfId="573">
      <pivotArea outline="0" collapsedLevelsAreSubtotals="1" fieldPosition="0"/>
    </format>
    <format dxfId="572">
      <pivotArea dataOnly="0" labelOnly="1" outline="0" axis="axisValues" fieldPosition="0"/>
    </format>
    <format dxfId="571">
      <pivotArea dataOnly="0" outline="0" fieldPosition="0">
        <references count="1">
          <reference field="12" count="0" defaultSubtotal="1"/>
        </references>
      </pivotArea>
    </format>
    <format dxfId="570">
      <pivotArea outline="0" collapsedLevelsAreSubtotals="1" fieldPosition="0"/>
    </format>
    <format dxfId="569">
      <pivotArea dataOnly="0" labelOnly="1" outline="0" axis="axisValues" fieldPosition="0"/>
    </format>
    <format dxfId="568">
      <pivotArea outline="0" collapsedLevelsAreSubtotals="1" fieldPosition="0"/>
    </format>
    <format dxfId="567">
      <pivotArea dataOnly="0" labelOnly="1" outline="0" axis="axisValues" fieldPosition="0"/>
    </format>
    <format dxfId="566">
      <pivotArea dataOnly="0" labelOnly="1" outline="0" axis="axisValues" fieldPosition="0"/>
    </format>
    <format dxfId="565">
      <pivotArea outline="0" collapsedLevelsAreSubtotals="1" fieldPosition="0"/>
    </format>
    <format dxfId="564">
      <pivotArea dataOnly="0" labelOnly="1" outline="0" axis="axisValues" fieldPosition="0"/>
    </format>
    <format dxfId="563">
      <pivotArea dataOnly="0" outline="0" fieldPosition="0">
        <references count="1">
          <reference field="12" count="0" defaultSubtotal="1"/>
        </references>
      </pivotArea>
    </format>
    <format dxfId="562">
      <pivotArea outline="0" collapsedLevelsAreSubtotals="1" fieldPosition="0"/>
    </format>
    <format dxfId="561">
      <pivotArea dataOnly="0" labelOnly="1" outline="0" axis="axisValues" fieldPosition="0"/>
    </format>
    <format dxfId="560">
      <pivotArea outline="0" collapsedLevelsAreSubtotals="1" fieldPosition="0"/>
    </format>
    <format dxfId="559">
      <pivotArea dataOnly="0" labelOnly="1" outline="0" axis="axisValues" fieldPosition="0"/>
    </format>
    <format dxfId="558">
      <pivotArea dataOnly="0" outline="0" fieldPosition="0">
        <references count="1">
          <reference field="12" count="0" defaultSubtotal="1"/>
        </references>
      </pivotArea>
    </format>
    <format dxfId="557">
      <pivotArea outline="0" collapsedLevelsAreSubtotals="1" fieldPosition="0"/>
    </format>
    <format dxfId="556">
      <pivotArea dataOnly="0" labelOnly="1" outline="0" axis="axisValues" fieldPosition="0"/>
    </format>
    <format dxfId="555">
      <pivotArea outline="0" collapsedLevelsAreSubtotals="1" fieldPosition="0"/>
    </format>
    <format dxfId="554">
      <pivotArea dataOnly="0" labelOnly="1" outline="0" axis="axisValues" fieldPosition="0"/>
    </format>
    <format dxfId="553">
      <pivotArea dataOnly="0" labelOnly="1" outline="0" axis="axisValues" fieldPosition="0"/>
    </format>
    <format dxfId="552">
      <pivotArea outline="0" collapsedLevelsAreSubtotals="1" fieldPosition="0"/>
    </format>
    <format dxfId="551">
      <pivotArea dataOnly="0" labelOnly="1" outline="0" axis="axisValues" fieldPosition="0"/>
    </format>
    <format dxfId="550">
      <pivotArea outline="0" collapsedLevelsAreSubtotals="1" fieldPosition="0"/>
    </format>
    <format dxfId="549">
      <pivotArea dataOnly="0" labelOnly="1" outline="0" axis="axisValues" fieldPosition="0"/>
    </format>
    <format dxfId="548">
      <pivotArea dataOnly="0" outline="0" fieldPosition="0">
        <references count="1">
          <reference field="12" count="0" defaultSubtotal="1"/>
        </references>
      </pivotArea>
    </format>
    <format dxfId="547">
      <pivotArea outline="0" collapsedLevelsAreSubtotals="1" fieldPosition="0"/>
    </format>
    <format dxfId="546">
      <pivotArea dataOnly="0" labelOnly="1" outline="0" axis="axisValues" fieldPosition="0"/>
    </format>
    <format dxfId="545">
      <pivotArea outline="0" collapsedLevelsAreSubtotals="1" fieldPosition="0"/>
    </format>
    <format dxfId="544">
      <pivotArea dataOnly="0" labelOnly="1" outline="0" axis="axisValues" fieldPosition="0"/>
    </format>
    <format dxfId="543">
      <pivotArea dataOnly="0" outline="0" fieldPosition="0">
        <references count="1">
          <reference field="12" count="0" defaultSubtotal="1"/>
        </references>
      </pivotArea>
    </format>
    <format dxfId="542">
      <pivotArea outline="0" collapsedLevelsAreSubtotals="1" fieldPosition="0"/>
    </format>
    <format dxfId="541">
      <pivotArea dataOnly="0" labelOnly="1" outline="0" axis="axisValues" fieldPosition="0"/>
    </format>
    <format dxfId="540">
      <pivotArea outline="0" collapsedLevelsAreSubtotals="1" fieldPosition="0"/>
    </format>
    <format dxfId="539">
      <pivotArea dataOnly="0" labelOnly="1" outline="0" axis="axisValues" fieldPosition="0"/>
    </format>
    <format dxfId="538">
      <pivotArea dataOnly="0" labelOnly="1" outline="0" axis="axisValues" fieldPosition="0"/>
    </format>
    <format dxfId="537">
      <pivotArea outline="0" collapsedLevelsAreSubtotals="1" fieldPosition="0"/>
    </format>
    <format dxfId="536">
      <pivotArea dataOnly="0" labelOnly="1" outline="0" axis="axisValues" fieldPosition="0"/>
    </format>
    <format dxfId="535">
      <pivotArea dataOnly="0" outline="0" fieldPosition="0">
        <references count="1">
          <reference field="12" count="0" defaultSubtotal="1"/>
        </references>
      </pivotArea>
    </format>
    <format dxfId="534">
      <pivotArea outline="0" collapsedLevelsAreSubtotals="1" fieldPosition="0"/>
    </format>
    <format dxfId="533">
      <pivotArea dataOnly="0" labelOnly="1" outline="0" axis="axisValues" fieldPosition="0"/>
    </format>
    <format dxfId="532">
      <pivotArea outline="0" collapsedLevelsAreSubtotals="1" fieldPosition="0"/>
    </format>
    <format dxfId="531">
      <pivotArea dataOnly="0" labelOnly="1" outline="0" axis="axisValues" fieldPosition="0"/>
    </format>
    <format dxfId="530">
      <pivotArea dataOnly="0" outline="0" fieldPosition="0">
        <references count="1">
          <reference field="12" count="0" defaultSubtotal="1"/>
        </references>
      </pivotArea>
    </format>
    <format dxfId="529">
      <pivotArea outline="0" collapsedLevelsAreSubtotals="1" fieldPosition="0"/>
    </format>
    <format dxfId="528">
      <pivotArea dataOnly="0" labelOnly="1" outline="0" axis="axisValues" fieldPosition="0"/>
    </format>
    <format dxfId="527">
      <pivotArea outline="0" collapsedLevelsAreSubtotals="1" fieldPosition="0"/>
    </format>
    <format dxfId="526">
      <pivotArea dataOnly="0" labelOnly="1" outline="0" axis="axisValues" fieldPosition="0"/>
    </format>
    <format dxfId="525">
      <pivotArea dataOnly="0" labelOnly="1" outline="0" axis="axisValues" fieldPosition="0"/>
    </format>
    <format dxfId="524">
      <pivotArea outline="0" collapsedLevelsAreSubtotals="1" fieldPosition="0"/>
    </format>
    <format dxfId="523">
      <pivotArea dataOnly="0" labelOnly="1" outline="0" axis="axisValues" fieldPosition="0"/>
    </format>
    <format dxfId="522">
      <pivotArea dataOnly="0" outline="0" fieldPosition="0">
        <references count="1">
          <reference field="12" count="0" defaultSubtotal="1"/>
        </references>
      </pivotArea>
    </format>
    <format dxfId="521">
      <pivotArea outline="0" collapsedLevelsAreSubtotals="1" fieldPosition="0"/>
    </format>
    <format dxfId="520">
      <pivotArea dataOnly="0" labelOnly="1" outline="0" axis="axisValues" fieldPosition="0"/>
    </format>
    <format dxfId="519">
      <pivotArea outline="0" collapsedLevelsAreSubtotals="1" fieldPosition="0"/>
    </format>
    <format dxfId="518">
      <pivotArea dataOnly="0" labelOnly="1" outline="0" axis="axisValues" fieldPosition="0"/>
    </format>
    <format dxfId="517">
      <pivotArea dataOnly="0" outline="0" fieldPosition="0">
        <references count="1">
          <reference field="12" count="0" defaultSubtotal="1"/>
        </references>
      </pivotArea>
    </format>
    <format dxfId="516">
      <pivotArea outline="0" collapsedLevelsAreSubtotals="1" fieldPosition="0"/>
    </format>
    <format dxfId="515">
      <pivotArea dataOnly="0" labelOnly="1" outline="0" axis="axisValues" fieldPosition="0"/>
    </format>
    <format dxfId="514">
      <pivotArea outline="0" collapsedLevelsAreSubtotals="1" fieldPosition="0"/>
    </format>
    <format dxfId="513">
      <pivotArea dataOnly="0" labelOnly="1" outline="0" axis="axisValues" fieldPosition="0"/>
    </format>
    <format dxfId="512">
      <pivotArea dataOnly="0" labelOnly="1" outline="0" axis="axisValues" fieldPosition="0"/>
    </format>
    <format dxfId="511">
      <pivotArea outline="0" collapsedLevelsAreSubtotals="1" fieldPosition="0"/>
    </format>
    <format dxfId="510">
      <pivotArea dataOnly="0" labelOnly="1" outline="0" axis="axisValues" fieldPosition="0"/>
    </format>
    <format dxfId="509">
      <pivotArea dataOnly="0" outline="0" fieldPosition="0">
        <references count="1">
          <reference field="12" count="0" defaultSubtotal="1"/>
        </references>
      </pivotArea>
    </format>
    <format dxfId="508">
      <pivotArea outline="0" collapsedLevelsAreSubtotals="1" fieldPosition="0"/>
    </format>
    <format dxfId="507">
      <pivotArea dataOnly="0" labelOnly="1" outline="0" axis="axisValues" fieldPosition="0"/>
    </format>
    <format dxfId="506">
      <pivotArea outline="0" collapsedLevelsAreSubtotals="1" fieldPosition="0"/>
    </format>
    <format dxfId="505">
      <pivotArea dataOnly="0" labelOnly="1" outline="0" axis="axisValues" fieldPosition="0"/>
    </format>
    <format dxfId="504">
      <pivotArea dataOnly="0" outline="0" fieldPosition="0">
        <references count="1">
          <reference field="12" count="0" defaultSubtotal="1"/>
        </references>
      </pivotArea>
    </format>
    <format dxfId="503">
      <pivotArea outline="0" collapsedLevelsAreSubtotals="1" fieldPosition="0"/>
    </format>
    <format dxfId="502">
      <pivotArea dataOnly="0" labelOnly="1" outline="0" axis="axisValues" fieldPosition="0"/>
    </format>
    <format dxfId="501">
      <pivotArea outline="0" collapsedLevelsAreSubtotals="1" fieldPosition="0"/>
    </format>
    <format dxfId="500">
      <pivotArea dataOnly="0" labelOnly="1" outline="0" axis="axisValues" fieldPosition="0"/>
    </format>
    <format dxfId="499">
      <pivotArea dataOnly="0" labelOnly="1" outline="0" axis="axisValues" fieldPosition="0"/>
    </format>
    <format dxfId="498">
      <pivotArea outline="0" collapsedLevelsAreSubtotals="1" fieldPosition="0"/>
    </format>
    <format dxfId="497">
      <pivotArea dataOnly="0" labelOnly="1" outline="0" axis="axisValues" fieldPosition="0"/>
    </format>
    <format dxfId="496">
      <pivotArea outline="0" collapsedLevelsAreSubtotals="1" fieldPosition="0"/>
    </format>
    <format dxfId="495">
      <pivotArea dataOnly="0" labelOnly="1" outline="0" axis="axisValues" fieldPosition="0"/>
    </format>
    <format dxfId="494">
      <pivotArea dataOnly="0" outline="0" fieldPosition="0">
        <references count="1">
          <reference field="12" count="0" defaultSubtotal="1"/>
        </references>
      </pivotArea>
    </format>
    <format dxfId="493">
      <pivotArea outline="0" collapsedLevelsAreSubtotals="1" fieldPosition="0"/>
    </format>
    <format dxfId="492">
      <pivotArea dataOnly="0" labelOnly="1" outline="0" axis="axisValues" fieldPosition="0"/>
    </format>
    <format dxfId="491">
      <pivotArea outline="0" collapsedLevelsAreSubtotals="1" fieldPosition="0"/>
    </format>
    <format dxfId="490">
      <pivotArea dataOnly="0" labelOnly="1" outline="0" axis="axisValues" fieldPosition="0"/>
    </format>
    <format dxfId="489">
      <pivotArea dataOnly="0" outline="0" fieldPosition="0">
        <references count="1">
          <reference field="12" count="0" defaultSubtotal="1"/>
        </references>
      </pivotArea>
    </format>
    <format dxfId="488">
      <pivotArea outline="0" collapsedLevelsAreSubtotals="1" fieldPosition="0"/>
    </format>
    <format dxfId="487">
      <pivotArea dataOnly="0" labelOnly="1" outline="0" axis="axisValues" fieldPosition="0"/>
    </format>
    <format dxfId="486">
      <pivotArea outline="0" collapsedLevelsAreSubtotals="1" fieldPosition="0"/>
    </format>
    <format dxfId="485">
      <pivotArea dataOnly="0" labelOnly="1" outline="0" axis="axisValues" fieldPosition="0"/>
    </format>
    <format dxfId="484">
      <pivotArea dataOnly="0" labelOnly="1" outline="0" axis="axisValues" fieldPosition="0"/>
    </format>
    <format dxfId="483">
      <pivotArea outline="0" collapsedLevelsAreSubtotals="1" fieldPosition="0"/>
    </format>
    <format dxfId="482">
      <pivotArea dataOnly="0" labelOnly="1" outline="0" axis="axisValues" fieldPosition="0"/>
    </format>
    <format dxfId="481">
      <pivotArea dataOnly="0" outline="0" fieldPosition="0">
        <references count="1">
          <reference field="12" count="0" defaultSubtotal="1"/>
        </references>
      </pivotArea>
    </format>
    <format dxfId="480">
      <pivotArea outline="0" collapsedLevelsAreSubtotals="1" fieldPosition="0"/>
    </format>
    <format dxfId="479">
      <pivotArea dataOnly="0" labelOnly="1" outline="0" axis="axisValues" fieldPosition="0"/>
    </format>
    <format dxfId="478">
      <pivotArea outline="0" collapsedLevelsAreSubtotals="1" fieldPosition="0"/>
    </format>
    <format dxfId="477">
      <pivotArea dataOnly="0" labelOnly="1" outline="0" axis="axisValues" fieldPosition="0"/>
    </format>
    <format dxfId="476">
      <pivotArea dataOnly="0" outline="0" fieldPosition="0">
        <references count="1">
          <reference field="12" count="0" defaultSubtotal="1"/>
        </references>
      </pivotArea>
    </format>
    <format dxfId="475">
      <pivotArea outline="0" collapsedLevelsAreSubtotals="1" fieldPosition="0"/>
    </format>
    <format dxfId="474">
      <pivotArea dataOnly="0" labelOnly="1" outline="0" axis="axisValues" fieldPosition="0"/>
    </format>
    <format dxfId="473">
      <pivotArea outline="0" collapsedLevelsAreSubtotals="1" fieldPosition="0"/>
    </format>
    <format dxfId="472">
      <pivotArea dataOnly="0" labelOnly="1" outline="0" axis="axisValues" fieldPosition="0"/>
    </format>
    <format dxfId="471">
      <pivotArea dataOnly="0" labelOnly="1" outline="0" axis="axisValues" fieldPosition="0"/>
    </format>
    <format dxfId="470">
      <pivotArea outline="0" collapsedLevelsAreSubtotals="1" fieldPosition="0"/>
    </format>
    <format dxfId="469">
      <pivotArea dataOnly="0" labelOnly="1" outline="0" axis="axisValues" fieldPosition="0"/>
    </format>
    <format dxfId="468">
      <pivotArea outline="0" collapsedLevelsAreSubtotals="1" fieldPosition="0"/>
    </format>
    <format dxfId="467">
      <pivotArea dataOnly="0" labelOnly="1" outline="0" axis="axisValues" fieldPosition="0"/>
    </format>
    <format dxfId="466">
      <pivotArea dataOnly="0" outline="0" fieldPosition="0">
        <references count="1">
          <reference field="12" count="0" defaultSubtotal="1"/>
        </references>
      </pivotArea>
    </format>
    <format dxfId="465">
      <pivotArea outline="0" collapsedLevelsAreSubtotals="1" fieldPosition="0"/>
    </format>
    <format dxfId="464">
      <pivotArea dataOnly="0" labelOnly="1" outline="0" axis="axisValues" fieldPosition="0"/>
    </format>
    <format dxfId="463">
      <pivotArea outline="0" collapsedLevelsAreSubtotals="1" fieldPosition="0"/>
    </format>
    <format dxfId="462">
      <pivotArea dataOnly="0" labelOnly="1" outline="0" axis="axisValues" fieldPosition="0"/>
    </format>
    <format dxfId="461">
      <pivotArea dataOnly="0" outline="0" fieldPosition="0">
        <references count="1">
          <reference field="12" count="0" defaultSubtotal="1"/>
        </references>
      </pivotArea>
    </format>
    <format dxfId="460">
      <pivotArea outline="0" collapsedLevelsAreSubtotals="1" fieldPosition="0"/>
    </format>
    <format dxfId="459">
      <pivotArea dataOnly="0" labelOnly="1" outline="0" axis="axisValues" fieldPosition="0"/>
    </format>
    <format dxfId="458">
      <pivotArea outline="0" collapsedLevelsAreSubtotals="1" fieldPosition="0"/>
    </format>
    <format dxfId="457">
      <pivotArea dataOnly="0" labelOnly="1" outline="0" axis="axisValues" fieldPosition="0"/>
    </format>
    <format dxfId="456">
      <pivotArea dataOnly="0" labelOnly="1" outline="0" axis="axisValues" fieldPosition="0"/>
    </format>
    <format dxfId="455">
      <pivotArea outline="0" collapsedLevelsAreSubtotals="1" fieldPosition="0"/>
    </format>
    <format dxfId="454">
      <pivotArea dataOnly="0" labelOnly="1" outline="0" axis="axisValues" fieldPosition="0"/>
    </format>
    <format dxfId="453">
      <pivotArea outline="0" collapsedLevelsAreSubtotals="1" fieldPosition="0"/>
    </format>
    <format dxfId="452">
      <pivotArea dataOnly="0" labelOnly="1" outline="0" axis="axisValues" fieldPosition="0"/>
    </format>
    <format dxfId="451">
      <pivotArea dataOnly="0" outline="0" fieldPosition="0">
        <references count="1">
          <reference field="12" count="0" defaultSubtotal="1"/>
        </references>
      </pivotArea>
    </format>
    <format dxfId="450">
      <pivotArea outline="0" collapsedLevelsAreSubtotals="1" fieldPosition="0"/>
    </format>
    <format dxfId="449">
      <pivotArea dataOnly="0" labelOnly="1" outline="0" axis="axisValues" fieldPosition="0"/>
    </format>
    <format dxfId="448">
      <pivotArea outline="0" collapsedLevelsAreSubtotals="1" fieldPosition="0"/>
    </format>
    <format dxfId="447">
      <pivotArea dataOnly="0" labelOnly="1" outline="0" axis="axisValues" fieldPosition="0"/>
    </format>
    <format dxfId="446">
      <pivotArea dataOnly="0" outline="0" fieldPosition="0">
        <references count="1">
          <reference field="12" count="0" defaultSubtotal="1"/>
        </references>
      </pivotArea>
    </format>
    <format dxfId="445">
      <pivotArea outline="0" collapsedLevelsAreSubtotals="1" fieldPosition="0"/>
    </format>
    <format dxfId="444">
      <pivotArea dataOnly="0" labelOnly="1" outline="0" axis="axisValues" fieldPosition="0"/>
    </format>
    <format dxfId="443">
      <pivotArea outline="0" collapsedLevelsAreSubtotals="1" fieldPosition="0"/>
    </format>
    <format dxfId="442">
      <pivotArea dataOnly="0" labelOnly="1" outline="0" axis="axisValues" fieldPosition="0"/>
    </format>
    <format dxfId="441">
      <pivotArea dataOnly="0" labelOnly="1" outline="0" axis="axisValues" fieldPosition="0"/>
    </format>
    <format dxfId="440">
      <pivotArea outline="0" collapsedLevelsAreSubtotals="1" fieldPosition="0"/>
    </format>
    <format dxfId="439">
      <pivotArea dataOnly="0" labelOnly="1" outline="0" axis="axisValues" fieldPosition="0"/>
    </format>
    <format dxfId="438">
      <pivotArea dataOnly="0" outline="0" fieldPosition="0">
        <references count="1">
          <reference field="12" count="0" defaultSubtotal="1"/>
        </references>
      </pivotArea>
    </format>
    <format dxfId="437">
      <pivotArea outline="0" collapsedLevelsAreSubtotals="1" fieldPosition="0"/>
    </format>
    <format dxfId="436">
      <pivotArea dataOnly="0" labelOnly="1" outline="0" axis="axisValues" fieldPosition="0"/>
    </format>
    <format dxfId="435">
      <pivotArea outline="0" collapsedLevelsAreSubtotals="1" fieldPosition="0"/>
    </format>
    <format dxfId="434">
      <pivotArea dataOnly="0" labelOnly="1" outline="0" axis="axisValues" fieldPosition="0"/>
    </format>
    <format dxfId="433">
      <pivotArea dataOnly="0" outline="0" fieldPosition="0">
        <references count="1">
          <reference field="12" count="0" defaultSubtotal="1"/>
        </references>
      </pivotArea>
    </format>
    <format dxfId="432">
      <pivotArea outline="0" collapsedLevelsAreSubtotals="1" fieldPosition="0"/>
    </format>
    <format dxfId="431">
      <pivotArea dataOnly="0" labelOnly="1" outline="0" axis="axisValues" fieldPosition="0"/>
    </format>
    <format dxfId="430">
      <pivotArea outline="0" collapsedLevelsAreSubtotals="1" fieldPosition="0"/>
    </format>
    <format dxfId="429">
      <pivotArea dataOnly="0" labelOnly="1" outline="0" axis="axisValues" fieldPosition="0"/>
    </format>
    <format dxfId="428">
      <pivotArea dataOnly="0" labelOnly="1" outline="0" axis="axisValues" fieldPosition="0"/>
    </format>
    <format dxfId="427">
      <pivotArea outline="0" collapsedLevelsAreSubtotals="1" fieldPosition="0"/>
    </format>
    <format dxfId="426">
      <pivotArea dataOnly="0" labelOnly="1" outline="0" axis="axisValues" fieldPosition="0"/>
    </format>
    <format dxfId="425">
      <pivotArea outline="0" collapsedLevelsAreSubtotals="1" fieldPosition="0"/>
    </format>
    <format dxfId="424">
      <pivotArea dataOnly="0" labelOnly="1" outline="0" axis="axisValues" fieldPosition="0"/>
    </format>
    <format dxfId="423">
      <pivotArea dataOnly="0" outline="0" fieldPosition="0">
        <references count="1">
          <reference field="12" count="0" defaultSubtotal="1"/>
        </references>
      </pivotArea>
    </format>
    <format dxfId="422">
      <pivotArea outline="0" collapsedLevelsAreSubtotals="1" fieldPosition="0"/>
    </format>
    <format dxfId="421">
      <pivotArea dataOnly="0" labelOnly="1" outline="0" axis="axisValues" fieldPosition="0"/>
    </format>
    <format dxfId="420">
      <pivotArea outline="0" collapsedLevelsAreSubtotals="1" fieldPosition="0"/>
    </format>
    <format dxfId="419">
      <pivotArea dataOnly="0" labelOnly="1" outline="0" axis="axisValues" fieldPosition="0"/>
    </format>
    <format dxfId="418">
      <pivotArea dataOnly="0" outline="0" fieldPosition="0">
        <references count="1">
          <reference field="12" count="0" defaultSubtotal="1"/>
        </references>
      </pivotArea>
    </format>
    <format dxfId="417">
      <pivotArea outline="0" collapsedLevelsAreSubtotals="1" fieldPosition="0"/>
    </format>
    <format dxfId="416">
      <pivotArea dataOnly="0" labelOnly="1" outline="0" axis="axisValues" fieldPosition="0"/>
    </format>
    <format dxfId="415">
      <pivotArea outline="0" collapsedLevelsAreSubtotals="1" fieldPosition="0"/>
    </format>
    <format dxfId="414">
      <pivotArea dataOnly="0" labelOnly="1" outline="0" axis="axisValues" fieldPosition="0"/>
    </format>
    <format dxfId="413">
      <pivotArea dataOnly="0" labelOnly="1" outline="0" axis="axisValues" fieldPosition="0"/>
    </format>
    <format dxfId="412">
      <pivotArea outline="0" collapsedLevelsAreSubtotals="1" fieldPosition="0"/>
    </format>
    <format dxfId="411">
      <pivotArea dataOnly="0" labelOnly="1" outline="0" axis="axisValues" fieldPosition="0"/>
    </format>
    <format dxfId="410">
      <pivotArea dataOnly="0" outline="0" fieldPosition="0">
        <references count="1">
          <reference field="12" count="0" defaultSubtotal="1"/>
        </references>
      </pivotArea>
    </format>
    <format dxfId="409">
      <pivotArea outline="0" collapsedLevelsAreSubtotals="1" fieldPosition="0"/>
    </format>
    <format dxfId="408">
      <pivotArea dataOnly="0" labelOnly="1" outline="0" axis="axisValues" fieldPosition="0"/>
    </format>
    <format dxfId="407">
      <pivotArea outline="0" collapsedLevelsAreSubtotals="1" fieldPosition="0"/>
    </format>
    <format dxfId="406">
      <pivotArea dataOnly="0" labelOnly="1" outline="0" axis="axisValues" fieldPosition="0"/>
    </format>
    <format dxfId="405">
      <pivotArea dataOnly="0" outline="0" fieldPosition="0">
        <references count="1">
          <reference field="12" count="0" defaultSubtotal="1"/>
        </references>
      </pivotArea>
    </format>
    <format dxfId="404">
      <pivotArea outline="0" collapsedLevelsAreSubtotals="1" fieldPosition="0"/>
    </format>
    <format dxfId="403">
      <pivotArea dataOnly="0" labelOnly="1" outline="0" axis="axisValues" fieldPosition="0"/>
    </format>
    <format dxfId="402">
      <pivotArea outline="0" collapsedLevelsAreSubtotals="1" fieldPosition="0"/>
    </format>
    <format dxfId="401">
      <pivotArea dataOnly="0" labelOnly="1" outline="0" axis="axisValues" fieldPosition="0"/>
    </format>
    <format dxfId="400">
      <pivotArea dataOnly="0" labelOnly="1" outline="0" axis="axisValues" fieldPosition="0"/>
    </format>
    <format dxfId="399">
      <pivotArea outline="0" collapsedLevelsAreSubtotals="1" fieldPosition="0"/>
    </format>
    <format dxfId="398">
      <pivotArea dataOnly="0" labelOnly="1" outline="0" axis="axisValues" fieldPosition="0"/>
    </format>
    <format dxfId="397">
      <pivotArea outline="0" collapsedLevelsAreSubtotals="1" fieldPosition="0"/>
    </format>
    <format dxfId="396">
      <pivotArea dataOnly="0" labelOnly="1" outline="0" axis="axisValues" fieldPosition="0"/>
    </format>
    <format dxfId="395">
      <pivotArea dataOnly="0" outline="0" fieldPosition="0">
        <references count="1">
          <reference field="12" count="0" defaultSubtotal="1"/>
        </references>
      </pivotArea>
    </format>
    <format dxfId="394">
      <pivotArea outline="0" collapsedLevelsAreSubtotals="1" fieldPosition="0"/>
    </format>
    <format dxfId="393">
      <pivotArea dataOnly="0" labelOnly="1" outline="0" axis="axisValues" fieldPosition="0"/>
    </format>
    <format dxfId="392">
      <pivotArea outline="0" collapsedLevelsAreSubtotals="1" fieldPosition="0"/>
    </format>
    <format dxfId="391">
      <pivotArea dataOnly="0" labelOnly="1" outline="0" axis="axisValues" fieldPosition="0"/>
    </format>
    <format dxfId="390">
      <pivotArea dataOnly="0" outline="0" fieldPosition="0">
        <references count="1">
          <reference field="12" count="0" defaultSubtotal="1"/>
        </references>
      </pivotArea>
    </format>
    <format dxfId="389">
      <pivotArea outline="0" collapsedLevelsAreSubtotals="1" fieldPosition="0"/>
    </format>
    <format dxfId="388">
      <pivotArea dataOnly="0" labelOnly="1" outline="0" axis="axisValues" fieldPosition="0"/>
    </format>
    <format dxfId="387">
      <pivotArea outline="0" collapsedLevelsAreSubtotals="1" fieldPosition="0"/>
    </format>
    <format dxfId="386">
      <pivotArea dataOnly="0" labelOnly="1" outline="0" axis="axisValues" fieldPosition="0"/>
    </format>
    <format dxfId="385">
      <pivotArea dataOnly="0" labelOnly="1" outline="0" axis="axisValues" fieldPosition="0"/>
    </format>
    <format dxfId="384">
      <pivotArea outline="0" collapsedLevelsAreSubtotals="1" fieldPosition="0"/>
    </format>
    <format dxfId="383">
      <pivotArea dataOnly="0" labelOnly="1" outline="0" axis="axisValues" fieldPosition="0"/>
    </format>
    <format dxfId="382">
      <pivotArea outline="0" collapsedLevelsAreSubtotals="1" fieldPosition="0"/>
    </format>
    <format dxfId="381">
      <pivotArea dataOnly="0" labelOnly="1" outline="0" axis="axisValues" fieldPosition="0"/>
    </format>
    <format dxfId="380">
      <pivotArea dataOnly="0" outline="0" fieldPosition="0">
        <references count="1">
          <reference field="12" count="0" defaultSubtotal="1"/>
        </references>
      </pivotArea>
    </format>
    <format dxfId="379">
      <pivotArea outline="0" collapsedLevelsAreSubtotals="1" fieldPosition="0"/>
    </format>
    <format dxfId="378">
      <pivotArea dataOnly="0" labelOnly="1" outline="0" axis="axisValues" fieldPosition="0"/>
    </format>
    <format dxfId="377">
      <pivotArea outline="0" collapsedLevelsAreSubtotals="1" fieldPosition="0"/>
    </format>
    <format dxfId="376">
      <pivotArea dataOnly="0" labelOnly="1" outline="0" axis="axisValues" fieldPosition="0"/>
    </format>
    <format dxfId="375">
      <pivotArea dataOnly="0" outline="0" fieldPosition="0">
        <references count="1">
          <reference field="12" count="0" defaultSubtotal="1"/>
        </references>
      </pivotArea>
    </format>
    <format dxfId="374">
      <pivotArea outline="0" collapsedLevelsAreSubtotals="1" fieldPosition="0"/>
    </format>
    <format dxfId="373">
      <pivotArea dataOnly="0" labelOnly="1" outline="0" axis="axisValues" fieldPosition="0"/>
    </format>
    <format dxfId="372">
      <pivotArea outline="0" collapsedLevelsAreSubtotals="1" fieldPosition="0"/>
    </format>
    <format dxfId="371">
      <pivotArea dataOnly="0" labelOnly="1" outline="0" axis="axisValues" fieldPosition="0"/>
    </format>
    <format dxfId="370">
      <pivotArea dataOnly="0" labelOnly="1" outline="0" axis="axisValues" fieldPosition="0"/>
    </format>
    <format dxfId="369">
      <pivotArea outline="0" collapsedLevelsAreSubtotals="1" fieldPosition="0"/>
    </format>
    <format dxfId="368">
      <pivotArea dataOnly="0" labelOnly="1" outline="0" axis="axisValues" fieldPosition="0"/>
    </format>
    <format dxfId="367">
      <pivotArea dataOnly="0" outline="0" fieldPosition="0">
        <references count="1">
          <reference field="12" count="0" defaultSubtotal="1"/>
        </references>
      </pivotArea>
    </format>
    <format dxfId="366">
      <pivotArea outline="0" collapsedLevelsAreSubtotals="1" fieldPosition="0"/>
    </format>
    <format dxfId="365">
      <pivotArea dataOnly="0" labelOnly="1" outline="0" axis="axisValues" fieldPosition="0"/>
    </format>
    <format dxfId="364">
      <pivotArea outline="0" collapsedLevelsAreSubtotals="1" fieldPosition="0"/>
    </format>
    <format dxfId="363">
      <pivotArea dataOnly="0" labelOnly="1" outline="0" axis="axisValues" fieldPosition="0"/>
    </format>
    <format dxfId="362">
      <pivotArea dataOnly="0" outline="0" fieldPosition="0">
        <references count="1">
          <reference field="12" count="0" defaultSubtotal="1"/>
        </references>
      </pivotArea>
    </format>
    <format dxfId="361">
      <pivotArea outline="0" collapsedLevelsAreSubtotals="1" fieldPosition="0"/>
    </format>
    <format dxfId="360">
      <pivotArea dataOnly="0" labelOnly="1" outline="0" axis="axisValues" fieldPosition="0"/>
    </format>
    <format dxfId="359">
      <pivotArea outline="0" collapsedLevelsAreSubtotals="1" fieldPosition="0"/>
    </format>
    <format dxfId="358">
      <pivotArea dataOnly="0" labelOnly="1" outline="0" axis="axisValues" fieldPosition="0"/>
    </format>
    <format dxfId="357">
      <pivotArea dataOnly="0" labelOnly="1" outline="0" axis="axisValues" fieldPosition="0"/>
    </format>
    <format dxfId="356">
      <pivotArea outline="0" collapsedLevelsAreSubtotals="1" fieldPosition="0"/>
    </format>
    <format dxfId="355">
      <pivotArea dataOnly="0" labelOnly="1" outline="0" axis="axisValues" fieldPosition="0"/>
    </format>
    <format dxfId="354">
      <pivotArea outline="0" collapsedLevelsAreSubtotals="1" fieldPosition="0"/>
    </format>
    <format dxfId="353">
      <pivotArea dataOnly="0" labelOnly="1" outline="0" axis="axisValues" fieldPosition="0"/>
    </format>
    <format dxfId="352">
      <pivotArea dataOnly="0" outline="0" fieldPosition="0">
        <references count="1">
          <reference field="12" count="0" defaultSubtotal="1"/>
        </references>
      </pivotArea>
    </format>
    <format dxfId="351">
      <pivotArea outline="0" collapsedLevelsAreSubtotals="1" fieldPosition="0"/>
    </format>
    <format dxfId="350">
      <pivotArea dataOnly="0" labelOnly="1" outline="0" axis="axisValues" fieldPosition="0"/>
    </format>
    <format dxfId="349">
      <pivotArea outline="0" collapsedLevelsAreSubtotals="1" fieldPosition="0"/>
    </format>
    <format dxfId="348">
      <pivotArea dataOnly="0" labelOnly="1" outline="0" axis="axisValues" fieldPosition="0"/>
    </format>
    <format dxfId="347">
      <pivotArea dataOnly="0" outline="0" fieldPosition="0">
        <references count="1">
          <reference field="12" count="0" defaultSubtotal="1"/>
        </references>
      </pivotArea>
    </format>
    <format dxfId="346">
      <pivotArea outline="0" collapsedLevelsAreSubtotals="1" fieldPosition="0"/>
    </format>
    <format dxfId="345">
      <pivotArea dataOnly="0" labelOnly="1" outline="0" axis="axisValues" fieldPosition="0"/>
    </format>
    <format dxfId="344">
      <pivotArea outline="0" collapsedLevelsAreSubtotals="1" fieldPosition="0"/>
    </format>
    <format dxfId="343">
      <pivotArea dataOnly="0" labelOnly="1" outline="0" axis="axisValues" fieldPosition="0"/>
    </format>
    <format dxfId="342">
      <pivotArea dataOnly="0" labelOnly="1" outline="0" axis="axisValues" fieldPosition="0"/>
    </format>
    <format dxfId="341">
      <pivotArea outline="0" collapsedLevelsAreSubtotals="1" fieldPosition="0"/>
    </format>
    <format dxfId="340">
      <pivotArea dataOnly="0" labelOnly="1" outline="0" axis="axisValues" fieldPosition="0"/>
    </format>
    <format dxfId="339">
      <pivotArea dataOnly="0" outline="0" fieldPosition="0">
        <references count="1">
          <reference field="12" count="0" defaultSubtotal="1"/>
        </references>
      </pivotArea>
    </format>
    <format dxfId="338">
      <pivotArea outline="0" collapsedLevelsAreSubtotals="1" fieldPosition="0"/>
    </format>
    <format dxfId="337">
      <pivotArea dataOnly="0" labelOnly="1" outline="0" axis="axisValues" fieldPosition="0"/>
    </format>
    <format dxfId="336">
      <pivotArea outline="0" collapsedLevelsAreSubtotals="1" fieldPosition="0"/>
    </format>
    <format dxfId="335">
      <pivotArea dataOnly="0" labelOnly="1" outline="0" axis="axisValues" fieldPosition="0"/>
    </format>
    <format dxfId="334">
      <pivotArea dataOnly="0" outline="0" fieldPosition="0">
        <references count="1">
          <reference field="12" count="0" defaultSubtotal="1"/>
        </references>
      </pivotArea>
    </format>
    <format dxfId="333">
      <pivotArea outline="0" collapsedLevelsAreSubtotals="1" fieldPosition="0"/>
    </format>
    <format dxfId="332">
      <pivotArea dataOnly="0" labelOnly="1" outline="0" axis="axisValues" fieldPosition="0"/>
    </format>
    <format dxfId="331">
      <pivotArea outline="0" collapsedLevelsAreSubtotals="1" fieldPosition="0"/>
    </format>
    <format dxfId="330">
      <pivotArea dataOnly="0" labelOnly="1" outline="0" axis="axisValues" fieldPosition="0"/>
    </format>
    <format dxfId="329">
      <pivotArea dataOnly="0" labelOnly="1" outline="0" axis="axisValues" fieldPosition="0"/>
    </format>
    <format dxfId="328">
      <pivotArea outline="0" collapsedLevelsAreSubtotals="1" fieldPosition="0"/>
    </format>
    <format dxfId="327">
      <pivotArea dataOnly="0" labelOnly="1" outline="0" axis="axisValues" fieldPosition="0"/>
    </format>
    <format dxfId="326">
      <pivotArea outline="0" collapsedLevelsAreSubtotals="1" fieldPosition="0"/>
    </format>
    <format dxfId="325">
      <pivotArea dataOnly="0" labelOnly="1" outline="0" axis="axisValues" fieldPosition="0"/>
    </format>
    <format dxfId="324">
      <pivotArea dataOnly="0" outline="0" fieldPosition="0">
        <references count="1">
          <reference field="12" count="0" defaultSubtotal="1"/>
        </references>
      </pivotArea>
    </format>
    <format dxfId="323">
      <pivotArea outline="0" collapsedLevelsAreSubtotals="1" fieldPosition="0"/>
    </format>
    <format dxfId="322">
      <pivotArea dataOnly="0" labelOnly="1" outline="0" axis="axisValues" fieldPosition="0"/>
    </format>
    <format dxfId="321">
      <pivotArea outline="0" collapsedLevelsAreSubtotals="1" fieldPosition="0"/>
    </format>
    <format dxfId="320">
      <pivotArea dataOnly="0" labelOnly="1" outline="0" axis="axisValues" fieldPosition="0"/>
    </format>
    <format dxfId="319">
      <pivotArea dataOnly="0" outline="0" fieldPosition="0">
        <references count="1">
          <reference field="12" count="0" defaultSubtotal="1"/>
        </references>
      </pivotArea>
    </format>
    <format dxfId="318">
      <pivotArea outline="0" collapsedLevelsAreSubtotals="1" fieldPosition="0"/>
    </format>
    <format dxfId="317">
      <pivotArea dataOnly="0" labelOnly="1" outline="0" axis="axisValues" fieldPosition="0"/>
    </format>
    <format dxfId="316">
      <pivotArea outline="0" collapsedLevelsAreSubtotals="1" fieldPosition="0"/>
    </format>
    <format dxfId="315">
      <pivotArea dataOnly="0" labelOnly="1" outline="0" axis="axisValues" fieldPosition="0"/>
    </format>
    <format dxfId="314">
      <pivotArea dataOnly="0" labelOnly="1" outline="0" axis="axisValues" fieldPosition="0"/>
    </format>
    <format dxfId="313">
      <pivotArea outline="0" collapsedLevelsAreSubtotals="1" fieldPosition="0"/>
    </format>
    <format dxfId="312">
      <pivotArea dataOnly="0" labelOnly="1" outline="0" axis="axisValues" fieldPosition="0"/>
    </format>
    <format dxfId="311">
      <pivotArea dataOnly="0" outline="0" fieldPosition="0">
        <references count="1">
          <reference field="12" count="0" defaultSubtotal="1"/>
        </references>
      </pivotArea>
    </format>
    <format dxfId="310">
      <pivotArea outline="0" collapsedLevelsAreSubtotals="1" fieldPosition="0"/>
    </format>
    <format dxfId="309">
      <pivotArea dataOnly="0" labelOnly="1" outline="0" axis="axisValues" fieldPosition="0"/>
    </format>
    <format dxfId="308">
      <pivotArea outline="0" collapsedLevelsAreSubtotals="1" fieldPosition="0"/>
    </format>
    <format dxfId="307">
      <pivotArea dataOnly="0" labelOnly="1" outline="0" axis="axisValues" fieldPosition="0"/>
    </format>
    <format dxfId="306">
      <pivotArea dataOnly="0" outline="0" fieldPosition="0">
        <references count="1">
          <reference field="12" count="0" defaultSubtotal="1"/>
        </references>
      </pivotArea>
    </format>
    <format dxfId="305">
      <pivotArea outline="0" collapsedLevelsAreSubtotals="1" fieldPosition="0"/>
    </format>
    <format dxfId="304">
      <pivotArea dataOnly="0" labelOnly="1" outline="0" axis="axisValues" fieldPosition="0"/>
    </format>
    <format dxfId="303">
      <pivotArea outline="0" collapsedLevelsAreSubtotals="1" fieldPosition="0"/>
    </format>
    <format dxfId="302">
      <pivotArea dataOnly="0" labelOnly="1" outline="0" axis="axisValues" fieldPosition="0"/>
    </format>
    <format dxfId="301">
      <pivotArea dataOnly="0" labelOnly="1" outline="0" axis="axisValues" fieldPosition="0"/>
    </format>
    <format dxfId="300">
      <pivotArea outline="0" collapsedLevelsAreSubtotals="1" fieldPosition="0"/>
    </format>
    <format dxfId="299">
      <pivotArea dataOnly="0" labelOnly="1" outline="0" axis="axisValues" fieldPosition="0"/>
    </format>
    <format dxfId="298">
      <pivotArea outline="0" collapsedLevelsAreSubtotals="1" fieldPosition="0"/>
    </format>
    <format dxfId="297">
      <pivotArea dataOnly="0" labelOnly="1" outline="0" axis="axisValues" fieldPosition="0"/>
    </format>
    <format dxfId="296">
      <pivotArea dataOnly="0" outline="0" fieldPosition="0">
        <references count="1">
          <reference field="12" count="0" defaultSubtotal="1"/>
        </references>
      </pivotArea>
    </format>
    <format dxfId="295">
      <pivotArea outline="0" collapsedLevelsAreSubtotals="1" fieldPosition="0"/>
    </format>
    <format dxfId="294">
      <pivotArea dataOnly="0" labelOnly="1" outline="0" axis="axisValues" fieldPosition="0"/>
    </format>
    <format dxfId="293">
      <pivotArea outline="0" collapsedLevelsAreSubtotals="1" fieldPosition="0"/>
    </format>
    <format dxfId="292">
      <pivotArea dataOnly="0" labelOnly="1" outline="0" axis="axisValues" fieldPosition="0"/>
    </format>
    <format dxfId="291">
      <pivotArea dataOnly="0" outline="0" fieldPosition="0">
        <references count="1">
          <reference field="12" count="0" defaultSubtotal="1"/>
        </references>
      </pivotArea>
    </format>
    <format dxfId="290">
      <pivotArea outline="0" collapsedLevelsAreSubtotals="1" fieldPosition="0"/>
    </format>
    <format dxfId="289">
      <pivotArea dataOnly="0" labelOnly="1" outline="0" axis="axisValues" fieldPosition="0"/>
    </format>
    <format dxfId="288">
      <pivotArea outline="0" collapsedLevelsAreSubtotals="1" fieldPosition="0"/>
    </format>
    <format dxfId="287">
      <pivotArea dataOnly="0" labelOnly="1" outline="0" axis="axisValues" fieldPosition="0"/>
    </format>
    <format dxfId="286">
      <pivotArea dataOnly="0" labelOnly="1" outline="0" axis="axisValues" fieldPosition="0"/>
    </format>
    <format dxfId="285">
      <pivotArea outline="0" collapsedLevelsAreSubtotals="1" fieldPosition="0"/>
    </format>
    <format dxfId="284">
      <pivotArea dataOnly="0" labelOnly="1" outline="0" axis="axisValues" fieldPosition="0"/>
    </format>
    <format dxfId="283">
      <pivotArea dataOnly="0" outline="0" fieldPosition="0">
        <references count="1">
          <reference field="12" count="0" defaultSubtotal="1"/>
        </references>
      </pivotArea>
    </format>
    <format dxfId="282">
      <pivotArea outline="0" collapsedLevelsAreSubtotals="1" fieldPosition="0"/>
    </format>
    <format dxfId="281">
      <pivotArea dataOnly="0" labelOnly="1" outline="0" axis="axisValues" fieldPosition="0"/>
    </format>
    <format dxfId="280">
      <pivotArea outline="0" collapsedLevelsAreSubtotals="1" fieldPosition="0"/>
    </format>
    <format dxfId="279">
      <pivotArea dataOnly="0" labelOnly="1" outline="0" axis="axisValues" fieldPosition="0"/>
    </format>
    <format dxfId="278">
      <pivotArea dataOnly="0" outline="0" fieldPosition="0">
        <references count="1">
          <reference field="12" count="0" defaultSubtotal="1"/>
        </references>
      </pivotArea>
    </format>
    <format dxfId="277">
      <pivotArea outline="0" collapsedLevelsAreSubtotals="1" fieldPosition="0"/>
    </format>
    <format dxfId="276">
      <pivotArea dataOnly="0" labelOnly="1" outline="0" axis="axisValues" fieldPosition="0"/>
    </format>
    <format dxfId="275">
      <pivotArea outline="0" collapsedLevelsAreSubtotals="1" fieldPosition="0"/>
    </format>
    <format dxfId="274">
      <pivotArea dataOnly="0" labelOnly="1" outline="0" axis="axisValues" fieldPosition="0"/>
    </format>
    <format dxfId="273">
      <pivotArea dataOnly="0" labelOnly="1" outline="0" axis="axisValues" fieldPosition="0"/>
    </format>
    <format dxfId="272">
      <pivotArea outline="0" collapsedLevelsAreSubtotals="1" fieldPosition="0"/>
    </format>
    <format dxfId="271">
      <pivotArea dataOnly="0" labelOnly="1" outline="0" axis="axisValues" fieldPosition="0"/>
    </format>
    <format dxfId="270">
      <pivotArea dataOnly="0" outline="0" fieldPosition="0">
        <references count="1">
          <reference field="12" count="0" defaultSubtotal="1"/>
        </references>
      </pivotArea>
    </format>
    <format dxfId="269">
      <pivotArea outline="0" collapsedLevelsAreSubtotals="1" fieldPosition="0"/>
    </format>
    <format dxfId="268">
      <pivotArea dataOnly="0" labelOnly="1" outline="0" axis="axisValues" fieldPosition="0"/>
    </format>
    <format dxfId="267">
      <pivotArea outline="0" collapsedLevelsAreSubtotals="1" fieldPosition="0"/>
    </format>
    <format dxfId="266">
      <pivotArea dataOnly="0" labelOnly="1" outline="0" axis="axisValues" fieldPosition="0"/>
    </format>
    <format dxfId="265">
      <pivotArea dataOnly="0" outline="0" fieldPosition="0">
        <references count="1">
          <reference field="12" count="0" defaultSubtotal="1"/>
        </references>
      </pivotArea>
    </format>
    <format dxfId="264">
      <pivotArea outline="0" collapsedLevelsAreSubtotals="1" fieldPosition="0"/>
    </format>
    <format dxfId="263">
      <pivotArea dataOnly="0" labelOnly="1" outline="0" axis="axisValues" fieldPosition="0"/>
    </format>
    <format dxfId="262">
      <pivotArea outline="0" collapsedLevelsAreSubtotals="1" fieldPosition="0"/>
    </format>
    <format dxfId="261">
      <pivotArea dataOnly="0" labelOnly="1" outline="0" axis="axisValues" fieldPosition="0"/>
    </format>
    <format dxfId="260">
      <pivotArea dataOnly="0" labelOnly="1" outline="0" axis="axisValues" fieldPosition="0"/>
    </format>
    <format dxfId="259">
      <pivotArea outline="0" collapsedLevelsAreSubtotals="1" fieldPosition="0"/>
    </format>
    <format dxfId="258">
      <pivotArea dataOnly="0" labelOnly="1" outline="0" axis="axisValues" fieldPosition="0"/>
    </format>
    <format dxfId="257">
      <pivotArea outline="0" collapsedLevelsAreSubtotals="1" fieldPosition="0"/>
    </format>
    <format dxfId="256">
      <pivotArea dataOnly="0" labelOnly="1" outline="0" axis="axisValues" fieldPosition="0"/>
    </format>
    <format dxfId="255">
      <pivotArea dataOnly="0" outline="0" fieldPosition="0">
        <references count="1">
          <reference field="12" count="0" defaultSubtotal="1"/>
        </references>
      </pivotArea>
    </format>
    <format dxfId="254">
      <pivotArea outline="0" collapsedLevelsAreSubtotals="1" fieldPosition="0"/>
    </format>
    <format dxfId="253">
      <pivotArea dataOnly="0" labelOnly="1" outline="0" axis="axisValues" fieldPosition="0"/>
    </format>
    <format dxfId="252">
      <pivotArea outline="0" collapsedLevelsAreSubtotals="1" fieldPosition="0"/>
    </format>
    <format dxfId="251">
      <pivotArea dataOnly="0" labelOnly="1" outline="0" axis="axisValues" fieldPosition="0"/>
    </format>
    <format dxfId="250">
      <pivotArea dataOnly="0" outline="0" fieldPosition="0">
        <references count="1">
          <reference field="12" count="0" defaultSubtotal="1"/>
        </references>
      </pivotArea>
    </format>
    <format dxfId="249">
      <pivotArea outline="0" collapsedLevelsAreSubtotals="1" fieldPosition="0"/>
    </format>
    <format dxfId="248">
      <pivotArea dataOnly="0" labelOnly="1" outline="0" axis="axisValues" fieldPosition="0"/>
    </format>
    <format dxfId="247">
      <pivotArea outline="0" collapsedLevelsAreSubtotals="1" fieldPosition="0"/>
    </format>
    <format dxfId="246">
      <pivotArea dataOnly="0" labelOnly="1" outline="0" axis="axisValues" fieldPosition="0"/>
    </format>
    <format dxfId="245">
      <pivotArea dataOnly="0" labelOnly="1" outline="0" axis="axisValues" fieldPosition="0"/>
    </format>
    <format dxfId="244">
      <pivotArea outline="0" collapsedLevelsAreSubtotals="1" fieldPosition="0"/>
    </format>
    <format dxfId="243">
      <pivotArea dataOnly="0" labelOnly="1" outline="0" axis="axisValues" fieldPosition="0"/>
    </format>
    <format dxfId="242">
      <pivotArea outline="0" collapsedLevelsAreSubtotals="1" fieldPosition="0"/>
    </format>
    <format dxfId="241">
      <pivotArea dataOnly="0" labelOnly="1" outline="0" axis="axisValues" fieldPosition="0"/>
    </format>
    <format dxfId="240">
      <pivotArea dataOnly="0" outline="0" fieldPosition="0">
        <references count="1">
          <reference field="12" count="0" defaultSubtotal="1"/>
        </references>
      </pivotArea>
    </format>
    <format dxfId="239">
      <pivotArea outline="0" collapsedLevelsAreSubtotals="1" fieldPosition="0"/>
    </format>
    <format dxfId="238">
      <pivotArea dataOnly="0" labelOnly="1" outline="0" axis="axisValues" fieldPosition="0"/>
    </format>
    <format dxfId="237">
      <pivotArea outline="0" collapsedLevelsAreSubtotals="1" fieldPosition="0"/>
    </format>
    <format dxfId="236">
      <pivotArea dataOnly="0" labelOnly="1" outline="0" axis="axisValues" fieldPosition="0"/>
    </format>
    <format dxfId="235">
      <pivotArea dataOnly="0" outline="0" fieldPosition="0">
        <references count="1">
          <reference field="12" count="0" defaultSubtotal="1"/>
        </references>
      </pivotArea>
    </format>
    <format dxfId="234">
      <pivotArea outline="0" collapsedLevelsAreSubtotals="1" fieldPosition="0"/>
    </format>
    <format dxfId="233">
      <pivotArea dataOnly="0" labelOnly="1" outline="0" axis="axisValues" fieldPosition="0"/>
    </format>
    <format dxfId="232">
      <pivotArea outline="0" collapsedLevelsAreSubtotals="1" fieldPosition="0"/>
    </format>
    <format dxfId="231">
      <pivotArea dataOnly="0" labelOnly="1" outline="0" axis="axisValues" fieldPosition="0"/>
    </format>
    <format dxfId="230">
      <pivotArea dataOnly="0" labelOnly="1" outline="0" axis="axisValues" fieldPosition="0"/>
    </format>
    <format dxfId="229">
      <pivotArea outline="0" collapsedLevelsAreSubtotals="1" fieldPosition="0"/>
    </format>
    <format dxfId="228">
      <pivotArea dataOnly="0" labelOnly="1" outline="0" axis="axisValues" fieldPosition="0"/>
    </format>
    <format dxfId="227">
      <pivotArea outline="0" collapsedLevelsAreSubtotals="1" fieldPosition="0"/>
    </format>
    <format dxfId="226">
      <pivotArea dataOnly="0" labelOnly="1" outline="0" axis="axisValues" fieldPosition="0"/>
    </format>
    <format dxfId="225">
      <pivotArea dataOnly="0" outline="0" fieldPosition="0">
        <references count="1">
          <reference field="12" count="0" defaultSubtotal="1"/>
        </references>
      </pivotArea>
    </format>
    <format dxfId="224">
      <pivotArea outline="0" collapsedLevelsAreSubtotals="1" fieldPosition="0"/>
    </format>
    <format dxfId="223">
      <pivotArea dataOnly="0" labelOnly="1" outline="0" axis="axisValues" fieldPosition="0"/>
    </format>
    <format dxfId="222">
      <pivotArea outline="0" collapsedLevelsAreSubtotals="1" fieldPosition="0"/>
    </format>
    <format dxfId="221">
      <pivotArea dataOnly="0" labelOnly="1" outline="0" axis="axisValues" fieldPosition="0"/>
    </format>
    <format dxfId="220">
      <pivotArea dataOnly="0" outline="0" fieldPosition="0">
        <references count="1">
          <reference field="12" count="0" defaultSubtotal="1"/>
        </references>
      </pivotArea>
    </format>
    <format dxfId="219">
      <pivotArea outline="0" collapsedLevelsAreSubtotals="1" fieldPosition="0"/>
    </format>
    <format dxfId="218">
      <pivotArea dataOnly="0" labelOnly="1" outline="0" axis="axisValues" fieldPosition="0"/>
    </format>
    <format dxfId="217">
      <pivotArea outline="0" collapsedLevelsAreSubtotals="1" fieldPosition="0"/>
    </format>
    <format dxfId="216">
      <pivotArea dataOnly="0" labelOnly="1" outline="0" axis="axisValues" fieldPosition="0"/>
    </format>
    <format dxfId="215">
      <pivotArea dataOnly="0" labelOnly="1" outline="0" axis="axisValues" fieldPosition="0"/>
    </format>
    <format dxfId="214">
      <pivotArea outline="0" collapsedLevelsAreSubtotals="1" fieldPosition="0"/>
    </format>
    <format dxfId="213">
      <pivotArea dataOnly="0" labelOnly="1" outline="0" axis="axisValues" fieldPosition="0"/>
    </format>
    <format dxfId="212">
      <pivotArea dataOnly="0" outline="0" fieldPosition="0">
        <references count="1">
          <reference field="12" count="0" defaultSubtotal="1"/>
        </references>
      </pivotArea>
    </format>
    <format dxfId="211">
      <pivotArea outline="0" collapsedLevelsAreSubtotals="1" fieldPosition="0"/>
    </format>
    <format dxfId="210">
      <pivotArea dataOnly="0" labelOnly="1" outline="0" axis="axisValues" fieldPosition="0"/>
    </format>
    <format dxfId="209">
      <pivotArea outline="0" collapsedLevelsAreSubtotals="1" fieldPosition="0"/>
    </format>
    <format dxfId="208">
      <pivotArea dataOnly="0" labelOnly="1" outline="0" axis="axisValues" fieldPosition="0"/>
    </format>
    <format dxfId="207">
      <pivotArea dataOnly="0" outline="0" fieldPosition="0">
        <references count="1">
          <reference field="12" count="0" defaultSubtotal="1"/>
        </references>
      </pivotArea>
    </format>
    <format dxfId="206">
      <pivotArea outline="0" collapsedLevelsAreSubtotals="1" fieldPosition="0"/>
    </format>
    <format dxfId="205">
      <pivotArea dataOnly="0" labelOnly="1" outline="0" axis="axisValues" fieldPosition="0"/>
    </format>
    <format dxfId="204">
      <pivotArea outline="0" collapsedLevelsAreSubtotals="1" fieldPosition="0"/>
    </format>
    <format dxfId="203">
      <pivotArea dataOnly="0" labelOnly="1" outline="0" axis="axisValues" fieldPosition="0"/>
    </format>
    <format dxfId="202">
      <pivotArea dataOnly="0" labelOnly="1" outline="0" axis="axisValues" fieldPosition="0"/>
    </format>
    <format dxfId="201">
      <pivotArea outline="0" collapsedLevelsAreSubtotals="1" fieldPosition="0"/>
    </format>
    <format dxfId="200">
      <pivotArea dataOnly="0" labelOnly="1" outline="0" axis="axisValues" fieldPosition="0"/>
    </format>
    <format dxfId="199">
      <pivotArea outline="0" collapsedLevelsAreSubtotals="1" fieldPosition="0"/>
    </format>
    <format dxfId="198">
      <pivotArea dataOnly="0" labelOnly="1" outline="0" axis="axisValues" fieldPosition="0"/>
    </format>
    <format dxfId="197">
      <pivotArea dataOnly="0" outline="0" fieldPosition="0">
        <references count="1">
          <reference field="12" count="0" defaultSubtotal="1"/>
        </references>
      </pivotArea>
    </format>
    <format dxfId="196">
      <pivotArea outline="0" collapsedLevelsAreSubtotals="1" fieldPosition="0"/>
    </format>
    <format dxfId="195">
      <pivotArea dataOnly="0" labelOnly="1" outline="0" axis="axisValues" fieldPosition="0"/>
    </format>
    <format dxfId="194">
      <pivotArea outline="0" collapsedLevelsAreSubtotals="1" fieldPosition="0"/>
    </format>
    <format dxfId="193">
      <pivotArea dataOnly="0" labelOnly="1" outline="0" axis="axisValues" fieldPosition="0"/>
    </format>
    <format dxfId="192">
      <pivotArea dataOnly="0" outline="0" fieldPosition="0">
        <references count="1">
          <reference field="12" count="0" defaultSubtotal="1"/>
        </references>
      </pivotArea>
    </format>
    <format dxfId="191">
      <pivotArea outline="0" collapsedLevelsAreSubtotals="1" fieldPosition="0"/>
    </format>
    <format dxfId="190">
      <pivotArea dataOnly="0" labelOnly="1" outline="0" axis="axisValues" fieldPosition="0"/>
    </format>
    <format dxfId="189">
      <pivotArea outline="0" collapsedLevelsAreSubtotals="1" fieldPosition="0"/>
    </format>
    <format dxfId="188">
      <pivotArea dataOnly="0" labelOnly="1" outline="0" axis="axisValues" fieldPosition="0"/>
    </format>
    <format dxfId="187">
      <pivotArea dataOnly="0" labelOnly="1" outline="0" axis="axisValues" fieldPosition="0"/>
    </format>
    <format dxfId="186">
      <pivotArea outline="0" collapsedLevelsAreSubtotals="1" fieldPosition="0"/>
    </format>
    <format dxfId="185">
      <pivotArea dataOnly="0" labelOnly="1" outline="0" axis="axisValues" fieldPosition="0"/>
    </format>
    <format dxfId="184">
      <pivotArea dataOnly="0" outline="0" fieldPosition="0">
        <references count="1">
          <reference field="12" count="0" defaultSubtotal="1"/>
        </references>
      </pivotArea>
    </format>
    <format dxfId="183">
      <pivotArea outline="0" collapsedLevelsAreSubtotals="1" fieldPosition="0"/>
    </format>
    <format dxfId="182">
      <pivotArea dataOnly="0" labelOnly="1" outline="0" axis="axisValues" fieldPosition="0"/>
    </format>
    <format dxfId="181">
      <pivotArea outline="0" collapsedLevelsAreSubtotals="1" fieldPosition="0"/>
    </format>
    <format dxfId="180">
      <pivotArea dataOnly="0" labelOnly="1" outline="0" axis="axisValues" fieldPosition="0"/>
    </format>
    <format dxfId="179">
      <pivotArea dataOnly="0" outline="0" fieldPosition="0">
        <references count="1">
          <reference field="12" count="0" defaultSubtotal="1"/>
        </references>
      </pivotArea>
    </format>
    <format dxfId="178">
      <pivotArea outline="0" collapsedLevelsAreSubtotals="1" fieldPosition="0"/>
    </format>
    <format dxfId="177">
      <pivotArea dataOnly="0" labelOnly="1" outline="0" axis="axisValues" fieldPosition="0"/>
    </format>
    <format dxfId="176">
      <pivotArea outline="0" collapsedLevelsAreSubtotals="1" fieldPosition="0"/>
    </format>
    <format dxfId="175">
      <pivotArea dataOnly="0" labelOnly="1" outline="0" axis="axisValues" fieldPosition="0"/>
    </format>
    <format dxfId="174">
      <pivotArea dataOnly="0" labelOnly="1" outline="0" axis="axisValues" fieldPosition="0"/>
    </format>
    <format dxfId="173">
      <pivotArea outline="0" collapsedLevelsAreSubtotals="1" fieldPosition="0"/>
    </format>
    <format dxfId="172">
      <pivotArea dataOnly="0" labelOnly="1" outline="0" axis="axisValues" fieldPosition="0"/>
    </format>
    <format dxfId="171">
      <pivotArea dataOnly="0" outline="0" fieldPosition="0">
        <references count="1">
          <reference field="12" count="0" defaultSubtotal="1"/>
        </references>
      </pivotArea>
    </format>
    <format dxfId="170">
      <pivotArea outline="0" collapsedLevelsAreSubtotals="1" fieldPosition="0"/>
    </format>
    <format dxfId="169">
      <pivotArea dataOnly="0" labelOnly="1" outline="0" axis="axisValues" fieldPosition="0"/>
    </format>
    <format dxfId="168">
      <pivotArea outline="0" collapsedLevelsAreSubtotals="1" fieldPosition="0"/>
    </format>
    <format dxfId="167">
      <pivotArea dataOnly="0" labelOnly="1" outline="0" axis="axisValues" fieldPosition="0"/>
    </format>
    <format dxfId="166">
      <pivotArea dataOnly="0" outline="0" fieldPosition="0">
        <references count="1">
          <reference field="12" count="0" defaultSubtotal="1"/>
        </references>
      </pivotArea>
    </format>
    <format dxfId="165">
      <pivotArea outline="0" collapsedLevelsAreSubtotals="1" fieldPosition="0"/>
    </format>
    <format dxfId="164">
      <pivotArea dataOnly="0" labelOnly="1" outline="0" axis="axisValues" fieldPosition="0"/>
    </format>
    <format dxfId="163">
      <pivotArea outline="0" collapsedLevelsAreSubtotals="1" fieldPosition="0"/>
    </format>
    <format dxfId="162">
      <pivotArea dataOnly="0" labelOnly="1" outline="0" axis="axisValues" fieldPosition="0"/>
    </format>
    <format dxfId="161">
      <pivotArea dataOnly="0" labelOnly="1" outline="0" axis="axisValues" fieldPosition="0"/>
    </format>
    <format dxfId="160">
      <pivotArea outline="0" collapsedLevelsAreSubtotals="1" fieldPosition="0"/>
    </format>
    <format dxfId="159">
      <pivotArea dataOnly="0" labelOnly="1" outline="0" axis="axisValues" fieldPosition="0"/>
    </format>
    <format dxfId="158">
      <pivotArea outline="0" collapsedLevelsAreSubtotals="1" fieldPosition="0"/>
    </format>
    <format dxfId="157">
      <pivotArea dataOnly="0" labelOnly="1" outline="0" axis="axisValues" fieldPosition="0"/>
    </format>
    <format dxfId="156">
      <pivotArea dataOnly="0" outline="0" fieldPosition="0">
        <references count="1">
          <reference field="12" count="0" defaultSubtotal="1"/>
        </references>
      </pivotArea>
    </format>
    <format dxfId="155">
      <pivotArea dataOnly="0" labelOnly="1" outline="0" axis="axisValues" fieldPosition="0"/>
    </format>
    <format dxfId="154">
      <pivotArea dataOnly="0" labelOnly="1" outline="0" axis="axisValues" fieldPosition="0"/>
    </format>
    <format dxfId="153">
      <pivotArea dataOnly="0" labelOnly="1" outline="0" axis="axisValues" fieldPosition="0"/>
    </format>
    <format dxfId="152">
      <pivotArea dataOnly="0" labelOnly="1" outline="0" axis="axisValues" fieldPosition="0"/>
    </format>
    <format dxfId="151">
      <pivotArea dataOnly="0" labelOnly="1" outline="0" axis="axisValues" fieldPosition="0"/>
    </format>
    <format dxfId="150">
      <pivotArea dataOnly="0" outline="0" fieldPosition="0">
        <references count="1">
          <reference field="12" count="0" defaultSubtotal="1"/>
        </references>
      </pivotArea>
    </format>
    <format dxfId="149">
      <pivotArea outline="0" collapsedLevelsAreSubtotals="1" fieldPosition="0"/>
    </format>
    <format dxfId="148">
      <pivotArea dataOnly="0" labelOnly="1" outline="0" axis="axisValues" fieldPosition="0"/>
    </format>
    <format dxfId="147">
      <pivotArea dataOnly="0" outline="0" fieldPosition="0">
        <references count="1">
          <reference field="12" count="0" defaultSubtotal="1"/>
        </references>
      </pivotArea>
    </format>
    <format dxfId="146">
      <pivotArea field="0" type="button" dataOnly="0" labelOnly="1" outline="0" axis="axisRow" fieldPosition="0"/>
    </format>
    <format dxfId="145">
      <pivotArea field="12" type="button" dataOnly="0" labelOnly="1" outline="0" axis="axisRow" fieldPosition="1"/>
    </format>
    <format dxfId="144">
      <pivotArea field="13" type="button" dataOnly="0" labelOnly="1" outline="0" axis="axisRow" fieldPosition="2"/>
    </format>
    <format dxfId="143">
      <pivotArea field="10" type="button" dataOnly="0" labelOnly="1" outline="0" axis="axisRow" fieldPosition="3"/>
    </format>
    <format dxfId="142">
      <pivotArea field="16" type="button" dataOnly="0" labelOnly="1" outline="0" axis="axisRow" fieldPosition="4"/>
    </format>
    <format dxfId="141">
      <pivotArea field="18" type="button" dataOnly="0" labelOnly="1" outline="0" axis="axisRow" fieldPosition="5"/>
    </format>
    <format dxfId="140">
      <pivotArea field="5" type="button" dataOnly="0" labelOnly="1" outline="0" axis="axisRow" fieldPosition="6"/>
    </format>
    <format dxfId="139">
      <pivotArea field="9" type="button" dataOnly="0" labelOnly="1" outline="0" axis="axisRow" fieldPosition="7"/>
    </format>
    <format dxfId="138">
      <pivotArea field="3" type="button" dataOnly="0" labelOnly="1" outline="0" axis="axisRow" fieldPosition="8"/>
    </format>
    <format dxfId="137">
      <pivotArea field="7" type="button" dataOnly="0" labelOnly="1" outline="0" axis="axisRow" fieldPosition="9"/>
    </format>
    <format dxfId="136">
      <pivotArea field="1" type="button" dataOnly="0" labelOnly="1" outline="0" axis="axisRow" fieldPosition="10"/>
    </format>
    <format dxfId="135">
      <pivotArea dataOnly="0" labelOnly="1" outline="0" axis="axisValues" fieldPosition="0"/>
    </format>
    <format dxfId="134">
      <pivotArea dataOnly="0" outline="0" fieldPosition="0">
        <references count="1">
          <reference field="12" count="0" defaultSubtotal="1"/>
        </references>
      </pivotArea>
    </format>
    <format dxfId="133">
      <pivotArea field="0" type="button" dataOnly="0" labelOnly="1" outline="0" axis="axisRow" fieldPosition="0"/>
    </format>
    <format dxfId="132">
      <pivotArea field="12" type="button" dataOnly="0" labelOnly="1" outline="0" axis="axisRow" fieldPosition="1"/>
    </format>
    <format dxfId="131">
      <pivotArea field="13" type="button" dataOnly="0" labelOnly="1" outline="0" axis="axisRow" fieldPosition="2"/>
    </format>
    <format dxfId="130">
      <pivotArea field="10" type="button" dataOnly="0" labelOnly="1" outline="0" axis="axisRow" fieldPosition="3"/>
    </format>
    <format dxfId="129">
      <pivotArea field="16" type="button" dataOnly="0" labelOnly="1" outline="0" axis="axisRow" fieldPosition="4"/>
    </format>
    <format dxfId="128">
      <pivotArea field="18" type="button" dataOnly="0" labelOnly="1" outline="0" axis="axisRow" fieldPosition="5"/>
    </format>
    <format dxfId="127">
      <pivotArea field="5" type="button" dataOnly="0" labelOnly="1" outline="0" axis="axisRow" fieldPosition="6"/>
    </format>
    <format dxfId="126">
      <pivotArea field="9" type="button" dataOnly="0" labelOnly="1" outline="0" axis="axisRow" fieldPosition="7"/>
    </format>
    <format dxfId="125">
      <pivotArea field="3" type="button" dataOnly="0" labelOnly="1" outline="0" axis="axisRow" fieldPosition="8"/>
    </format>
    <format dxfId="124">
      <pivotArea field="7" type="button" dataOnly="0" labelOnly="1" outline="0" axis="axisRow" fieldPosition="9"/>
    </format>
    <format dxfId="123">
      <pivotArea field="1" type="button" dataOnly="0" labelOnly="1" outline="0" axis="axisRow" fieldPosition="10"/>
    </format>
    <format dxfId="122">
      <pivotArea dataOnly="0" labelOnly="1" outline="0" axis="axisValues" fieldPosition="0"/>
    </format>
    <format dxfId="112">
      <pivotArea dataOnly="0" outline="0" fieldPosition="0">
        <references count="1">
          <reference field="12" count="0" defaultSubtotal="1"/>
        </references>
      </pivotArea>
    </format>
    <format dxfId="111">
      <pivotArea outline="0" collapsedLevelsAreSubtotals="1" fieldPosition="0"/>
    </format>
    <format dxfId="110">
      <pivotArea dataOnly="0" labelOnly="1" outline="0" axis="axisValues" fieldPosition="0"/>
    </format>
    <format dxfId="109">
      <pivotArea dataOnly="0" outline="0" fieldPosition="0">
        <references count="1">
          <reference field="12" count="0" defaultSubtotal="1"/>
        </references>
      </pivotArea>
    </format>
    <format dxfId="108">
      <pivotArea outline="0" collapsedLevelsAreSubtotals="1" fieldPosition="0"/>
    </format>
    <format dxfId="107">
      <pivotArea dataOnly="0" labelOnly="1" outline="0" axis="axisValues" fieldPosition="0"/>
    </format>
    <format dxfId="106">
      <pivotArea outline="0" collapsedLevelsAreSubtotals="1" fieldPosition="0"/>
    </format>
    <format dxfId="105">
      <pivotArea dataOnly="0" labelOnly="1" outline="0" axis="axisValues" fieldPosition="0"/>
    </format>
    <format dxfId="104">
      <pivotArea dataOnly="0" outline="0" fieldPosition="0">
        <references count="1">
          <reference field="12" count="0" defaultSubtotal="1"/>
        </references>
      </pivotArea>
    </format>
    <format dxfId="103">
      <pivotArea outline="0" collapsedLevelsAreSubtotals="1" fieldPosition="0"/>
    </format>
    <format dxfId="102">
      <pivotArea dataOnly="0" labelOnly="1" outline="0" axis="axisValues" fieldPosition="0"/>
    </format>
    <format dxfId="101">
      <pivotArea outline="0" collapsedLevelsAreSubtotals="1" fieldPosition="0"/>
    </format>
    <format dxfId="100">
      <pivotArea dataOnly="0" labelOnly="1" outline="0" axis="axisValues" fieldPosition="0"/>
    </format>
    <format dxfId="99">
      <pivotArea dataOnly="0" labelOnly="1" outline="0" axis="axisValues" fieldPosition="0"/>
    </format>
    <format dxfId="98">
      <pivotArea dataOnly="0" outline="0" fieldPosition="0">
        <references count="1">
          <reference field="12" count="0" defaultSubtotal="1"/>
        </references>
      </pivotArea>
    </format>
    <format dxfId="97">
      <pivotArea dataOnly="0" outline="0" fieldPosition="0">
        <references count="1">
          <reference field="12" count="0" defaultSubtotal="1"/>
        </references>
      </pivotArea>
    </format>
    <format dxfId="96">
      <pivotArea dataOnly="0" outline="0" fieldPosition="0">
        <references count="1">
          <reference field="12" count="0" defaultSubtotal="1"/>
        </references>
      </pivotArea>
    </format>
    <format dxfId="95">
      <pivotArea dataOnly="0" outline="0" fieldPosition="0">
        <references count="1">
          <reference field="12" count="0" defaultSubtotal="1"/>
        </references>
      </pivotArea>
    </format>
    <format dxfId="94">
      <pivotArea outline="0" collapsedLevelsAreSubtotals="1" fieldPosition="0"/>
    </format>
    <format dxfId="93">
      <pivotArea dataOnly="0" labelOnly="1" outline="0" axis="axisValues" fieldPosition="0"/>
    </format>
    <format dxfId="92">
      <pivotArea outline="0" collapsedLevelsAreSubtotals="1" fieldPosition="0"/>
    </format>
    <format dxfId="91">
      <pivotArea dataOnly="0" labelOnly="1" outline="0" axis="axisValues" fieldPosition="0"/>
    </format>
    <format dxfId="90">
      <pivotArea dataOnly="0" outline="0" fieldPosition="0">
        <references count="1">
          <reference field="12" count="0" defaultSubtotal="1"/>
        </references>
      </pivotArea>
    </format>
    <format dxfId="89">
      <pivotArea outline="0" collapsedLevelsAreSubtotals="1" fieldPosition="0"/>
    </format>
    <format dxfId="88">
      <pivotArea dataOnly="0" labelOnly="1" outline="0" axis="axisValues" fieldPosition="0"/>
    </format>
    <format dxfId="87">
      <pivotArea outline="0" collapsedLevelsAreSubtotals="1" fieldPosition="0"/>
    </format>
    <format dxfId="86">
      <pivotArea dataOnly="0" labelOnly="1" outline="0" axis="axisValues" fieldPosition="0"/>
    </format>
    <format dxfId="85">
      <pivotArea dataOnly="0" labelOnly="1" outline="0" axis="axisValues" fieldPosition="0"/>
    </format>
    <format dxfId="84">
      <pivotArea dataOnly="0" outline="0" fieldPosition="0">
        <references count="1">
          <reference field="12" count="0" defaultSubtotal="1"/>
        </references>
      </pivotArea>
    </format>
    <format dxfId="83">
      <pivotArea outline="0" collapsedLevelsAreSubtotals="1" fieldPosition="0"/>
    </format>
    <format dxfId="82">
      <pivotArea dataOnly="0" labelOnly="1" outline="0" axis="axisValues" fieldPosition="0"/>
    </format>
    <format dxfId="81">
      <pivotArea outline="0" collapsedLevelsAreSubtotals="1" fieldPosition="0"/>
    </format>
    <format dxfId="80">
      <pivotArea dataOnly="0" labelOnly="1" outline="0" axis="axisValues" fieldPosition="0"/>
    </format>
    <format dxfId="79">
      <pivotArea dataOnly="0" outline="0" fieldPosition="0">
        <references count="1">
          <reference field="12" count="0" defaultSubtotal="1"/>
        </references>
      </pivotArea>
    </format>
    <format dxfId="78">
      <pivotArea outline="0" collapsedLevelsAreSubtotals="1" fieldPosition="0"/>
    </format>
    <format dxfId="77">
      <pivotArea dataOnly="0" labelOnly="1" outline="0" axis="axisValues" fieldPosition="0"/>
    </format>
    <format dxfId="76">
      <pivotArea outline="0" collapsedLevelsAreSubtotals="1" fieldPosition="0"/>
    </format>
    <format dxfId="75">
      <pivotArea dataOnly="0" labelOnly="1" outline="0" axis="axisValues" fieldPosition="0"/>
    </format>
    <format dxfId="74">
      <pivotArea dataOnly="0" labelOnly="1" outline="0" axis="axisValues" fieldPosition="0"/>
    </format>
    <format dxfId="73">
      <pivotArea dataOnly="0" outline="0" fieldPosition="0">
        <references count="1">
          <reference field="12" count="0" defaultSubtotal="1"/>
        </references>
      </pivotArea>
    </format>
    <format dxfId="72">
      <pivotArea outline="0" collapsedLevelsAreSubtotals="1" fieldPosition="0"/>
    </format>
    <format dxfId="71">
      <pivotArea dataOnly="0" labelOnly="1" outline="0" axis="axisValues" fieldPosition="0"/>
    </format>
    <format dxfId="70">
      <pivotArea outline="0" collapsedLevelsAreSubtotals="1" fieldPosition="0"/>
    </format>
    <format dxfId="69">
      <pivotArea dataOnly="0" labelOnly="1" outline="0" axis="axisValues" fieldPosition="0"/>
    </format>
    <format dxfId="68">
      <pivotArea dataOnly="0" outline="0" fieldPosition="0">
        <references count="1">
          <reference field="12" count="0" defaultSubtotal="1"/>
        </references>
      </pivotArea>
    </format>
    <format dxfId="67">
      <pivotArea outline="0" collapsedLevelsAreSubtotals="1" fieldPosition="0"/>
    </format>
    <format dxfId="66">
      <pivotArea dataOnly="0" labelOnly="1" outline="0" axis="axisValues" fieldPosition="0"/>
    </format>
    <format dxfId="65">
      <pivotArea outline="0" collapsedLevelsAreSubtotals="1" fieldPosition="0"/>
    </format>
    <format dxfId="64">
      <pivotArea dataOnly="0" labelOnly="1" outline="0" axis="axisValues" fieldPosition="0"/>
    </format>
    <format dxfId="63">
      <pivotArea dataOnly="0" labelOnly="1" outline="0" axis="axisValues" fieldPosition="0"/>
    </format>
    <format dxfId="62">
      <pivotArea dataOnly="0" outline="0" fieldPosition="0">
        <references count="1">
          <reference field="12" count="0" defaultSubtotal="1"/>
        </references>
      </pivotArea>
    </format>
    <format dxfId="61">
      <pivotArea outline="0" collapsedLevelsAreSubtotals="1" fieldPosition="0"/>
    </format>
    <format dxfId="60">
      <pivotArea dataOnly="0" labelOnly="1" outline="0" axis="axisValues" fieldPosition="0"/>
    </format>
    <format dxfId="59">
      <pivotArea outline="0" collapsedLevelsAreSubtotals="1" fieldPosition="0"/>
    </format>
    <format dxfId="58">
      <pivotArea dataOnly="0" labelOnly="1" outline="0" axis="axisValues" fieldPosition="0"/>
    </format>
    <format dxfId="57">
      <pivotArea dataOnly="0" outline="0" fieldPosition="0">
        <references count="1">
          <reference field="12" count="0" defaultSubtotal="1"/>
        </references>
      </pivotArea>
    </format>
    <format dxfId="56">
      <pivotArea outline="0" collapsedLevelsAreSubtotals="1" fieldPosition="0"/>
    </format>
    <format dxfId="55">
      <pivotArea dataOnly="0" labelOnly="1" outline="0" axis="axisValues" fieldPosition="0"/>
    </format>
    <format dxfId="54">
      <pivotArea outline="0" collapsedLevelsAreSubtotals="1" fieldPosition="0"/>
    </format>
    <format dxfId="53">
      <pivotArea dataOnly="0" labelOnly="1" outline="0" axis="axisValues" fieldPosition="0"/>
    </format>
    <format dxfId="52">
      <pivotArea dataOnly="0" labelOnly="1" outline="0" axis="axisValues" fieldPosition="0"/>
    </format>
    <format dxfId="51">
      <pivotArea dataOnly="0" outline="0" fieldPosition="0">
        <references count="1">
          <reference field="12" count="0" defaultSubtotal="1"/>
        </references>
      </pivotArea>
    </format>
    <format dxfId="50">
      <pivotArea dataOnly="0" outline="0" fieldPosition="0">
        <references count="1">
          <reference field="12" count="0" defaultSubtotal="1"/>
        </references>
      </pivotArea>
    </format>
    <format dxfId="49">
      <pivotArea outline="0" collapsedLevelsAreSubtotals="1" fieldPosition="0"/>
    </format>
    <format dxfId="48">
      <pivotArea dataOnly="0" labelOnly="1" outline="0" axis="axisValues" fieldPosition="0"/>
    </format>
    <format dxfId="47">
      <pivotArea outline="0" collapsedLevelsAreSubtotals="1" fieldPosition="0"/>
    </format>
    <format dxfId="46">
      <pivotArea dataOnly="0" labelOnly="1" outline="0" axis="axisValues" fieldPosition="0"/>
    </format>
    <format dxfId="45">
      <pivotArea dataOnly="0" outline="0" fieldPosition="0">
        <references count="1">
          <reference field="12" count="0" defaultSubtotal="1"/>
        </references>
      </pivotArea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outline="0" collapsedLevelsAreSubtotals="1" fieldPosition="0"/>
    </format>
    <format dxfId="41">
      <pivotArea dataOnly="0" labelOnly="1" outline="0" axis="axisValues" fieldPosition="0"/>
    </format>
    <format dxfId="40">
      <pivotArea dataOnly="0" labelOnly="1" outline="0" axis="axisValues" fieldPosition="0"/>
    </format>
    <format dxfId="39">
      <pivotArea outline="0" collapsedLevelsAreSubtotals="1" fieldPosition="0"/>
    </format>
    <format dxfId="38">
      <pivotArea dataOnly="0" labelOnly="1" outline="0" axis="axisValues" fieldPosition="0"/>
    </format>
    <format dxfId="37">
      <pivotArea outline="0" collapsedLevelsAreSubtotals="1" fieldPosition="0"/>
    </format>
    <format dxfId="36">
      <pivotArea dataOnly="0" labelOnly="1" outline="0" axis="axisValues" fieldPosition="0"/>
    </format>
    <format dxfId="35">
      <pivotArea dataOnly="0" outline="0" fieldPosition="0">
        <references count="1">
          <reference field="12" count="0" defaultSubtotal="1"/>
        </references>
      </pivotArea>
    </format>
    <format dxfId="34">
      <pivotArea dataOnly="0" outline="0" fieldPosition="0">
        <references count="1">
          <reference field="12" count="0" defaultSubtotal="1"/>
        </references>
      </pivotArea>
    </format>
    <format dxfId="33">
      <pivotArea outline="0" collapsedLevelsAreSubtotals="1" fieldPosition="0"/>
    </format>
    <format dxfId="32">
      <pivotArea dataOnly="0" labelOnly="1" outline="0" axis="axisValues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  <format dxfId="29">
      <pivotArea dataOnly="0" labelOnly="1" outline="0" axis="axisValues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  <format dxfId="24">
      <pivotArea dataOnly="0" outline="0" fieldPosition="0">
        <references count="1">
          <reference field="12" count="0" defaultSubtotal="1"/>
        </references>
      </pivotArea>
    </format>
    <format dxfId="23">
      <pivotArea dataOnly="0" outline="0" fieldPosition="0">
        <references count="1">
          <reference field="12" count="0" defaultSubtotal="1"/>
        </references>
      </pivotArea>
    </format>
    <format dxfId="22">
      <pivotArea outline="0" collapsedLevelsAreSubtotals="1" fieldPosition="0"/>
    </format>
    <format dxfId="21">
      <pivotArea dataOnly="0" labelOnly="1" outline="0" axis="axisValues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dataOnly="0" outline="0" fieldPosition="0">
        <references count="1">
          <reference field="12" count="0" defaultSubtotal="1"/>
        </references>
      </pivotArea>
    </format>
    <format dxfId="17">
      <pivotArea dataOnly="0" outline="0" fieldPosition="0">
        <references count="1">
          <reference field="12" count="0" defaultSubtotal="1"/>
        </references>
      </pivotArea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  <format dxfId="11">
      <pivotArea dataOnly="0" labelOnly="1" outline="0" fieldPosition="0">
        <references count="2">
          <reference field="0" count="1" selected="0">
            <x v="6"/>
          </reference>
          <reference field="12" count="1" defaultSubtotal="1">
            <x v="3"/>
          </reference>
        </references>
      </pivotArea>
    </format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dataOnly="0" outline="0" fieldPosition="0">
        <references count="1">
          <reference field="12" count="0" defaultSubtotal="1"/>
        </references>
      </pivotArea>
    </format>
    <format dxfId="5">
      <pivotArea dataOnly="0" outline="0" fieldPosition="0">
        <references count="1">
          <reference field="12" count="0" defaultSubtotal="1"/>
        </references>
      </pivotArea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15" totalsRowShown="0" headerRowCellStyle="Normal 2" dataCellStyle="Normal 2">
  <autoFilter ref="A1:S115"/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113" dataCellStyle="Normal 2">
      <calculatedColumnFormula>LEFT(E2,32)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121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120" dataCellStyle="Normal 2">
      <calculatedColumnFormula>ROUND(InputData[[#This Row],[AltoCm]],0)</calculatedColumnFormula>
    </tableColumn>
    <tableColumn id="19" name="Medida" dataDxfId="119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B5" totalsRowCount="1" headerRowDxfId="1030" dataDxfId="1029" totalsRowDxfId="1028">
  <tableColumns count="2">
    <tableColumn id="1" name="Canal" totalsRowLabel="Total" dataDxfId="1027" totalsRowDxfId="1026"/>
    <tableColumn id="2" name="Monto" totalsRowFunction="sum" dataDxfId="1025" totalsRowDxfId="1024" dataCellStyle="Moneda"/>
  </tableColumns>
  <tableStyleInfo name="TableStyleLight8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115"/>
  <sheetViews>
    <sheetView showOutlineSymbols="0" workbookViewId="0">
      <selection activeCell="F2" sqref="F2"/>
    </sheetView>
  </sheetViews>
  <sheetFormatPr baseColWidth="10" defaultRowHeight="12.75" customHeight="1" x14ac:dyDescent="0.2"/>
  <cols>
    <col min="1" max="1" width="11.42578125" style="11"/>
    <col min="2" max="2" width="8" style="11" customWidth="1"/>
    <col min="3" max="3" width="13.42578125" style="11" customWidth="1"/>
    <col min="4" max="4" width="12" style="11" customWidth="1"/>
    <col min="5" max="5" width="13" style="11" customWidth="1"/>
    <col min="6" max="6" width="13.7109375" style="11" customWidth="1"/>
    <col min="7" max="7" width="15.28515625" style="11" customWidth="1"/>
    <col min="8" max="8" width="17.140625" style="11" customWidth="1"/>
    <col min="9" max="9" width="9" style="11" customWidth="1"/>
    <col min="10" max="10" width="8" style="11" customWidth="1"/>
    <col min="11" max="11" width="17.7109375" style="11" customWidth="1"/>
    <col min="12" max="12" width="16" style="11" customWidth="1"/>
    <col min="13" max="13" width="10.28515625" style="11" customWidth="1"/>
    <col min="14" max="14" width="10.42578125" style="11" customWidth="1"/>
    <col min="15" max="15" width="6.85546875" style="11" customWidth="1"/>
    <col min="16" max="16" width="9.7109375" style="11" customWidth="1"/>
    <col min="17" max="19" width="12.28515625" style="11" customWidth="1"/>
    <col min="20" max="16384" width="6.85546875" style="11" customWidth="1"/>
  </cols>
  <sheetData>
    <row r="1" spans="1:19" x14ac:dyDescent="0.2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</row>
    <row r="2" spans="1:19" x14ac:dyDescent="0.2">
      <c r="A2" s="11" t="s">
        <v>19</v>
      </c>
      <c r="B2" s="11" t="s">
        <v>412</v>
      </c>
      <c r="C2" s="11" t="s">
        <v>413</v>
      </c>
      <c r="D2" s="11" t="s">
        <v>414</v>
      </c>
      <c r="E2" s="11" t="s">
        <v>415</v>
      </c>
      <c r="F2" s="11" t="str">
        <f t="shared" ref="F2:F33" si="0">LEFT(E2,32)</f>
        <v>Gabiota Sport</v>
      </c>
      <c r="G2" s="11" t="s">
        <v>22</v>
      </c>
      <c r="H2" s="11" t="s">
        <v>20</v>
      </c>
      <c r="I2" s="13">
        <v>131.10833333333332</v>
      </c>
      <c r="J2" s="11" t="s">
        <v>91</v>
      </c>
      <c r="K2" s="11" t="s">
        <v>416</v>
      </c>
      <c r="M2" s="14">
        <v>0</v>
      </c>
      <c r="N2" s="11" t="s">
        <v>21</v>
      </c>
      <c r="O2" s="12">
        <v>1</v>
      </c>
      <c r="P2" s="15">
        <v>6.0000000015000001</v>
      </c>
      <c r="Q2" s="11" t="str">
        <f>EVALUATE_LOCATION(InputData[[#This Row],[Section]],InputData[[#This Row],[Forma de Pago]],InputData[[#This Row],[Ubic.Pretendida]],InputData[[#This Row],[Nro pag]])</f>
        <v xml:space="preserve"> </v>
      </c>
      <c r="R2" s="11">
        <f>ROUND(InputData[[#This Row],[AltoCm]],0)</f>
        <v>6</v>
      </c>
      <c r="S2" s="11" t="str">
        <f>InputData[[#This Row],[Col]]&amp;"x"&amp;IF(LEN(InputData[[#This Row],[Alto]])=2,InputData[[#This Row],[Alto]],"0"&amp;InputData[[#This Row],[Alto]])</f>
        <v>1x06</v>
      </c>
    </row>
    <row r="3" spans="1:19" x14ac:dyDescent="0.2">
      <c r="A3" s="11" t="s">
        <v>19</v>
      </c>
      <c r="B3" s="11" t="s">
        <v>272</v>
      </c>
      <c r="C3" s="11" t="s">
        <v>273</v>
      </c>
      <c r="E3" s="11" t="s">
        <v>274</v>
      </c>
      <c r="F3" s="11" t="str">
        <f t="shared" si="0"/>
        <v>VENDO CAMION Mercedes 710 Mod 94</v>
      </c>
      <c r="G3" s="11" t="s">
        <v>22</v>
      </c>
      <c r="H3" s="11" t="s">
        <v>23</v>
      </c>
      <c r="I3" s="13">
        <v>44.594285714285718</v>
      </c>
      <c r="J3" s="11" t="s">
        <v>91</v>
      </c>
      <c r="K3" s="11" t="s">
        <v>234</v>
      </c>
      <c r="M3" s="14">
        <v>0</v>
      </c>
      <c r="N3" s="11" t="s">
        <v>21</v>
      </c>
      <c r="O3" s="12">
        <v>1</v>
      </c>
      <c r="P3" s="15">
        <v>2.0000000005</v>
      </c>
      <c r="Q3" s="11" t="str">
        <f>EVALUATE_LOCATION(InputData[[#This Row],[Section]],InputData[[#This Row],[Forma de Pago]],InputData[[#This Row],[Ubic.Pretendida]],InputData[[#This Row],[Nro pag]])</f>
        <v xml:space="preserve"> </v>
      </c>
      <c r="R3" s="11">
        <f>ROUND(InputData[[#This Row],[AltoCm]],0)</f>
        <v>2</v>
      </c>
      <c r="S3" s="11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s="11" t="s">
        <v>19</v>
      </c>
      <c r="B4" s="11" t="s">
        <v>275</v>
      </c>
      <c r="C4" s="11" t="s">
        <v>276</v>
      </c>
      <c r="E4" s="11" t="s">
        <v>277</v>
      </c>
      <c r="F4" s="11" t="str">
        <f t="shared" si="0"/>
        <v>HYUNDAI TUCSON  4X2, L/N L16, añ</v>
      </c>
      <c r="G4" s="11" t="s">
        <v>22</v>
      </c>
      <c r="H4" s="11" t="s">
        <v>23</v>
      </c>
      <c r="I4" s="13">
        <v>44.594285714285718</v>
      </c>
      <c r="J4" s="11" t="s">
        <v>91</v>
      </c>
      <c r="K4" s="11" t="s">
        <v>234</v>
      </c>
      <c r="M4" s="14">
        <v>0</v>
      </c>
      <c r="N4" s="11" t="s">
        <v>21</v>
      </c>
      <c r="O4" s="12">
        <v>1</v>
      </c>
      <c r="P4" s="15">
        <v>2.0000000005</v>
      </c>
      <c r="Q4" s="11" t="str">
        <f>EVALUATE_LOCATION(InputData[[#This Row],[Section]],InputData[[#This Row],[Forma de Pago]],InputData[[#This Row],[Ubic.Pretendida]],InputData[[#This Row],[Nro pag]])</f>
        <v xml:space="preserve"> </v>
      </c>
      <c r="R4" s="11">
        <f>ROUND(InputData[[#This Row],[AltoCm]],0)</f>
        <v>2</v>
      </c>
      <c r="S4" s="11" t="str">
        <f>InputData[[#This Row],[Col]]&amp;"x"&amp;IF(LEN(InputData[[#This Row],[Alto]])=2,InputData[[#This Row],[Alto]],"0"&amp;InputData[[#This Row],[Alto]])</f>
        <v>1x02</v>
      </c>
    </row>
    <row r="5" spans="1:19" x14ac:dyDescent="0.2">
      <c r="A5" s="11" t="s">
        <v>19</v>
      </c>
      <c r="B5" s="11" t="s">
        <v>351</v>
      </c>
      <c r="C5" s="11" t="s">
        <v>352</v>
      </c>
      <c r="E5" s="11" t="s">
        <v>353</v>
      </c>
      <c r="F5" s="11" t="str">
        <f t="shared" si="0"/>
        <v>OPORTUNIDAD  TOYOTA HILUX 4x4, a</v>
      </c>
      <c r="G5" s="11" t="s">
        <v>22</v>
      </c>
      <c r="H5" s="11" t="s">
        <v>23</v>
      </c>
      <c r="I5" s="13">
        <v>111.48714285714287</v>
      </c>
      <c r="J5" s="11" t="s">
        <v>91</v>
      </c>
      <c r="K5" s="11" t="s">
        <v>234</v>
      </c>
      <c r="M5" s="14">
        <v>0</v>
      </c>
      <c r="N5" s="11" t="s">
        <v>21</v>
      </c>
      <c r="O5" s="12">
        <v>1</v>
      </c>
      <c r="P5" s="15">
        <v>5.0000000012500001</v>
      </c>
      <c r="Q5" s="11" t="str">
        <f>EVALUATE_LOCATION(InputData[[#This Row],[Section]],InputData[[#This Row],[Forma de Pago]],InputData[[#This Row],[Ubic.Pretendida]],InputData[[#This Row],[Nro pag]])</f>
        <v xml:space="preserve"> </v>
      </c>
      <c r="R5" s="11">
        <f>ROUND(InputData[[#This Row],[AltoCm]],0)</f>
        <v>5</v>
      </c>
      <c r="S5" s="11" t="str">
        <f>InputData[[#This Row],[Col]]&amp;"x"&amp;IF(LEN(InputData[[#This Row],[Alto]])=2,InputData[[#This Row],[Alto]],"0"&amp;InputData[[#This Row],[Alto]])</f>
        <v>1x05</v>
      </c>
    </row>
    <row r="6" spans="1:19" x14ac:dyDescent="0.2">
      <c r="A6" s="11" t="s">
        <v>19</v>
      </c>
      <c r="B6" s="11" t="s">
        <v>388</v>
      </c>
      <c r="C6" s="11" t="s">
        <v>105</v>
      </c>
      <c r="D6" s="11" t="s">
        <v>157</v>
      </c>
      <c r="E6" s="11" t="s">
        <v>115</v>
      </c>
      <c r="F6" s="11" t="str">
        <f t="shared" si="0"/>
        <v>GNC MYN GRAN PROMOCION...</v>
      </c>
      <c r="G6" s="11" t="s">
        <v>22</v>
      </c>
      <c r="H6" s="11" t="s">
        <v>20</v>
      </c>
      <c r="I6" s="13">
        <v>131.10833333333332</v>
      </c>
      <c r="J6" s="11" t="s">
        <v>91</v>
      </c>
      <c r="K6" s="11" t="s">
        <v>70</v>
      </c>
      <c r="M6" s="14">
        <v>0</v>
      </c>
      <c r="N6" s="11" t="s">
        <v>21</v>
      </c>
      <c r="O6" s="12">
        <v>1</v>
      </c>
      <c r="P6" s="15">
        <v>6.0000000015000001</v>
      </c>
      <c r="Q6" s="11" t="str">
        <f>EVALUATE_LOCATION(InputData[[#This Row],[Section]],InputData[[#This Row],[Forma de Pago]],InputData[[#This Row],[Ubic.Pretendida]],InputData[[#This Row],[Nro pag]])</f>
        <v xml:space="preserve"> </v>
      </c>
      <c r="R6" s="11">
        <f>ROUND(InputData[[#This Row],[AltoCm]],0)</f>
        <v>6</v>
      </c>
      <c r="S6" s="11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s="11" t="s">
        <v>19</v>
      </c>
      <c r="B7" s="11" t="s">
        <v>158</v>
      </c>
      <c r="C7" s="11" t="s">
        <v>92</v>
      </c>
      <c r="D7" s="11" t="s">
        <v>159</v>
      </c>
      <c r="E7" s="11" t="s">
        <v>93</v>
      </c>
      <c r="F7" s="11" t="str">
        <f t="shared" si="0"/>
        <v>NORTE GNC</v>
      </c>
      <c r="G7" s="11" t="s">
        <v>22</v>
      </c>
      <c r="H7" s="11" t="s">
        <v>20</v>
      </c>
      <c r="I7" s="13">
        <v>131.10833333333332</v>
      </c>
      <c r="J7" s="11" t="s">
        <v>91</v>
      </c>
      <c r="K7" s="11" t="s">
        <v>70</v>
      </c>
      <c r="M7" s="14">
        <v>0</v>
      </c>
      <c r="N7" s="11" t="s">
        <v>21</v>
      </c>
      <c r="O7" s="12">
        <v>1</v>
      </c>
      <c r="P7" s="15">
        <v>6.0000000015000001</v>
      </c>
      <c r="Q7" s="11" t="str">
        <f>EVALUATE_LOCATION(InputData[[#This Row],[Section]],InputData[[#This Row],[Forma de Pago]],InputData[[#This Row],[Ubic.Pretendida]],InputData[[#This Row],[Nro pag]])</f>
        <v xml:space="preserve"> </v>
      </c>
      <c r="R7" s="11">
        <f>ROUND(InputData[[#This Row],[AltoCm]],0)</f>
        <v>6</v>
      </c>
      <c r="S7" s="11" t="str">
        <f>InputData[[#This Row],[Col]]&amp;"x"&amp;IF(LEN(InputData[[#This Row],[Alto]])=2,InputData[[#This Row],[Alto]],"0"&amp;InputData[[#This Row],[Alto]])</f>
        <v>1x06</v>
      </c>
    </row>
    <row r="8" spans="1:19" x14ac:dyDescent="0.2">
      <c r="A8" s="11" t="s">
        <v>19</v>
      </c>
      <c r="B8" s="11" t="s">
        <v>332</v>
      </c>
      <c r="C8" s="11" t="s">
        <v>333</v>
      </c>
      <c r="E8" s="11" t="s">
        <v>334</v>
      </c>
      <c r="F8" s="11" t="str">
        <f t="shared" si="0"/>
        <v>RENAULT KWID  2018- 27.000km Due</v>
      </c>
      <c r="G8" s="11" t="s">
        <v>22</v>
      </c>
      <c r="H8" s="11" t="s">
        <v>23</v>
      </c>
      <c r="I8" s="13">
        <v>46.825000000000003</v>
      </c>
      <c r="J8" s="11" t="s">
        <v>91</v>
      </c>
      <c r="K8" s="11" t="s">
        <v>70</v>
      </c>
      <c r="M8" s="14">
        <v>0</v>
      </c>
      <c r="N8" s="11" t="s">
        <v>21</v>
      </c>
      <c r="O8" s="12">
        <v>1</v>
      </c>
      <c r="P8" s="15">
        <v>2.0000000005</v>
      </c>
      <c r="Q8" s="11" t="str">
        <f>EVALUATE_LOCATION(InputData[[#This Row],[Section]],InputData[[#This Row],[Forma de Pago]],InputData[[#This Row],[Ubic.Pretendida]],InputData[[#This Row],[Nro pag]])</f>
        <v xml:space="preserve"> </v>
      </c>
      <c r="R8" s="11">
        <f>ROUND(InputData[[#This Row],[AltoCm]],0)</f>
        <v>2</v>
      </c>
      <c r="S8" s="11" t="str">
        <f>InputData[[#This Row],[Col]]&amp;"x"&amp;IF(LEN(InputData[[#This Row],[Alto]])=2,InputData[[#This Row],[Alto]],"0"&amp;InputData[[#This Row],[Alto]])</f>
        <v>1x02</v>
      </c>
    </row>
    <row r="9" spans="1:19" x14ac:dyDescent="0.2">
      <c r="A9" s="11" t="s">
        <v>19</v>
      </c>
      <c r="B9" s="11" t="s">
        <v>389</v>
      </c>
      <c r="C9" s="11" t="s">
        <v>24</v>
      </c>
      <c r="D9" s="11" t="s">
        <v>160</v>
      </c>
      <c r="E9" s="11" t="s">
        <v>71</v>
      </c>
      <c r="F9" s="11" t="str">
        <f t="shared" si="0"/>
        <v>RQ VENTA DE TERRENOS</v>
      </c>
      <c r="G9" s="11" t="s">
        <v>22</v>
      </c>
      <c r="H9" s="11" t="s">
        <v>20</v>
      </c>
      <c r="I9" s="13">
        <v>131.10833333333332</v>
      </c>
      <c r="J9" s="11" t="s">
        <v>91</v>
      </c>
      <c r="K9" s="11" t="s">
        <v>69</v>
      </c>
      <c r="M9" s="14">
        <v>0</v>
      </c>
      <c r="N9" s="11" t="s">
        <v>21</v>
      </c>
      <c r="O9" s="12">
        <v>1</v>
      </c>
      <c r="P9" s="15">
        <v>6.0000000015000001</v>
      </c>
      <c r="Q9" s="11" t="str">
        <f>EVALUATE_LOCATION(InputData[[#This Row],[Section]],InputData[[#This Row],[Forma de Pago]],InputData[[#This Row],[Ubic.Pretendida]],InputData[[#This Row],[Nro pag]])</f>
        <v xml:space="preserve"> </v>
      </c>
      <c r="R9" s="11">
        <f>ROUND(InputData[[#This Row],[AltoCm]],0)</f>
        <v>6</v>
      </c>
      <c r="S9" s="11" t="str">
        <f>InputData[[#This Row],[Col]]&amp;"x"&amp;IF(LEN(InputData[[#This Row],[Alto]])=2,InputData[[#This Row],[Alto]],"0"&amp;InputData[[#This Row],[Alto]])</f>
        <v>1x06</v>
      </c>
    </row>
    <row r="10" spans="1:19" x14ac:dyDescent="0.2">
      <c r="A10" s="11" t="s">
        <v>19</v>
      </c>
      <c r="B10" s="11" t="s">
        <v>191</v>
      </c>
      <c r="C10" s="11" t="s">
        <v>192</v>
      </c>
      <c r="E10" s="11" t="s">
        <v>193</v>
      </c>
      <c r="F10" s="11" t="str">
        <f t="shared" si="0"/>
        <v>IMPORTANTE  TERRENO *ESQUINA* 1.</v>
      </c>
      <c r="G10" s="11" t="s">
        <v>22</v>
      </c>
      <c r="H10" s="11" t="s">
        <v>23</v>
      </c>
      <c r="I10" s="13">
        <v>62.432666666666677</v>
      </c>
      <c r="J10" s="11" t="s">
        <v>91</v>
      </c>
      <c r="K10" s="11" t="s">
        <v>69</v>
      </c>
      <c r="M10" s="14">
        <v>0</v>
      </c>
      <c r="N10" s="11" t="s">
        <v>21</v>
      </c>
      <c r="O10" s="12">
        <v>1</v>
      </c>
      <c r="P10" s="15">
        <v>4.0000000010000001</v>
      </c>
      <c r="Q10" s="11" t="str">
        <f>EVALUATE_LOCATION(InputData[[#This Row],[Section]],InputData[[#This Row],[Forma de Pago]],InputData[[#This Row],[Ubic.Pretendida]],InputData[[#This Row],[Nro pag]])</f>
        <v xml:space="preserve"> </v>
      </c>
      <c r="R10" s="11">
        <f>ROUND(InputData[[#This Row],[AltoCm]],0)</f>
        <v>4</v>
      </c>
      <c r="S10" s="11" t="str">
        <f>InputData[[#This Row],[Col]]&amp;"x"&amp;IF(LEN(InputData[[#This Row],[Alto]])=2,InputData[[#This Row],[Alto]],"0"&amp;InputData[[#This Row],[Alto]])</f>
        <v>1x04</v>
      </c>
    </row>
    <row r="11" spans="1:19" x14ac:dyDescent="0.2">
      <c r="A11" s="11" t="s">
        <v>19</v>
      </c>
      <c r="B11" s="11" t="s">
        <v>194</v>
      </c>
      <c r="C11" s="11" t="s">
        <v>192</v>
      </c>
      <c r="E11" s="11" t="s">
        <v>195</v>
      </c>
      <c r="F11" s="11" t="str">
        <f t="shared" si="0"/>
        <v xml:space="preserve">PERICO  VENDO 2 TERRENOS juntos </v>
      </c>
      <c r="G11" s="11" t="s">
        <v>22</v>
      </c>
      <c r="H11" s="11" t="s">
        <v>23</v>
      </c>
      <c r="I11" s="13">
        <v>46.824333333333335</v>
      </c>
      <c r="J11" s="11" t="s">
        <v>91</v>
      </c>
      <c r="K11" s="11" t="s">
        <v>69</v>
      </c>
      <c r="M11" s="14">
        <v>0</v>
      </c>
      <c r="N11" s="11" t="s">
        <v>21</v>
      </c>
      <c r="O11" s="12">
        <v>1</v>
      </c>
      <c r="P11" s="15">
        <v>3.0000000007500001</v>
      </c>
      <c r="Q11" s="11" t="str">
        <f>EVALUATE_LOCATION(InputData[[#This Row],[Section]],InputData[[#This Row],[Forma de Pago]],InputData[[#This Row],[Ubic.Pretendida]],InputData[[#This Row],[Nro pag]])</f>
        <v xml:space="preserve"> </v>
      </c>
      <c r="R11" s="11">
        <f>ROUND(InputData[[#This Row],[AltoCm]],0)</f>
        <v>3</v>
      </c>
      <c r="S11" s="11" t="str">
        <f>InputData[[#This Row],[Col]]&amp;"x"&amp;IF(LEN(InputData[[#This Row],[Alto]])=2,InputData[[#This Row],[Alto]],"0"&amp;InputData[[#This Row],[Alto]])</f>
        <v>1x03</v>
      </c>
    </row>
    <row r="12" spans="1:19" x14ac:dyDescent="0.2">
      <c r="A12" s="11" t="s">
        <v>19</v>
      </c>
      <c r="B12" s="11" t="s">
        <v>225</v>
      </c>
      <c r="C12" s="11" t="s">
        <v>192</v>
      </c>
      <c r="E12" s="11" t="s">
        <v>226</v>
      </c>
      <c r="F12" s="11" t="str">
        <f t="shared" si="0"/>
        <v>ATENCIÓN VENDO TERRENO  * 600 m2</v>
      </c>
      <c r="G12" s="11" t="s">
        <v>22</v>
      </c>
      <c r="H12" s="11" t="s">
        <v>23</v>
      </c>
      <c r="I12" s="13">
        <v>62.432666666666677</v>
      </c>
      <c r="J12" s="11" t="s">
        <v>91</v>
      </c>
      <c r="K12" s="11" t="s">
        <v>69</v>
      </c>
      <c r="M12" s="14">
        <v>0</v>
      </c>
      <c r="N12" s="11" t="s">
        <v>21</v>
      </c>
      <c r="O12" s="12">
        <v>1</v>
      </c>
      <c r="P12" s="15">
        <v>4.0000000010000001</v>
      </c>
      <c r="Q12" s="11" t="str">
        <f>EVALUATE_LOCATION(InputData[[#This Row],[Section]],InputData[[#This Row],[Forma de Pago]],InputData[[#This Row],[Ubic.Pretendida]],InputData[[#This Row],[Nro pag]])</f>
        <v xml:space="preserve"> </v>
      </c>
      <c r="R12" s="11">
        <f>ROUND(InputData[[#This Row],[AltoCm]],0)</f>
        <v>4</v>
      </c>
      <c r="S12" s="11" t="str">
        <f>InputData[[#This Row],[Col]]&amp;"x"&amp;IF(LEN(InputData[[#This Row],[Alto]])=2,InputData[[#This Row],[Alto]],"0"&amp;InputData[[#This Row],[Alto]])</f>
        <v>1x04</v>
      </c>
    </row>
    <row r="13" spans="1:19" x14ac:dyDescent="0.2">
      <c r="A13" s="11" t="s">
        <v>19</v>
      </c>
      <c r="B13" s="11" t="s">
        <v>417</v>
      </c>
      <c r="C13" s="11" t="s">
        <v>418</v>
      </c>
      <c r="E13" s="11" t="s">
        <v>419</v>
      </c>
      <c r="F13" s="11" t="str">
        <f t="shared" si="0"/>
        <v>SEVERINO  *VENDO*  100 HAS. COMU</v>
      </c>
      <c r="G13" s="11" t="s">
        <v>22</v>
      </c>
      <c r="H13" s="11" t="s">
        <v>23</v>
      </c>
      <c r="I13" s="13">
        <v>111.48714285714287</v>
      </c>
      <c r="J13" s="11" t="s">
        <v>91</v>
      </c>
      <c r="K13" s="11" t="s">
        <v>69</v>
      </c>
      <c r="M13" s="14">
        <v>0</v>
      </c>
      <c r="N13" s="11" t="s">
        <v>21</v>
      </c>
      <c r="O13" s="12">
        <v>1</v>
      </c>
      <c r="P13" s="15">
        <v>5.0000000012500001</v>
      </c>
      <c r="Q13" s="11" t="str">
        <f>EVALUATE_LOCATION(InputData[[#This Row],[Section]],InputData[[#This Row],[Forma de Pago]],InputData[[#This Row],[Ubic.Pretendida]],InputData[[#This Row],[Nro pag]])</f>
        <v xml:space="preserve"> </v>
      </c>
      <c r="R13" s="11">
        <f>ROUND(InputData[[#This Row],[AltoCm]],0)</f>
        <v>5</v>
      </c>
      <c r="S13" s="11" t="str">
        <f>InputData[[#This Row],[Col]]&amp;"x"&amp;IF(LEN(InputData[[#This Row],[Alto]])=2,InputData[[#This Row],[Alto]],"0"&amp;InputData[[#This Row],[Alto]])</f>
        <v>1x05</v>
      </c>
    </row>
    <row r="14" spans="1:19" x14ac:dyDescent="0.2">
      <c r="A14" s="11" t="s">
        <v>19</v>
      </c>
      <c r="B14" s="11" t="s">
        <v>287</v>
      </c>
      <c r="C14" s="11" t="s">
        <v>288</v>
      </c>
      <c r="E14" s="11" t="s">
        <v>289</v>
      </c>
      <c r="F14" s="11" t="str">
        <f t="shared" si="0"/>
        <v>VENDO TERRENOS  Alto Comedero (a</v>
      </c>
      <c r="G14" s="11" t="s">
        <v>22</v>
      </c>
      <c r="H14" s="11" t="s">
        <v>23</v>
      </c>
      <c r="I14" s="13">
        <v>66.891428571428577</v>
      </c>
      <c r="J14" s="11" t="s">
        <v>91</v>
      </c>
      <c r="K14" s="11" t="s">
        <v>69</v>
      </c>
      <c r="M14" s="14">
        <v>0</v>
      </c>
      <c r="N14" s="11" t="s">
        <v>21</v>
      </c>
      <c r="O14" s="12">
        <v>1</v>
      </c>
      <c r="P14" s="15">
        <v>3.0000000007500001</v>
      </c>
      <c r="Q14" s="11" t="str">
        <f>EVALUATE_LOCATION(InputData[[#This Row],[Section]],InputData[[#This Row],[Forma de Pago]],InputData[[#This Row],[Ubic.Pretendida]],InputData[[#This Row],[Nro pag]])</f>
        <v xml:space="preserve"> </v>
      </c>
      <c r="R14" s="11">
        <f>ROUND(InputData[[#This Row],[AltoCm]],0)</f>
        <v>3</v>
      </c>
      <c r="S14" s="11" t="str">
        <f>InputData[[#This Row],[Col]]&amp;"x"&amp;IF(LEN(InputData[[#This Row],[Alto]])=2,InputData[[#This Row],[Alto]],"0"&amp;InputData[[#This Row],[Alto]])</f>
        <v>1x03</v>
      </c>
    </row>
    <row r="15" spans="1:19" x14ac:dyDescent="0.2">
      <c r="A15" s="11" t="s">
        <v>19</v>
      </c>
      <c r="B15" s="11" t="s">
        <v>303</v>
      </c>
      <c r="C15" s="11" t="s">
        <v>96</v>
      </c>
      <c r="E15" s="11" t="s">
        <v>304</v>
      </c>
      <c r="F15" s="11" t="str">
        <f t="shared" si="0"/>
        <v>Bº LOS CLAROS VENDO TERRENO GRAN</v>
      </c>
      <c r="G15" s="11" t="s">
        <v>22</v>
      </c>
      <c r="H15" s="11" t="s">
        <v>23</v>
      </c>
      <c r="I15" s="13">
        <v>44.595000000000013</v>
      </c>
      <c r="J15" s="11" t="s">
        <v>91</v>
      </c>
      <c r="K15" s="11" t="s">
        <v>69</v>
      </c>
      <c r="M15" s="14">
        <v>0</v>
      </c>
      <c r="N15" s="11" t="s">
        <v>21</v>
      </c>
      <c r="O15" s="12">
        <v>1</v>
      </c>
      <c r="P15" s="15">
        <v>2.0000000005</v>
      </c>
      <c r="Q15" s="11" t="str">
        <f>EVALUATE_LOCATION(InputData[[#This Row],[Section]],InputData[[#This Row],[Forma de Pago]],InputData[[#This Row],[Ubic.Pretendida]],InputData[[#This Row],[Nro pag]])</f>
        <v xml:space="preserve"> </v>
      </c>
      <c r="R15" s="11">
        <f>ROUND(InputData[[#This Row],[AltoCm]],0)</f>
        <v>2</v>
      </c>
      <c r="S15" s="11" t="str">
        <f>InputData[[#This Row],[Col]]&amp;"x"&amp;IF(LEN(InputData[[#This Row],[Alto]])=2,InputData[[#This Row],[Alto]],"0"&amp;InputData[[#This Row],[Alto]])</f>
        <v>1x02</v>
      </c>
    </row>
    <row r="16" spans="1:19" x14ac:dyDescent="0.2">
      <c r="A16" s="11" t="s">
        <v>19</v>
      </c>
      <c r="B16" s="11" t="s">
        <v>390</v>
      </c>
      <c r="C16" s="11" t="s">
        <v>335</v>
      </c>
      <c r="E16" s="11" t="s">
        <v>355</v>
      </c>
      <c r="F16" s="11" t="str">
        <f t="shared" si="0"/>
        <v xml:space="preserve">URGENTE VENDO  TERRENO 50x50 En </v>
      </c>
      <c r="G16" s="11" t="s">
        <v>22</v>
      </c>
      <c r="H16" s="11" t="s">
        <v>23</v>
      </c>
      <c r="I16" s="13">
        <v>78.040666666666667</v>
      </c>
      <c r="J16" s="11" t="s">
        <v>91</v>
      </c>
      <c r="K16" s="11" t="s">
        <v>69</v>
      </c>
      <c r="M16" s="14">
        <v>0</v>
      </c>
      <c r="N16" s="11" t="s">
        <v>21</v>
      </c>
      <c r="O16" s="12">
        <v>1</v>
      </c>
      <c r="P16" s="15">
        <v>5.0000000012500001</v>
      </c>
      <c r="Q16" s="11" t="str">
        <f>EVALUATE_LOCATION(InputData[[#This Row],[Section]],InputData[[#This Row],[Forma de Pago]],InputData[[#This Row],[Ubic.Pretendida]],InputData[[#This Row],[Nro pag]])</f>
        <v xml:space="preserve"> </v>
      </c>
      <c r="R16" s="11">
        <f>ROUND(InputData[[#This Row],[AltoCm]],0)</f>
        <v>5</v>
      </c>
      <c r="S16" s="11" t="str">
        <f>InputData[[#This Row],[Col]]&amp;"x"&amp;IF(LEN(InputData[[#This Row],[Alto]])=2,InputData[[#This Row],[Alto]],"0"&amp;InputData[[#This Row],[Alto]])</f>
        <v>1x05</v>
      </c>
    </row>
    <row r="17" spans="1:19" x14ac:dyDescent="0.2">
      <c r="A17" s="11" t="s">
        <v>19</v>
      </c>
      <c r="B17" s="11" t="s">
        <v>196</v>
      </c>
      <c r="C17" s="11" t="s">
        <v>192</v>
      </c>
      <c r="E17" s="11" t="s">
        <v>197</v>
      </c>
      <c r="F17" s="11" t="str">
        <f t="shared" si="0"/>
        <v xml:space="preserve">LÒPEZ  INMOBILIARIA  ESTAMOS EN </v>
      </c>
      <c r="G17" s="11" t="s">
        <v>22</v>
      </c>
      <c r="H17" s="11" t="s">
        <v>23</v>
      </c>
      <c r="I17" s="13">
        <v>109.25700000000001</v>
      </c>
      <c r="J17" s="11" t="s">
        <v>91</v>
      </c>
      <c r="K17" s="11" t="s">
        <v>75</v>
      </c>
      <c r="M17" s="14">
        <v>0</v>
      </c>
      <c r="N17" s="11" t="s">
        <v>21</v>
      </c>
      <c r="O17" s="12">
        <v>1</v>
      </c>
      <c r="P17" s="15">
        <v>7.0000000017499984</v>
      </c>
      <c r="Q17" s="11" t="str">
        <f>EVALUATE_LOCATION(InputData[[#This Row],[Section]],InputData[[#This Row],[Forma de Pago]],InputData[[#This Row],[Ubic.Pretendida]],InputData[[#This Row],[Nro pag]])</f>
        <v xml:space="preserve"> </v>
      </c>
      <c r="R17" s="11">
        <f>ROUND(InputData[[#This Row],[AltoCm]],0)</f>
        <v>7</v>
      </c>
      <c r="S17" s="11" t="str">
        <f>InputData[[#This Row],[Col]]&amp;"x"&amp;IF(LEN(InputData[[#This Row],[Alto]])=2,InputData[[#This Row],[Alto]],"0"&amp;InputData[[#This Row],[Alto]])</f>
        <v>1x07</v>
      </c>
    </row>
    <row r="18" spans="1:19" x14ac:dyDescent="0.2">
      <c r="A18" s="11" t="s">
        <v>19</v>
      </c>
      <c r="B18" s="11" t="s">
        <v>420</v>
      </c>
      <c r="C18" s="11" t="s">
        <v>418</v>
      </c>
      <c r="E18" s="11" t="s">
        <v>421</v>
      </c>
      <c r="F18" s="11" t="str">
        <f t="shared" si="0"/>
        <v xml:space="preserve">PERICO                          </v>
      </c>
      <c r="G18" s="11" t="s">
        <v>22</v>
      </c>
      <c r="H18" s="11" t="s">
        <v>23</v>
      </c>
      <c r="I18" s="13">
        <v>267.56857142857143</v>
      </c>
      <c r="J18" s="11" t="s">
        <v>91</v>
      </c>
      <c r="K18" s="11" t="s">
        <v>75</v>
      </c>
      <c r="M18" s="14">
        <v>0</v>
      </c>
      <c r="N18" s="11" t="s">
        <v>21</v>
      </c>
      <c r="O18" s="12">
        <v>1</v>
      </c>
      <c r="P18" s="15">
        <v>11.999999999472221</v>
      </c>
      <c r="Q18" s="11" t="str">
        <f>EVALUATE_LOCATION(InputData[[#This Row],[Section]],InputData[[#This Row],[Forma de Pago]],InputData[[#This Row],[Ubic.Pretendida]],InputData[[#This Row],[Nro pag]])</f>
        <v xml:space="preserve"> </v>
      </c>
      <c r="R18" s="11">
        <f>ROUND(InputData[[#This Row],[AltoCm]],0)</f>
        <v>12</v>
      </c>
      <c r="S18" s="11" t="str">
        <f>InputData[[#This Row],[Col]]&amp;"x"&amp;IF(LEN(InputData[[#This Row],[Alto]])=2,InputData[[#This Row],[Alto]],"0"&amp;InputData[[#This Row],[Alto]])</f>
        <v>1x12</v>
      </c>
    </row>
    <row r="19" spans="1:19" x14ac:dyDescent="0.2">
      <c r="A19" s="11" t="s">
        <v>19</v>
      </c>
      <c r="B19" s="11" t="s">
        <v>278</v>
      </c>
      <c r="C19" s="11" t="s">
        <v>247</v>
      </c>
      <c r="E19" s="11" t="s">
        <v>279</v>
      </c>
      <c r="F19" s="11" t="str">
        <f t="shared" si="0"/>
        <v>SALTA CAPITAL  Macrocentro vende</v>
      </c>
      <c r="G19" s="11" t="s">
        <v>22</v>
      </c>
      <c r="H19" s="11" t="s">
        <v>23</v>
      </c>
      <c r="I19" s="13">
        <v>156.08142857142857</v>
      </c>
      <c r="J19" s="11" t="s">
        <v>91</v>
      </c>
      <c r="K19" s="11" t="s">
        <v>75</v>
      </c>
      <c r="M19" s="14">
        <v>0</v>
      </c>
      <c r="N19" s="11" t="s">
        <v>21</v>
      </c>
      <c r="O19" s="12">
        <v>1</v>
      </c>
      <c r="P19" s="15">
        <v>7.0000000017499984</v>
      </c>
      <c r="Q19" s="11" t="str">
        <f>EVALUATE_LOCATION(InputData[[#This Row],[Section]],InputData[[#This Row],[Forma de Pago]],InputData[[#This Row],[Ubic.Pretendida]],InputData[[#This Row],[Nro pag]])</f>
        <v xml:space="preserve"> </v>
      </c>
      <c r="R19" s="11">
        <f>ROUND(InputData[[#This Row],[AltoCm]],0)</f>
        <v>7</v>
      </c>
      <c r="S19" s="11" t="str">
        <f>InputData[[#This Row],[Col]]&amp;"x"&amp;IF(LEN(InputData[[#This Row],[Alto]])=2,InputData[[#This Row],[Alto]],"0"&amp;InputData[[#This Row],[Alto]])</f>
        <v>1x07</v>
      </c>
    </row>
    <row r="20" spans="1:19" x14ac:dyDescent="0.2">
      <c r="A20" s="11" t="s">
        <v>19</v>
      </c>
      <c r="B20" s="11" t="s">
        <v>280</v>
      </c>
      <c r="C20" s="11" t="s">
        <v>281</v>
      </c>
      <c r="E20" s="11" t="s">
        <v>282</v>
      </c>
      <c r="F20" s="11" t="str">
        <f t="shared" si="0"/>
        <v>DUEÑO VENDE  PROPIEDAD 2 PLANTAS</v>
      </c>
      <c r="G20" s="11" t="s">
        <v>22</v>
      </c>
      <c r="H20" s="11" t="s">
        <v>23</v>
      </c>
      <c r="I20" s="13">
        <v>44.594285714285718</v>
      </c>
      <c r="J20" s="11" t="s">
        <v>91</v>
      </c>
      <c r="K20" s="11" t="s">
        <v>75</v>
      </c>
      <c r="M20" s="14">
        <v>0</v>
      </c>
      <c r="N20" s="11" t="s">
        <v>21</v>
      </c>
      <c r="O20" s="12">
        <v>1</v>
      </c>
      <c r="P20" s="15">
        <v>2.0000000005</v>
      </c>
      <c r="Q20" s="11" t="str">
        <f>EVALUATE_LOCATION(InputData[[#This Row],[Section]],InputData[[#This Row],[Forma de Pago]],InputData[[#This Row],[Ubic.Pretendida]],InputData[[#This Row],[Nro pag]])</f>
        <v xml:space="preserve"> </v>
      </c>
      <c r="R20" s="11">
        <f>ROUND(InputData[[#This Row],[AltoCm]],0)</f>
        <v>2</v>
      </c>
      <c r="S20" s="11" t="str">
        <f>InputData[[#This Row],[Col]]&amp;"x"&amp;IF(LEN(InputData[[#This Row],[Alto]])=2,InputData[[#This Row],[Alto]],"0"&amp;InputData[[#This Row],[Alto]])</f>
        <v>1x02</v>
      </c>
    </row>
    <row r="21" spans="1:19" x14ac:dyDescent="0.2">
      <c r="A21" s="11" t="s">
        <v>19</v>
      </c>
      <c r="B21" s="11" t="s">
        <v>305</v>
      </c>
      <c r="C21" s="11" t="s">
        <v>96</v>
      </c>
      <c r="E21" s="11" t="s">
        <v>306</v>
      </c>
      <c r="F21" s="11" t="str">
        <f t="shared" si="0"/>
        <v>ALTO LA VIÑA Vendo  casa importa</v>
      </c>
      <c r="G21" s="11" t="s">
        <v>22</v>
      </c>
      <c r="H21" s="11" t="s">
        <v>23</v>
      </c>
      <c r="I21" s="13">
        <v>44.595000000000013</v>
      </c>
      <c r="J21" s="11" t="s">
        <v>91</v>
      </c>
      <c r="K21" s="11" t="s">
        <v>75</v>
      </c>
      <c r="M21" s="14">
        <v>0</v>
      </c>
      <c r="N21" s="11" t="s">
        <v>21</v>
      </c>
      <c r="O21" s="12">
        <v>1</v>
      </c>
      <c r="P21" s="15">
        <v>2.0000000005</v>
      </c>
      <c r="Q21" s="11" t="str">
        <f>EVALUATE_LOCATION(InputData[[#This Row],[Section]],InputData[[#This Row],[Forma de Pago]],InputData[[#This Row],[Ubic.Pretendida]],InputData[[#This Row],[Nro pag]])</f>
        <v xml:space="preserve"> </v>
      </c>
      <c r="R21" s="11">
        <f>ROUND(InputData[[#This Row],[AltoCm]],0)</f>
        <v>2</v>
      </c>
      <c r="S21" s="11" t="str">
        <f>InputData[[#This Row],[Col]]&amp;"x"&amp;IF(LEN(InputData[[#This Row],[Alto]])=2,InputData[[#This Row],[Alto]],"0"&amp;InputData[[#This Row],[Alto]])</f>
        <v>1x02</v>
      </c>
    </row>
    <row r="22" spans="1:19" x14ac:dyDescent="0.2">
      <c r="A22" s="11" t="s">
        <v>19</v>
      </c>
      <c r="B22" s="11" t="s">
        <v>307</v>
      </c>
      <c r="C22" s="11" t="s">
        <v>96</v>
      </c>
      <c r="E22" s="11" t="s">
        <v>308</v>
      </c>
      <c r="F22" s="11" t="str">
        <f t="shared" si="0"/>
        <v>PARQUE SAN MARTIN vendo dpto. gr</v>
      </c>
      <c r="G22" s="11" t="s">
        <v>22</v>
      </c>
      <c r="H22" s="11" t="s">
        <v>23</v>
      </c>
      <c r="I22" s="13">
        <v>44.595000000000013</v>
      </c>
      <c r="J22" s="11" t="s">
        <v>91</v>
      </c>
      <c r="K22" s="11" t="s">
        <v>75</v>
      </c>
      <c r="M22" s="14">
        <v>0</v>
      </c>
      <c r="N22" s="11" t="s">
        <v>21</v>
      </c>
      <c r="O22" s="12">
        <v>1</v>
      </c>
      <c r="P22" s="15">
        <v>2.0000000005</v>
      </c>
      <c r="Q22" s="11" t="str">
        <f>EVALUATE_LOCATION(InputData[[#This Row],[Section]],InputData[[#This Row],[Forma de Pago]],InputData[[#This Row],[Ubic.Pretendida]],InputData[[#This Row],[Nro pag]])</f>
        <v xml:space="preserve"> </v>
      </c>
      <c r="R22" s="11">
        <f>ROUND(InputData[[#This Row],[AltoCm]],0)</f>
        <v>2</v>
      </c>
      <c r="S22" s="11" t="str">
        <f>InputData[[#This Row],[Col]]&amp;"x"&amp;IF(LEN(InputData[[#This Row],[Alto]])=2,InputData[[#This Row],[Alto]],"0"&amp;InputData[[#This Row],[Alto]])</f>
        <v>1x02</v>
      </c>
    </row>
    <row r="23" spans="1:19" x14ac:dyDescent="0.2">
      <c r="A23" s="11" t="s">
        <v>19</v>
      </c>
      <c r="B23" s="11" t="s">
        <v>309</v>
      </c>
      <c r="C23" s="11" t="s">
        <v>96</v>
      </c>
      <c r="E23" s="11" t="s">
        <v>310</v>
      </c>
      <c r="F23" s="11" t="str">
        <f t="shared" si="0"/>
        <v xml:space="preserve">B° CHIJRA, vendo casa  (A medio </v>
      </c>
      <c r="G23" s="11" t="s">
        <v>22</v>
      </c>
      <c r="H23" s="11" t="s">
        <v>23</v>
      </c>
      <c r="I23" s="13">
        <v>44.595000000000013</v>
      </c>
      <c r="J23" s="11" t="s">
        <v>91</v>
      </c>
      <c r="K23" s="11" t="s">
        <v>75</v>
      </c>
      <c r="M23" s="14">
        <v>0</v>
      </c>
      <c r="N23" s="11" t="s">
        <v>21</v>
      </c>
      <c r="O23" s="12">
        <v>1</v>
      </c>
      <c r="P23" s="15">
        <v>2.0000000005</v>
      </c>
      <c r="Q23" s="11" t="str">
        <f>EVALUATE_LOCATION(InputData[[#This Row],[Section]],InputData[[#This Row],[Forma de Pago]],InputData[[#This Row],[Ubic.Pretendida]],InputData[[#This Row],[Nro pag]])</f>
        <v xml:space="preserve"> </v>
      </c>
      <c r="R23" s="11">
        <f>ROUND(InputData[[#This Row],[AltoCm]],0)</f>
        <v>2</v>
      </c>
      <c r="S23" s="11" t="str">
        <f>InputData[[#This Row],[Col]]&amp;"x"&amp;IF(LEN(InputData[[#This Row],[Alto]])=2,InputData[[#This Row],[Alto]],"0"&amp;InputData[[#This Row],[Alto]])</f>
        <v>1x02</v>
      </c>
    </row>
    <row r="24" spans="1:19" x14ac:dyDescent="0.2">
      <c r="A24" s="11" t="s">
        <v>19</v>
      </c>
      <c r="B24" s="11" t="s">
        <v>311</v>
      </c>
      <c r="C24" s="11" t="s">
        <v>96</v>
      </c>
      <c r="E24" s="11" t="s">
        <v>312</v>
      </c>
      <c r="F24" s="11" t="str">
        <f t="shared" si="0"/>
        <v>B°560 VIVIENDAS  Sobre Pje 3 dor</v>
      </c>
      <c r="G24" s="11" t="s">
        <v>22</v>
      </c>
      <c r="H24" s="11" t="s">
        <v>23</v>
      </c>
      <c r="I24" s="13">
        <v>44.595000000000013</v>
      </c>
      <c r="J24" s="11" t="s">
        <v>91</v>
      </c>
      <c r="K24" s="11" t="s">
        <v>75</v>
      </c>
      <c r="M24" s="14">
        <v>0</v>
      </c>
      <c r="N24" s="11" t="s">
        <v>21</v>
      </c>
      <c r="O24" s="12">
        <v>1</v>
      </c>
      <c r="P24" s="15">
        <v>2.0000000005</v>
      </c>
      <c r="Q24" s="11" t="str">
        <f>EVALUATE_LOCATION(InputData[[#This Row],[Section]],InputData[[#This Row],[Forma de Pago]],InputData[[#This Row],[Ubic.Pretendida]],InputData[[#This Row],[Nro pag]])</f>
        <v xml:space="preserve"> </v>
      </c>
      <c r="R24" s="11">
        <f>ROUND(InputData[[#This Row],[AltoCm]],0)</f>
        <v>2</v>
      </c>
      <c r="S24" s="11" t="str">
        <f>InputData[[#This Row],[Col]]&amp;"x"&amp;IF(LEN(InputData[[#This Row],[Alto]])=2,InputData[[#This Row],[Alto]],"0"&amp;InputData[[#This Row],[Alto]])</f>
        <v>1x02</v>
      </c>
    </row>
    <row r="25" spans="1:19" x14ac:dyDescent="0.2">
      <c r="A25" s="11" t="s">
        <v>19</v>
      </c>
      <c r="B25" s="11" t="s">
        <v>336</v>
      </c>
      <c r="C25" s="11" t="s">
        <v>337</v>
      </c>
      <c r="E25" s="11" t="s">
        <v>338</v>
      </c>
      <c r="F25" s="11" t="str">
        <f t="shared" si="0"/>
        <v xml:space="preserve">SALTA CAPITAL VDO. O PERMUTO B° </v>
      </c>
      <c r="G25" s="11" t="s">
        <v>22</v>
      </c>
      <c r="H25" s="11" t="s">
        <v>23</v>
      </c>
      <c r="I25" s="13">
        <v>46.824333333333335</v>
      </c>
      <c r="J25" s="11" t="s">
        <v>91</v>
      </c>
      <c r="K25" s="11" t="s">
        <v>75</v>
      </c>
      <c r="M25" s="14">
        <v>0</v>
      </c>
      <c r="N25" s="11" t="s">
        <v>21</v>
      </c>
      <c r="O25" s="12">
        <v>1</v>
      </c>
      <c r="P25" s="15">
        <v>3.0000000007500001</v>
      </c>
      <c r="Q25" s="11" t="str">
        <f>EVALUATE_LOCATION(InputData[[#This Row],[Section]],InputData[[#This Row],[Forma de Pago]],InputData[[#This Row],[Ubic.Pretendida]],InputData[[#This Row],[Nro pag]])</f>
        <v xml:space="preserve"> </v>
      </c>
      <c r="R25" s="11">
        <f>ROUND(InputData[[#This Row],[AltoCm]],0)</f>
        <v>3</v>
      </c>
      <c r="S25" s="11" t="str">
        <f>InputData[[#This Row],[Col]]&amp;"x"&amp;IF(LEN(InputData[[#This Row],[Alto]])=2,InputData[[#This Row],[Alto]],"0"&amp;InputData[[#This Row],[Alto]])</f>
        <v>1x03</v>
      </c>
    </row>
    <row r="26" spans="1:19" x14ac:dyDescent="0.2">
      <c r="A26" s="11" t="s">
        <v>19</v>
      </c>
      <c r="B26" s="11" t="s">
        <v>356</v>
      </c>
      <c r="C26" s="11" t="s">
        <v>357</v>
      </c>
      <c r="E26" s="11" t="s">
        <v>358</v>
      </c>
      <c r="F26" s="11" t="str">
        <f t="shared" si="0"/>
        <v>EN PERICO QUIQUE MOGRO VENDE CAS</v>
      </c>
      <c r="G26" s="11" t="s">
        <v>22</v>
      </c>
      <c r="H26" s="11" t="s">
        <v>23</v>
      </c>
      <c r="I26" s="13">
        <v>117.06</v>
      </c>
      <c r="J26" s="11" t="s">
        <v>91</v>
      </c>
      <c r="K26" s="11" t="s">
        <v>75</v>
      </c>
      <c r="M26" s="14">
        <v>0</v>
      </c>
      <c r="N26" s="11" t="s">
        <v>21</v>
      </c>
      <c r="O26" s="12">
        <v>1</v>
      </c>
      <c r="P26" s="15">
        <v>5.0000000012500001</v>
      </c>
      <c r="Q26" s="11" t="str">
        <f>EVALUATE_LOCATION(InputData[[#This Row],[Section]],InputData[[#This Row],[Forma de Pago]],InputData[[#This Row],[Ubic.Pretendida]],InputData[[#This Row],[Nro pag]])</f>
        <v xml:space="preserve"> </v>
      </c>
      <c r="R26" s="11">
        <f>ROUND(InputData[[#This Row],[AltoCm]],0)</f>
        <v>5</v>
      </c>
      <c r="S26" s="11" t="str">
        <f>InputData[[#This Row],[Col]]&amp;"x"&amp;IF(LEN(InputData[[#This Row],[Alto]])=2,InputData[[#This Row],[Alto]],"0"&amp;InputData[[#This Row],[Alto]])</f>
        <v>1x05</v>
      </c>
    </row>
    <row r="27" spans="1:19" x14ac:dyDescent="0.2">
      <c r="A27" s="11" t="s">
        <v>19</v>
      </c>
      <c r="B27" s="11" t="s">
        <v>359</v>
      </c>
      <c r="C27" s="11" t="s">
        <v>116</v>
      </c>
      <c r="E27" s="11" t="s">
        <v>143</v>
      </c>
      <c r="F27" s="11" t="str">
        <f t="shared" si="0"/>
        <v>CAÑAS VENTA *Excluisiva propieda</v>
      </c>
      <c r="G27" s="11" t="s">
        <v>22</v>
      </c>
      <c r="H27" s="11" t="s">
        <v>23</v>
      </c>
      <c r="I27" s="13">
        <v>245.27</v>
      </c>
      <c r="J27" s="11" t="s">
        <v>91</v>
      </c>
      <c r="K27" s="11" t="s">
        <v>75</v>
      </c>
      <c r="M27" s="14">
        <v>0</v>
      </c>
      <c r="N27" s="11" t="s">
        <v>21</v>
      </c>
      <c r="O27" s="12">
        <v>1</v>
      </c>
      <c r="P27" s="15">
        <v>10.999999999222224</v>
      </c>
      <c r="Q27" s="11" t="str">
        <f>EVALUATE_LOCATION(InputData[[#This Row],[Section]],InputData[[#This Row],[Forma de Pago]],InputData[[#This Row],[Ubic.Pretendida]],InputData[[#This Row],[Nro pag]])</f>
        <v xml:space="preserve"> </v>
      </c>
      <c r="R27" s="11">
        <f>ROUND(InputData[[#This Row],[AltoCm]],0)</f>
        <v>11</v>
      </c>
      <c r="S27" s="11" t="str">
        <f>InputData[[#This Row],[Col]]&amp;"x"&amp;IF(LEN(InputData[[#This Row],[Alto]])=2,InputData[[#This Row],[Alto]],"0"&amp;InputData[[#This Row],[Alto]])</f>
        <v>1x11</v>
      </c>
    </row>
    <row r="28" spans="1:19" x14ac:dyDescent="0.2">
      <c r="A28" s="11" t="s">
        <v>19</v>
      </c>
      <c r="B28" s="11" t="s">
        <v>253</v>
      </c>
      <c r="C28" s="11" t="s">
        <v>26</v>
      </c>
      <c r="D28" s="11" t="s">
        <v>161</v>
      </c>
      <c r="E28" s="11" t="s">
        <v>27</v>
      </c>
      <c r="F28" s="11" t="str">
        <f t="shared" si="0"/>
        <v>CARMOTO FERRETERIA INDUSTRIAL</v>
      </c>
      <c r="G28" s="11" t="s">
        <v>22</v>
      </c>
      <c r="H28" s="11" t="s">
        <v>20</v>
      </c>
      <c r="I28" s="13">
        <v>305.91933333333333</v>
      </c>
      <c r="J28" s="11" t="s">
        <v>91</v>
      </c>
      <c r="K28" s="11" t="s">
        <v>25</v>
      </c>
      <c r="M28" s="14">
        <v>0</v>
      </c>
      <c r="N28" s="11" t="s">
        <v>21</v>
      </c>
      <c r="O28" s="12">
        <v>1</v>
      </c>
      <c r="P28" s="15">
        <v>13.999999999972225</v>
      </c>
      <c r="Q28" s="11" t="str">
        <f>EVALUATE_LOCATION(InputData[[#This Row],[Section]],InputData[[#This Row],[Forma de Pago]],InputData[[#This Row],[Ubic.Pretendida]],InputData[[#This Row],[Nro pag]])</f>
        <v xml:space="preserve"> </v>
      </c>
      <c r="R28" s="11">
        <f>ROUND(InputData[[#This Row],[AltoCm]],0)</f>
        <v>14</v>
      </c>
      <c r="S28" s="11" t="str">
        <f>InputData[[#This Row],[Col]]&amp;"x"&amp;IF(LEN(InputData[[#This Row],[Alto]])=2,InputData[[#This Row],[Alto]],"0"&amp;InputData[[#This Row],[Alto]])</f>
        <v>1x14</v>
      </c>
    </row>
    <row r="29" spans="1:19" x14ac:dyDescent="0.2">
      <c r="A29" s="11" t="s">
        <v>19</v>
      </c>
      <c r="B29" s="11" t="s">
        <v>422</v>
      </c>
      <c r="C29" s="11" t="s">
        <v>89</v>
      </c>
      <c r="D29" s="11" t="s">
        <v>423</v>
      </c>
      <c r="E29" s="11" t="s">
        <v>424</v>
      </c>
      <c r="F29" s="11" t="str">
        <f t="shared" si="0"/>
        <v>DERGAM</v>
      </c>
      <c r="G29" s="11" t="s">
        <v>22</v>
      </c>
      <c r="H29" s="11" t="s">
        <v>20</v>
      </c>
      <c r="I29" s="13">
        <v>360.18769230769226</v>
      </c>
      <c r="J29" s="11" t="s">
        <v>91</v>
      </c>
      <c r="K29" s="11" t="s">
        <v>25</v>
      </c>
      <c r="M29" s="14">
        <v>0</v>
      </c>
      <c r="N29" s="11" t="s">
        <v>21</v>
      </c>
      <c r="O29" s="12">
        <v>1</v>
      </c>
      <c r="P29" s="15">
        <v>15.000000000222226</v>
      </c>
      <c r="Q29" s="11" t="str">
        <f>EVALUATE_LOCATION(InputData[[#This Row],[Section]],InputData[[#This Row],[Forma de Pago]],InputData[[#This Row],[Ubic.Pretendida]],InputData[[#This Row],[Nro pag]])</f>
        <v xml:space="preserve"> </v>
      </c>
      <c r="R29" s="11">
        <f>ROUND(InputData[[#This Row],[AltoCm]],0)</f>
        <v>15</v>
      </c>
      <c r="S29" s="11" t="str">
        <f>InputData[[#This Row],[Col]]&amp;"x"&amp;IF(LEN(InputData[[#This Row],[Alto]])=2,InputData[[#This Row],[Alto]],"0"&amp;InputData[[#This Row],[Alto]])</f>
        <v>1x15</v>
      </c>
    </row>
    <row r="30" spans="1:19" x14ac:dyDescent="0.2">
      <c r="A30" s="11" t="s">
        <v>19</v>
      </c>
      <c r="B30" s="11" t="s">
        <v>339</v>
      </c>
      <c r="C30" s="11" t="s">
        <v>108</v>
      </c>
      <c r="D30" s="11" t="s">
        <v>162</v>
      </c>
      <c r="E30" s="11" t="s">
        <v>109</v>
      </c>
      <c r="F30" s="11" t="str">
        <f t="shared" si="0"/>
        <v>FERRETERIA CARBAJAL</v>
      </c>
      <c r="G30" s="11" t="s">
        <v>22</v>
      </c>
      <c r="H30" s="11" t="s">
        <v>20</v>
      </c>
      <c r="I30" s="13">
        <v>218.51366666666667</v>
      </c>
      <c r="J30" s="11" t="s">
        <v>91</v>
      </c>
      <c r="K30" s="11" t="s">
        <v>25</v>
      </c>
      <c r="M30" s="14">
        <v>0</v>
      </c>
      <c r="N30" s="11" t="s">
        <v>21</v>
      </c>
      <c r="O30" s="12">
        <v>1</v>
      </c>
      <c r="P30" s="15">
        <v>9.999999998972223</v>
      </c>
      <c r="Q30" s="11" t="str">
        <f>EVALUATE_LOCATION(InputData[[#This Row],[Section]],InputData[[#This Row],[Forma de Pago]],InputData[[#This Row],[Ubic.Pretendida]],InputData[[#This Row],[Nro pag]])</f>
        <v xml:space="preserve"> </v>
      </c>
      <c r="R30" s="11">
        <f>ROUND(InputData[[#This Row],[AltoCm]],0)</f>
        <v>10</v>
      </c>
      <c r="S30" s="11" t="str">
        <f>InputData[[#This Row],[Col]]&amp;"x"&amp;IF(LEN(InputData[[#This Row],[Alto]])=2,InputData[[#This Row],[Alto]],"0"&amp;InputData[[#This Row],[Alto]])</f>
        <v>1x10</v>
      </c>
    </row>
    <row r="31" spans="1:19" x14ac:dyDescent="0.2">
      <c r="A31" s="11" t="s">
        <v>19</v>
      </c>
      <c r="B31" s="11" t="s">
        <v>340</v>
      </c>
      <c r="C31" s="11" t="s">
        <v>146</v>
      </c>
      <c r="E31" s="11" t="s">
        <v>147</v>
      </c>
      <c r="F31" s="11" t="str">
        <f t="shared" si="0"/>
        <v>SRES. INGENIEROS, ARQUITECTOS  g</v>
      </c>
      <c r="G31" s="11" t="s">
        <v>22</v>
      </c>
      <c r="H31" s="11" t="s">
        <v>23</v>
      </c>
      <c r="I31" s="13">
        <v>93.648666666666671</v>
      </c>
      <c r="J31" s="11" t="s">
        <v>91</v>
      </c>
      <c r="K31" s="11" t="s">
        <v>74</v>
      </c>
      <c r="M31" s="14">
        <v>0</v>
      </c>
      <c r="N31" s="11" t="s">
        <v>21</v>
      </c>
      <c r="O31" s="12">
        <v>1</v>
      </c>
      <c r="P31" s="15">
        <v>6.0000000015000001</v>
      </c>
      <c r="Q31" s="11" t="str">
        <f>EVALUATE_LOCATION(InputData[[#This Row],[Section]],InputData[[#This Row],[Forma de Pago]],InputData[[#This Row],[Ubic.Pretendida]],InputData[[#This Row],[Nro pag]])</f>
        <v xml:space="preserve"> </v>
      </c>
      <c r="R31" s="11">
        <f>ROUND(InputData[[#This Row],[AltoCm]],0)</f>
        <v>6</v>
      </c>
      <c r="S31" s="11" t="str">
        <f>InputData[[#This Row],[Col]]&amp;"x"&amp;IF(LEN(InputData[[#This Row],[Alto]])=2,InputData[[#This Row],[Alto]],"0"&amp;InputData[[#This Row],[Alto]])</f>
        <v>1x06</v>
      </c>
    </row>
    <row r="32" spans="1:19" x14ac:dyDescent="0.2">
      <c r="A32" s="11" t="s">
        <v>19</v>
      </c>
      <c r="B32" s="11" t="s">
        <v>211</v>
      </c>
      <c r="C32" s="11" t="s">
        <v>212</v>
      </c>
      <c r="E32" s="11" t="s">
        <v>213</v>
      </c>
      <c r="F32" s="11" t="str">
        <f t="shared" si="0"/>
        <v>GRUPO EMPRESARIAL INCORPORA A SU</v>
      </c>
      <c r="G32" s="11" t="s">
        <v>22</v>
      </c>
      <c r="H32" s="11" t="s">
        <v>23</v>
      </c>
      <c r="I32" s="13">
        <v>187.29733333333334</v>
      </c>
      <c r="J32" s="11" t="s">
        <v>91</v>
      </c>
      <c r="K32" s="11" t="s">
        <v>74</v>
      </c>
      <c r="M32" s="14">
        <v>0</v>
      </c>
      <c r="N32" s="11" t="s">
        <v>21</v>
      </c>
      <c r="O32" s="12">
        <v>1</v>
      </c>
      <c r="P32" s="15">
        <v>11.999999999472221</v>
      </c>
      <c r="Q32" s="11" t="str">
        <f>EVALUATE_LOCATION(InputData[[#This Row],[Section]],InputData[[#This Row],[Forma de Pago]],InputData[[#This Row],[Ubic.Pretendida]],InputData[[#This Row],[Nro pag]])</f>
        <v xml:space="preserve"> </v>
      </c>
      <c r="R32" s="11">
        <f>ROUND(InputData[[#This Row],[AltoCm]],0)</f>
        <v>12</v>
      </c>
      <c r="S32" s="11" t="str">
        <f>InputData[[#This Row],[Col]]&amp;"x"&amp;IF(LEN(InputData[[#This Row],[Alto]])=2,InputData[[#This Row],[Alto]],"0"&amp;InputData[[#This Row],[Alto]])</f>
        <v>1x12</v>
      </c>
    </row>
    <row r="33" spans="1:19" x14ac:dyDescent="0.2">
      <c r="A33" s="11" t="s">
        <v>19</v>
      </c>
      <c r="B33" s="11" t="s">
        <v>248</v>
      </c>
      <c r="C33" s="11" t="s">
        <v>249</v>
      </c>
      <c r="D33" s="11" t="s">
        <v>250</v>
      </c>
      <c r="E33" s="11" t="s">
        <v>251</v>
      </c>
      <c r="F33" s="11" t="str">
        <f t="shared" si="0"/>
        <v>BUSCAMOS ASESORES DE VENTA</v>
      </c>
      <c r="G33" s="11" t="s">
        <v>22</v>
      </c>
      <c r="H33" s="11" t="s">
        <v>20</v>
      </c>
      <c r="I33" s="13">
        <v>89.189285714285731</v>
      </c>
      <c r="J33" s="11" t="s">
        <v>91</v>
      </c>
      <c r="K33" s="11" t="s">
        <v>74</v>
      </c>
      <c r="M33" s="14">
        <v>0</v>
      </c>
      <c r="N33" s="11" t="s">
        <v>21</v>
      </c>
      <c r="O33" s="12">
        <v>1</v>
      </c>
      <c r="P33" s="15">
        <v>4.0000000010000001</v>
      </c>
      <c r="Q33" s="11" t="str">
        <f>EVALUATE_LOCATION(InputData[[#This Row],[Section]],InputData[[#This Row],[Forma de Pago]],InputData[[#This Row],[Ubic.Pretendida]],InputData[[#This Row],[Nro pag]])</f>
        <v xml:space="preserve"> </v>
      </c>
      <c r="R33" s="11">
        <f>ROUND(InputData[[#This Row],[AltoCm]],0)</f>
        <v>4</v>
      </c>
      <c r="S33" s="11" t="str">
        <f>InputData[[#This Row],[Col]]&amp;"x"&amp;IF(LEN(InputData[[#This Row],[Alto]])=2,InputData[[#This Row],[Alto]],"0"&amp;InputData[[#This Row],[Alto]])</f>
        <v>1x04</v>
      </c>
    </row>
    <row r="34" spans="1:19" x14ac:dyDescent="0.2">
      <c r="A34" s="11" t="s">
        <v>19</v>
      </c>
      <c r="B34" s="11" t="s">
        <v>360</v>
      </c>
      <c r="C34" s="11" t="s">
        <v>361</v>
      </c>
      <c r="D34" s="11" t="s">
        <v>362</v>
      </c>
      <c r="E34" s="11" t="s">
        <v>363</v>
      </c>
      <c r="F34" s="11" t="str">
        <f t="shared" ref="F34:F65" si="1">LEFT(E34,32)</f>
        <v>Empresa Constructora necesita OF</v>
      </c>
      <c r="G34" s="11" t="s">
        <v>22</v>
      </c>
      <c r="H34" s="11" t="s">
        <v>20</v>
      </c>
      <c r="I34" s="13">
        <v>156.08142857142857</v>
      </c>
      <c r="J34" s="11" t="s">
        <v>91</v>
      </c>
      <c r="K34" s="11" t="s">
        <v>74</v>
      </c>
      <c r="M34" s="14">
        <v>0</v>
      </c>
      <c r="N34" s="11" t="s">
        <v>21</v>
      </c>
      <c r="O34" s="12">
        <v>1</v>
      </c>
      <c r="P34" s="15">
        <v>7.0000000017499984</v>
      </c>
      <c r="Q34" s="11" t="str">
        <f>EVALUATE_LOCATION(InputData[[#This Row],[Section]],InputData[[#This Row],[Forma de Pago]],InputData[[#This Row],[Ubic.Pretendida]],InputData[[#This Row],[Nro pag]])</f>
        <v xml:space="preserve"> </v>
      </c>
      <c r="R34" s="11">
        <f>ROUND(InputData[[#This Row],[AltoCm]],0)</f>
        <v>7</v>
      </c>
      <c r="S34" s="11" t="str">
        <f>InputData[[#This Row],[Col]]&amp;"x"&amp;IF(LEN(InputData[[#This Row],[Alto]])=2,InputData[[#This Row],[Alto]],"0"&amp;InputData[[#This Row],[Alto]])</f>
        <v>1x07</v>
      </c>
    </row>
    <row r="35" spans="1:19" x14ac:dyDescent="0.2">
      <c r="A35" s="11" t="s">
        <v>19</v>
      </c>
      <c r="B35" s="11" t="s">
        <v>364</v>
      </c>
      <c r="C35" s="11" t="s">
        <v>365</v>
      </c>
      <c r="E35" s="11" t="s">
        <v>366</v>
      </c>
      <c r="F35" s="11" t="str">
        <f t="shared" si="1"/>
        <v>SE SELECCIONARÁ  INGENIERO EN SI</v>
      </c>
      <c r="G35" s="11" t="s">
        <v>22</v>
      </c>
      <c r="H35" s="11" t="s">
        <v>23</v>
      </c>
      <c r="I35" s="13">
        <v>163.88499999999999</v>
      </c>
      <c r="J35" s="11" t="s">
        <v>91</v>
      </c>
      <c r="K35" s="11" t="s">
        <v>74</v>
      </c>
      <c r="M35" s="14">
        <v>0</v>
      </c>
      <c r="N35" s="11" t="s">
        <v>21</v>
      </c>
      <c r="O35" s="12">
        <v>1</v>
      </c>
      <c r="P35" s="15">
        <v>7.0000000017499984</v>
      </c>
      <c r="Q35" s="11" t="str">
        <f>EVALUATE_LOCATION(InputData[[#This Row],[Section]],InputData[[#This Row],[Forma de Pago]],InputData[[#This Row],[Ubic.Pretendida]],InputData[[#This Row],[Nro pag]])</f>
        <v xml:space="preserve"> </v>
      </c>
      <c r="R35" s="11">
        <f>ROUND(InputData[[#This Row],[AltoCm]],0)</f>
        <v>7</v>
      </c>
      <c r="S35" s="11" t="str">
        <f>InputData[[#This Row],[Col]]&amp;"x"&amp;IF(LEN(InputData[[#This Row],[Alto]])=2,InputData[[#This Row],[Alto]],"0"&amp;InputData[[#This Row],[Alto]])</f>
        <v>1x07</v>
      </c>
    </row>
    <row r="36" spans="1:19" x14ac:dyDescent="0.2">
      <c r="A36" s="11" t="s">
        <v>19</v>
      </c>
      <c r="B36" s="11" t="s">
        <v>425</v>
      </c>
      <c r="C36" s="11" t="s">
        <v>426</v>
      </c>
      <c r="E36" s="11" t="s">
        <v>427</v>
      </c>
      <c r="F36" s="11" t="str">
        <f t="shared" si="1"/>
        <v>SE BUSCA CARPINTERO  EN MELAMINA</v>
      </c>
      <c r="G36" s="11" t="s">
        <v>22</v>
      </c>
      <c r="H36" s="11" t="s">
        <v>23</v>
      </c>
      <c r="I36" s="13">
        <v>89.190000000000026</v>
      </c>
      <c r="J36" s="11" t="s">
        <v>91</v>
      </c>
      <c r="K36" s="11" t="s">
        <v>74</v>
      </c>
      <c r="M36" s="14">
        <v>0</v>
      </c>
      <c r="N36" s="11" t="s">
        <v>21</v>
      </c>
      <c r="O36" s="12">
        <v>1</v>
      </c>
      <c r="P36" s="15">
        <v>4.0000000010000001</v>
      </c>
      <c r="Q36" s="11" t="str">
        <f>EVALUATE_LOCATION(InputData[[#This Row],[Section]],InputData[[#This Row],[Forma de Pago]],InputData[[#This Row],[Ubic.Pretendida]],InputData[[#This Row],[Nro pag]])</f>
        <v xml:space="preserve"> </v>
      </c>
      <c r="R36" s="11">
        <f>ROUND(InputData[[#This Row],[AltoCm]],0)</f>
        <v>4</v>
      </c>
      <c r="S36" s="11" t="str">
        <f>InputData[[#This Row],[Col]]&amp;"x"&amp;IF(LEN(InputData[[#This Row],[Alto]])=2,InputData[[#This Row],[Alto]],"0"&amp;InputData[[#This Row],[Alto]])</f>
        <v>1x04</v>
      </c>
    </row>
    <row r="37" spans="1:19" x14ac:dyDescent="0.2">
      <c r="A37" s="11" t="s">
        <v>19</v>
      </c>
      <c r="B37" s="11" t="s">
        <v>428</v>
      </c>
      <c r="C37" s="11" t="s">
        <v>429</v>
      </c>
      <c r="E37" s="11" t="s">
        <v>430</v>
      </c>
      <c r="F37" s="11" t="str">
        <f t="shared" si="1"/>
        <v>Necesito empleada domestica</v>
      </c>
      <c r="G37" s="11" t="s">
        <v>22</v>
      </c>
      <c r="H37" s="11" t="s">
        <v>23</v>
      </c>
      <c r="I37" s="13">
        <v>234.1225</v>
      </c>
      <c r="J37" s="11" t="s">
        <v>91</v>
      </c>
      <c r="K37" s="11" t="s">
        <v>74</v>
      </c>
      <c r="M37" s="14">
        <v>0</v>
      </c>
      <c r="N37" s="11" t="s">
        <v>45</v>
      </c>
      <c r="O37" s="12">
        <v>1</v>
      </c>
      <c r="P37" s="15">
        <v>9.999999998972223</v>
      </c>
      <c r="Q37" s="11" t="str">
        <f>EVALUATE_LOCATION(InputData[[#This Row],[Section]],InputData[[#This Row],[Forma de Pago]],InputData[[#This Row],[Ubic.Pretendida]],InputData[[#This Row],[Nro pag]])</f>
        <v xml:space="preserve"> </v>
      </c>
      <c r="R37" s="11">
        <f>ROUND(InputData[[#This Row],[AltoCm]],0)</f>
        <v>10</v>
      </c>
      <c r="S37" s="11" t="str">
        <f>InputData[[#This Row],[Col]]&amp;"x"&amp;IF(LEN(InputData[[#This Row],[Alto]])=2,InputData[[#This Row],[Alto]],"0"&amp;InputData[[#This Row],[Alto]])</f>
        <v>1x10</v>
      </c>
    </row>
    <row r="38" spans="1:19" x14ac:dyDescent="0.2">
      <c r="A38" s="11" t="s">
        <v>19</v>
      </c>
      <c r="B38" s="11" t="s">
        <v>431</v>
      </c>
      <c r="C38" s="11" t="s">
        <v>429</v>
      </c>
      <c r="E38" s="11" t="s">
        <v>430</v>
      </c>
      <c r="F38" s="11" t="str">
        <f t="shared" si="1"/>
        <v>Necesito empleada domestica</v>
      </c>
      <c r="G38" s="11" t="s">
        <v>22</v>
      </c>
      <c r="H38" s="11" t="s">
        <v>94</v>
      </c>
      <c r="I38" s="13">
        <v>0</v>
      </c>
      <c r="J38" s="11" t="s">
        <v>91</v>
      </c>
      <c r="K38" s="11" t="s">
        <v>74</v>
      </c>
      <c r="M38" s="14">
        <v>0</v>
      </c>
      <c r="N38" s="11" t="s">
        <v>21</v>
      </c>
      <c r="O38" s="12">
        <v>1</v>
      </c>
      <c r="P38" s="15">
        <v>9.999999998972223</v>
      </c>
      <c r="Q38" s="11" t="str">
        <f>EVALUATE_LOCATION(InputData[[#This Row],[Section]],InputData[[#This Row],[Forma de Pago]],InputData[[#This Row],[Ubic.Pretendida]],InputData[[#This Row],[Nro pag]])</f>
        <v xml:space="preserve"> </v>
      </c>
      <c r="R38" s="11">
        <f>ROUND(InputData[[#This Row],[AltoCm]],0)</f>
        <v>10</v>
      </c>
      <c r="S38" s="11" t="str">
        <f>InputData[[#This Row],[Col]]&amp;"x"&amp;IF(LEN(InputData[[#This Row],[Alto]])=2,InputData[[#This Row],[Alto]],"0"&amp;InputData[[#This Row],[Alto]])</f>
        <v>1x10</v>
      </c>
    </row>
    <row r="39" spans="1:19" x14ac:dyDescent="0.2">
      <c r="A39" s="11" t="s">
        <v>19</v>
      </c>
      <c r="B39" s="11" t="s">
        <v>341</v>
      </c>
      <c r="C39" s="11" t="s">
        <v>342</v>
      </c>
      <c r="E39" s="11" t="s">
        <v>343</v>
      </c>
      <c r="F39" s="11" t="str">
        <f t="shared" si="1"/>
        <v>OFREZCO  MI TRABAJO:  Técnico en</v>
      </c>
      <c r="G39" s="11" t="s">
        <v>22</v>
      </c>
      <c r="H39" s="11" t="s">
        <v>23</v>
      </c>
      <c r="I39" s="13">
        <v>156.08142857142857</v>
      </c>
      <c r="J39" s="11" t="s">
        <v>91</v>
      </c>
      <c r="K39" s="11" t="s">
        <v>119</v>
      </c>
      <c r="M39" s="14">
        <v>0</v>
      </c>
      <c r="N39" s="11" t="s">
        <v>21</v>
      </c>
      <c r="O39" s="12">
        <v>1</v>
      </c>
      <c r="P39" s="15">
        <v>7.0000000017499984</v>
      </c>
      <c r="Q39" s="11" t="str">
        <f>EVALUATE_LOCATION(InputData[[#This Row],[Section]],InputData[[#This Row],[Forma de Pago]],InputData[[#This Row],[Ubic.Pretendida]],InputData[[#This Row],[Nro pag]])</f>
        <v xml:space="preserve"> </v>
      </c>
      <c r="R39" s="11">
        <f>ROUND(InputData[[#This Row],[AltoCm]],0)</f>
        <v>7</v>
      </c>
      <c r="S39" s="11" t="str">
        <f>InputData[[#This Row],[Col]]&amp;"x"&amp;IF(LEN(InputData[[#This Row],[Alto]])=2,InputData[[#This Row],[Alto]],"0"&amp;InputData[[#This Row],[Alto]])</f>
        <v>1x07</v>
      </c>
    </row>
    <row r="40" spans="1:19" x14ac:dyDescent="0.2">
      <c r="A40" s="11" t="s">
        <v>19</v>
      </c>
      <c r="B40" s="11" t="s">
        <v>137</v>
      </c>
      <c r="C40" s="11" t="s">
        <v>28</v>
      </c>
      <c r="D40" s="11" t="s">
        <v>110</v>
      </c>
      <c r="E40" s="11" t="s">
        <v>29</v>
      </c>
      <c r="F40" s="11" t="str">
        <f t="shared" si="1"/>
        <v>METALNOR-METALES-CHATARRA</v>
      </c>
      <c r="G40" s="11" t="s">
        <v>22</v>
      </c>
      <c r="H40" s="11" t="s">
        <v>23</v>
      </c>
      <c r="I40" s="13">
        <v>130.83733333333333</v>
      </c>
      <c r="J40" s="11" t="s">
        <v>91</v>
      </c>
      <c r="K40" s="11" t="s">
        <v>30</v>
      </c>
      <c r="M40" s="14">
        <v>0</v>
      </c>
      <c r="N40" s="11" t="s">
        <v>21</v>
      </c>
      <c r="O40" s="12">
        <v>1</v>
      </c>
      <c r="P40" s="15">
        <v>8.9999999987222221</v>
      </c>
      <c r="Q40" s="11" t="str">
        <f>EVALUATE_LOCATION(InputData[[#This Row],[Section]],InputData[[#This Row],[Forma de Pago]],InputData[[#This Row],[Ubic.Pretendida]],InputData[[#This Row],[Nro pag]])</f>
        <v xml:space="preserve"> </v>
      </c>
      <c r="R40" s="11">
        <f>ROUND(InputData[[#This Row],[AltoCm]],0)</f>
        <v>9</v>
      </c>
      <c r="S40" s="11" t="str">
        <f>InputData[[#This Row],[Col]]&amp;"x"&amp;IF(LEN(InputData[[#This Row],[Alto]])=2,InputData[[#This Row],[Alto]],"0"&amp;InputData[[#This Row],[Alto]])</f>
        <v>1x09</v>
      </c>
    </row>
    <row r="41" spans="1:19" x14ac:dyDescent="0.2">
      <c r="A41" s="11" t="s">
        <v>19</v>
      </c>
      <c r="B41" s="11" t="s">
        <v>149</v>
      </c>
      <c r="C41" s="11" t="s">
        <v>146</v>
      </c>
      <c r="E41" s="11" t="s">
        <v>150</v>
      </c>
      <c r="F41" s="11" t="str">
        <f t="shared" si="1"/>
        <v>ALQUILO MAQUINA RETROPALA -Nivel</v>
      </c>
      <c r="G41" s="11" t="s">
        <v>22</v>
      </c>
      <c r="H41" s="11" t="s">
        <v>23</v>
      </c>
      <c r="I41" s="13">
        <v>62.432666666666677</v>
      </c>
      <c r="J41" s="11" t="s">
        <v>91</v>
      </c>
      <c r="K41" s="11" t="s">
        <v>148</v>
      </c>
      <c r="M41" s="14">
        <v>0</v>
      </c>
      <c r="N41" s="11" t="s">
        <v>21</v>
      </c>
      <c r="O41" s="12">
        <v>1</v>
      </c>
      <c r="P41" s="15">
        <v>4.0000000010000001</v>
      </c>
      <c r="Q41" s="11" t="str">
        <f>EVALUATE_LOCATION(InputData[[#This Row],[Section]],InputData[[#This Row],[Forma de Pago]],InputData[[#This Row],[Ubic.Pretendida]],InputData[[#This Row],[Nro pag]])</f>
        <v xml:space="preserve"> </v>
      </c>
      <c r="R41" s="11">
        <f>ROUND(InputData[[#This Row],[AltoCm]],0)</f>
        <v>4</v>
      </c>
      <c r="S41" s="11" t="str">
        <f>InputData[[#This Row],[Col]]&amp;"x"&amp;IF(LEN(InputData[[#This Row],[Alto]])=2,InputData[[#This Row],[Alto]],"0"&amp;InputData[[#This Row],[Alto]])</f>
        <v>1x04</v>
      </c>
    </row>
    <row r="42" spans="1:19" x14ac:dyDescent="0.2">
      <c r="A42" s="11" t="s">
        <v>19</v>
      </c>
      <c r="B42" s="11" t="s">
        <v>151</v>
      </c>
      <c r="C42" s="11" t="s">
        <v>146</v>
      </c>
      <c r="E42" s="11" t="s">
        <v>152</v>
      </c>
      <c r="F42" s="11" t="str">
        <f t="shared" si="1"/>
        <v>CONTENEDORES   EL HORNERO CAMION</v>
      </c>
      <c r="G42" s="11" t="s">
        <v>22</v>
      </c>
      <c r="H42" s="11" t="s">
        <v>23</v>
      </c>
      <c r="I42" s="13">
        <v>62.432666666666677</v>
      </c>
      <c r="J42" s="11" t="s">
        <v>91</v>
      </c>
      <c r="K42" s="11" t="s">
        <v>148</v>
      </c>
      <c r="M42" s="14">
        <v>0</v>
      </c>
      <c r="N42" s="11" t="s">
        <v>21</v>
      </c>
      <c r="O42" s="12">
        <v>1</v>
      </c>
      <c r="P42" s="15">
        <v>4.0000000010000001</v>
      </c>
      <c r="Q42" s="11" t="str">
        <f>EVALUATE_LOCATION(InputData[[#This Row],[Section]],InputData[[#This Row],[Forma de Pago]],InputData[[#This Row],[Ubic.Pretendida]],InputData[[#This Row],[Nro pag]])</f>
        <v xml:space="preserve"> </v>
      </c>
      <c r="R42" s="11">
        <f>ROUND(InputData[[#This Row],[AltoCm]],0)</f>
        <v>4</v>
      </c>
      <c r="S42" s="11" t="str">
        <f>InputData[[#This Row],[Col]]&amp;"x"&amp;IF(LEN(InputData[[#This Row],[Alto]])=2,InputData[[#This Row],[Alto]],"0"&amp;InputData[[#This Row],[Alto]])</f>
        <v>1x04</v>
      </c>
    </row>
    <row r="43" spans="1:19" x14ac:dyDescent="0.2">
      <c r="A43" s="11" t="s">
        <v>19</v>
      </c>
      <c r="B43" s="11" t="s">
        <v>432</v>
      </c>
      <c r="C43" s="11" t="s">
        <v>433</v>
      </c>
      <c r="E43" s="11" t="s">
        <v>434</v>
      </c>
      <c r="F43" s="11" t="str">
        <f t="shared" si="1"/>
        <v>MOTONIVELADORA ZANELLO RU13200 a</v>
      </c>
      <c r="G43" s="11" t="s">
        <v>22</v>
      </c>
      <c r="H43" s="11" t="s">
        <v>23</v>
      </c>
      <c r="I43" s="13">
        <v>66.891428571428577</v>
      </c>
      <c r="J43" s="11" t="s">
        <v>91</v>
      </c>
      <c r="K43" s="11" t="s">
        <v>148</v>
      </c>
      <c r="M43" s="14">
        <v>0</v>
      </c>
      <c r="N43" s="11" t="s">
        <v>21</v>
      </c>
      <c r="O43" s="12">
        <v>1</v>
      </c>
      <c r="P43" s="15">
        <v>3.0000000007500001</v>
      </c>
      <c r="Q43" s="11" t="str">
        <f>EVALUATE_LOCATION(InputData[[#This Row],[Section]],InputData[[#This Row],[Forma de Pago]],InputData[[#This Row],[Ubic.Pretendida]],InputData[[#This Row],[Nro pag]])</f>
        <v xml:space="preserve"> </v>
      </c>
      <c r="R43" s="11">
        <f>ROUND(InputData[[#This Row],[AltoCm]],0)</f>
        <v>3</v>
      </c>
      <c r="S43" s="11" t="str">
        <f>InputData[[#This Row],[Col]]&amp;"x"&amp;IF(LEN(InputData[[#This Row],[Alto]])=2,InputData[[#This Row],[Alto]],"0"&amp;InputData[[#This Row],[Alto]])</f>
        <v>1x03</v>
      </c>
    </row>
    <row r="44" spans="1:19" x14ac:dyDescent="0.2">
      <c r="A44" s="11" t="s">
        <v>19</v>
      </c>
      <c r="B44" s="11" t="s">
        <v>435</v>
      </c>
      <c r="C44" s="11" t="s">
        <v>433</v>
      </c>
      <c r="E44" s="11" t="s">
        <v>436</v>
      </c>
      <c r="F44" s="11" t="str">
        <f t="shared" si="1"/>
        <v>TRAILER VIVIENDA, 12 X2.40, reve</v>
      </c>
      <c r="G44" s="11" t="s">
        <v>22</v>
      </c>
      <c r="H44" s="11" t="s">
        <v>23</v>
      </c>
      <c r="I44" s="13">
        <v>66.891428571428577</v>
      </c>
      <c r="J44" s="11" t="s">
        <v>91</v>
      </c>
      <c r="K44" s="11" t="s">
        <v>148</v>
      </c>
      <c r="M44" s="14">
        <v>0</v>
      </c>
      <c r="N44" s="11" t="s">
        <v>21</v>
      </c>
      <c r="O44" s="12">
        <v>1</v>
      </c>
      <c r="P44" s="15">
        <v>3.0000000007500001</v>
      </c>
      <c r="Q44" s="11" t="str">
        <f>EVALUATE_LOCATION(InputData[[#This Row],[Section]],InputData[[#This Row],[Forma de Pago]],InputData[[#This Row],[Ubic.Pretendida]],InputData[[#This Row],[Nro pag]])</f>
        <v xml:space="preserve"> </v>
      </c>
      <c r="R44" s="11">
        <f>ROUND(InputData[[#This Row],[AltoCm]],0)</f>
        <v>3</v>
      </c>
      <c r="S44" s="11" t="str">
        <f>InputData[[#This Row],[Col]]&amp;"x"&amp;IF(LEN(InputData[[#This Row],[Alto]])=2,InputData[[#This Row],[Alto]],"0"&amp;InputData[[#This Row],[Alto]])</f>
        <v>1x03</v>
      </c>
    </row>
    <row r="45" spans="1:19" x14ac:dyDescent="0.2">
      <c r="A45" s="11" t="s">
        <v>19</v>
      </c>
      <c r="B45" s="11" t="s">
        <v>313</v>
      </c>
      <c r="C45" s="11" t="s">
        <v>314</v>
      </c>
      <c r="E45" s="11" t="s">
        <v>315</v>
      </c>
      <c r="F45" s="11" t="str">
        <f t="shared" si="1"/>
        <v>CENTO DE ESTIMULACION  DEL APREN</v>
      </c>
      <c r="G45" s="11" t="s">
        <v>22</v>
      </c>
      <c r="H45" s="11" t="s">
        <v>23</v>
      </c>
      <c r="I45" s="13">
        <v>142.70285714285714</v>
      </c>
      <c r="J45" s="11" t="s">
        <v>9</v>
      </c>
      <c r="K45" s="11" t="s">
        <v>316</v>
      </c>
      <c r="M45" s="14">
        <v>0</v>
      </c>
      <c r="N45" s="11" t="s">
        <v>21</v>
      </c>
      <c r="O45" s="12">
        <v>1</v>
      </c>
      <c r="P45" s="15">
        <v>5.0000000012500001</v>
      </c>
      <c r="Q45" s="11" t="str">
        <f>EVALUATE_LOCATION(InputData[[#This Row],[Section]],InputData[[#This Row],[Forma de Pago]],InputData[[#This Row],[Ubic.Pretendida]],InputData[[#This Row],[Nro pag]])</f>
        <v xml:space="preserve"> </v>
      </c>
      <c r="R45" s="11">
        <f>ROUND(InputData[[#This Row],[AltoCm]],0)</f>
        <v>5</v>
      </c>
      <c r="S45" s="11" t="str">
        <f>InputData[[#This Row],[Col]]&amp;"x"&amp;IF(LEN(InputData[[#This Row],[Alto]])=2,InputData[[#This Row],[Alto]],"0"&amp;InputData[[#This Row],[Alto]])</f>
        <v>1x05</v>
      </c>
    </row>
    <row r="46" spans="1:19" x14ac:dyDescent="0.2">
      <c r="A46" s="11" t="s">
        <v>19</v>
      </c>
      <c r="B46" s="11" t="s">
        <v>163</v>
      </c>
      <c r="C46" s="11" t="s">
        <v>78</v>
      </c>
      <c r="D46" s="11" t="s">
        <v>164</v>
      </c>
      <c r="E46" s="11" t="s">
        <v>79</v>
      </c>
      <c r="F46" s="11" t="str">
        <f t="shared" si="1"/>
        <v>HORMIGONERA + DE 20 AÑOS</v>
      </c>
      <c r="G46" s="11" t="s">
        <v>22</v>
      </c>
      <c r="H46" s="11" t="s">
        <v>20</v>
      </c>
      <c r="I46" s="13">
        <v>109.25700000000001</v>
      </c>
      <c r="J46" s="11" t="s">
        <v>91</v>
      </c>
      <c r="K46" s="11" t="s">
        <v>77</v>
      </c>
      <c r="M46" s="14">
        <v>0</v>
      </c>
      <c r="N46" s="11" t="s">
        <v>21</v>
      </c>
      <c r="O46" s="12">
        <v>1</v>
      </c>
      <c r="P46" s="15">
        <v>5.0000000012500001</v>
      </c>
      <c r="Q46" s="11" t="str">
        <f>EVALUATE_LOCATION(InputData[[#This Row],[Section]],InputData[[#This Row],[Forma de Pago]],InputData[[#This Row],[Ubic.Pretendida]],InputData[[#This Row],[Nro pag]])</f>
        <v xml:space="preserve"> </v>
      </c>
      <c r="R46" s="11">
        <f>ROUND(InputData[[#This Row],[AltoCm]],0)</f>
        <v>5</v>
      </c>
      <c r="S46" s="11" t="str">
        <f>InputData[[#This Row],[Col]]&amp;"x"&amp;IF(LEN(InputData[[#This Row],[Alto]])=2,InputData[[#This Row],[Alto]],"0"&amp;InputData[[#This Row],[Alto]])</f>
        <v>1x05</v>
      </c>
    </row>
    <row r="47" spans="1:19" x14ac:dyDescent="0.2">
      <c r="A47" s="11" t="s">
        <v>19</v>
      </c>
      <c r="B47" s="11" t="s">
        <v>165</v>
      </c>
      <c r="C47" s="11" t="s">
        <v>76</v>
      </c>
      <c r="D47" s="11" t="s">
        <v>164</v>
      </c>
      <c r="E47" s="11" t="s">
        <v>112</v>
      </c>
      <c r="F47" s="11" t="str">
        <f t="shared" si="1"/>
        <v>HORMIGONERA -VENTA DE HORMIGON E</v>
      </c>
      <c r="G47" s="11" t="s">
        <v>22</v>
      </c>
      <c r="H47" s="11" t="s">
        <v>20</v>
      </c>
      <c r="I47" s="13">
        <v>109.25700000000001</v>
      </c>
      <c r="J47" s="11" t="s">
        <v>91</v>
      </c>
      <c r="K47" s="11" t="s">
        <v>77</v>
      </c>
      <c r="M47" s="14">
        <v>0</v>
      </c>
      <c r="N47" s="11" t="s">
        <v>21</v>
      </c>
      <c r="O47" s="12">
        <v>1</v>
      </c>
      <c r="P47" s="15">
        <v>5.0000000012500001</v>
      </c>
      <c r="Q47" s="11" t="str">
        <f>EVALUATE_LOCATION(InputData[[#This Row],[Section]],InputData[[#This Row],[Forma de Pago]],InputData[[#This Row],[Ubic.Pretendida]],InputData[[#This Row],[Nro pag]])</f>
        <v xml:space="preserve"> </v>
      </c>
      <c r="R47" s="11">
        <f>ROUND(InputData[[#This Row],[AltoCm]],0)</f>
        <v>5</v>
      </c>
      <c r="S47" s="11" t="str">
        <f>InputData[[#This Row],[Col]]&amp;"x"&amp;IF(LEN(InputData[[#This Row],[Alto]])=2,InputData[[#This Row],[Alto]],"0"&amp;InputData[[#This Row],[Alto]])</f>
        <v>1x05</v>
      </c>
    </row>
    <row r="48" spans="1:19" x14ac:dyDescent="0.2">
      <c r="A48" s="11" t="s">
        <v>19</v>
      </c>
      <c r="B48" s="11" t="s">
        <v>166</v>
      </c>
      <c r="C48" s="11" t="s">
        <v>76</v>
      </c>
      <c r="D48" s="11" t="s">
        <v>167</v>
      </c>
      <c r="E48" s="11" t="s">
        <v>113</v>
      </c>
      <c r="F48" s="11" t="str">
        <f t="shared" si="1"/>
        <v xml:space="preserve">HORMIGONERA  JUJUY S.R.L. VENTA </v>
      </c>
      <c r="G48" s="11" t="s">
        <v>22</v>
      </c>
      <c r="H48" s="11" t="s">
        <v>20</v>
      </c>
      <c r="I48" s="13">
        <v>109.25700000000001</v>
      </c>
      <c r="J48" s="11" t="s">
        <v>91</v>
      </c>
      <c r="K48" s="11" t="s">
        <v>77</v>
      </c>
      <c r="M48" s="14">
        <v>0</v>
      </c>
      <c r="N48" s="11" t="s">
        <v>21</v>
      </c>
      <c r="O48" s="12">
        <v>1</v>
      </c>
      <c r="P48" s="15">
        <v>5.0000000012500001</v>
      </c>
      <c r="Q48" s="11" t="str">
        <f>EVALUATE_LOCATION(InputData[[#This Row],[Section]],InputData[[#This Row],[Forma de Pago]],InputData[[#This Row],[Ubic.Pretendida]],InputData[[#This Row],[Nro pag]])</f>
        <v xml:space="preserve"> </v>
      </c>
      <c r="R48" s="11">
        <f>ROUND(InputData[[#This Row],[AltoCm]],0)</f>
        <v>5</v>
      </c>
      <c r="S48" s="11" t="str">
        <f>InputData[[#This Row],[Col]]&amp;"x"&amp;IF(LEN(InputData[[#This Row],[Alto]])=2,InputData[[#This Row],[Alto]],"0"&amp;InputData[[#This Row],[Alto]])</f>
        <v>1x05</v>
      </c>
    </row>
    <row r="49" spans="1:19" x14ac:dyDescent="0.2">
      <c r="A49" s="11" t="s">
        <v>19</v>
      </c>
      <c r="B49" s="11" t="s">
        <v>391</v>
      </c>
      <c r="C49" s="11" t="s">
        <v>392</v>
      </c>
      <c r="E49" s="11" t="s">
        <v>393</v>
      </c>
      <c r="F49" s="11" t="str">
        <f t="shared" si="1"/>
        <v xml:space="preserve">---E D I C T O S--  Ref. Expte. </v>
      </c>
      <c r="G49" s="11" t="s">
        <v>267</v>
      </c>
      <c r="H49" s="11" t="s">
        <v>94</v>
      </c>
      <c r="I49" s="13">
        <v>82.213333333333324</v>
      </c>
      <c r="J49" s="11" t="s">
        <v>91</v>
      </c>
      <c r="K49" s="11" t="s">
        <v>268</v>
      </c>
      <c r="M49" s="14">
        <v>0</v>
      </c>
      <c r="N49" s="11" t="s">
        <v>21</v>
      </c>
      <c r="O49" s="12">
        <v>1</v>
      </c>
      <c r="P49" s="15">
        <v>7.9999999984722239</v>
      </c>
      <c r="Q49" s="11" t="str">
        <f>EVALUATE_LOCATION(InputData[[#This Row],[Section]],InputData[[#This Row],[Forma de Pago]],InputData[[#This Row],[Ubic.Pretendida]],InputData[[#This Row],[Nro pag]])</f>
        <v xml:space="preserve"> </v>
      </c>
      <c r="R49" s="11">
        <f>ROUND(InputData[[#This Row],[AltoCm]],0)</f>
        <v>8</v>
      </c>
      <c r="S49" s="11" t="str">
        <f>InputData[[#This Row],[Col]]&amp;"x"&amp;IF(LEN(InputData[[#This Row],[Alto]])=2,InputData[[#This Row],[Alto]],"0"&amp;InputData[[#This Row],[Alto]])</f>
        <v>1x08</v>
      </c>
    </row>
    <row r="50" spans="1:19" x14ac:dyDescent="0.2">
      <c r="A50" s="11" t="s">
        <v>19</v>
      </c>
      <c r="B50" s="11" t="s">
        <v>394</v>
      </c>
      <c r="C50" s="11" t="s">
        <v>283</v>
      </c>
      <c r="E50" s="11" t="s">
        <v>395</v>
      </c>
      <c r="F50" s="11" t="str">
        <f t="shared" si="1"/>
        <v>EDICTO  - - - DRA. LIS M. VALDEC</v>
      </c>
      <c r="G50" s="11" t="s">
        <v>267</v>
      </c>
      <c r="H50" s="11" t="s">
        <v>23</v>
      </c>
      <c r="I50" s="13">
        <v>308.29666666666668</v>
      </c>
      <c r="J50" s="11" t="s">
        <v>91</v>
      </c>
      <c r="K50" s="11" t="s">
        <v>268</v>
      </c>
      <c r="M50" s="14">
        <v>0</v>
      </c>
      <c r="N50" s="11" t="s">
        <v>21</v>
      </c>
      <c r="O50" s="12">
        <v>2</v>
      </c>
      <c r="P50" s="15">
        <v>15.000000000222226</v>
      </c>
      <c r="Q50" s="11" t="str">
        <f>EVALUATE_LOCATION(InputData[[#This Row],[Section]],InputData[[#This Row],[Forma de Pago]],InputData[[#This Row],[Ubic.Pretendida]],InputData[[#This Row],[Nro pag]])</f>
        <v xml:space="preserve"> </v>
      </c>
      <c r="R50" s="11">
        <f>ROUND(InputData[[#This Row],[AltoCm]],0)</f>
        <v>15</v>
      </c>
      <c r="S50" s="11" t="str">
        <f>InputData[[#This Row],[Col]]&amp;"x"&amp;IF(LEN(InputData[[#This Row],[Alto]])=2,InputData[[#This Row],[Alto]],"0"&amp;InputData[[#This Row],[Alto]])</f>
        <v>2x15</v>
      </c>
    </row>
    <row r="51" spans="1:19" x14ac:dyDescent="0.2">
      <c r="A51" s="11" t="s">
        <v>19</v>
      </c>
      <c r="B51" s="11" t="s">
        <v>437</v>
      </c>
      <c r="C51" s="11" t="s">
        <v>438</v>
      </c>
      <c r="E51" s="11" t="s">
        <v>439</v>
      </c>
      <c r="F51" s="11" t="str">
        <f t="shared" si="1"/>
        <v>EDICTO DE CITACION   LA DIRECCIO</v>
      </c>
      <c r="G51" s="11" t="s">
        <v>267</v>
      </c>
      <c r="H51" s="11" t="s">
        <v>23</v>
      </c>
      <c r="I51" s="13">
        <v>205.53</v>
      </c>
      <c r="J51" s="11" t="s">
        <v>91</v>
      </c>
      <c r="K51" s="11" t="s">
        <v>268</v>
      </c>
      <c r="M51" s="14">
        <v>0</v>
      </c>
      <c r="N51" s="11" t="s">
        <v>21</v>
      </c>
      <c r="O51" s="12">
        <v>2</v>
      </c>
      <c r="P51" s="15">
        <v>9.999999998972223</v>
      </c>
      <c r="Q51" s="11" t="str">
        <f>EVALUATE_LOCATION(InputData[[#This Row],[Section]],InputData[[#This Row],[Forma de Pago]],InputData[[#This Row],[Ubic.Pretendida]],InputData[[#This Row],[Nro pag]])</f>
        <v xml:space="preserve"> </v>
      </c>
      <c r="R51" s="11">
        <f>ROUND(InputData[[#This Row],[AltoCm]],0)</f>
        <v>10</v>
      </c>
      <c r="S51" s="11" t="str">
        <f>InputData[[#This Row],[Col]]&amp;"x"&amp;IF(LEN(InputData[[#This Row],[Alto]])=2,InputData[[#This Row],[Alto]],"0"&amp;InputData[[#This Row],[Alto]])</f>
        <v>2x10</v>
      </c>
    </row>
    <row r="52" spans="1:19" x14ac:dyDescent="0.2">
      <c r="A52" s="11" t="s">
        <v>19</v>
      </c>
      <c r="B52" s="11" t="s">
        <v>186</v>
      </c>
      <c r="C52" s="11" t="s">
        <v>187</v>
      </c>
      <c r="E52" s="11" t="s">
        <v>188</v>
      </c>
      <c r="F52" s="11" t="str">
        <f t="shared" si="1"/>
        <v xml:space="preserve">EFECTIVO EN EL ACTO SOLO CON TU </v>
      </c>
      <c r="G52" s="11" t="s">
        <v>22</v>
      </c>
      <c r="H52" s="11" t="s">
        <v>23</v>
      </c>
      <c r="I52" s="13">
        <v>43.702666666666666</v>
      </c>
      <c r="J52" s="11" t="s">
        <v>91</v>
      </c>
      <c r="K52" s="11" t="s">
        <v>138</v>
      </c>
      <c r="M52" s="14">
        <v>0</v>
      </c>
      <c r="N52" s="11" t="s">
        <v>21</v>
      </c>
      <c r="O52" s="12">
        <v>1</v>
      </c>
      <c r="P52" s="15">
        <v>2.0000000005</v>
      </c>
      <c r="Q52" s="11" t="str">
        <f>EVALUATE_LOCATION(InputData[[#This Row],[Section]],InputData[[#This Row],[Forma de Pago]],InputData[[#This Row],[Ubic.Pretendida]],InputData[[#This Row],[Nro pag]])</f>
        <v xml:space="preserve"> </v>
      </c>
      <c r="R52" s="11">
        <f>ROUND(InputData[[#This Row],[AltoCm]],0)</f>
        <v>2</v>
      </c>
      <c r="S52" s="11" t="str">
        <f>InputData[[#This Row],[Col]]&amp;"x"&amp;IF(LEN(InputData[[#This Row],[Alto]])=2,InputData[[#This Row],[Alto]],"0"&amp;InputData[[#This Row],[Alto]])</f>
        <v>1x02</v>
      </c>
    </row>
    <row r="53" spans="1:19" x14ac:dyDescent="0.2">
      <c r="A53" s="11" t="s">
        <v>19</v>
      </c>
      <c r="B53" s="11" t="s">
        <v>227</v>
      </c>
      <c r="C53" s="11" t="s">
        <v>228</v>
      </c>
      <c r="E53" s="11" t="s">
        <v>229</v>
      </c>
      <c r="F53" s="11" t="str">
        <f t="shared" si="1"/>
        <v xml:space="preserve">DINERO T&amp;T PRESTAMOS - EMPEÑOS  </v>
      </c>
      <c r="G53" s="11" t="s">
        <v>22</v>
      </c>
      <c r="H53" s="11" t="s">
        <v>23</v>
      </c>
      <c r="I53" s="13">
        <v>93.648666666666671</v>
      </c>
      <c r="J53" s="11" t="s">
        <v>91</v>
      </c>
      <c r="K53" s="11" t="s">
        <v>138</v>
      </c>
      <c r="M53" s="14">
        <v>0</v>
      </c>
      <c r="N53" s="11" t="s">
        <v>21</v>
      </c>
      <c r="O53" s="12">
        <v>1</v>
      </c>
      <c r="P53" s="15">
        <v>6.0000000015000001</v>
      </c>
      <c r="Q53" s="11" t="str">
        <f>EVALUATE_LOCATION(InputData[[#This Row],[Section]],InputData[[#This Row],[Forma de Pago]],InputData[[#This Row],[Ubic.Pretendida]],InputData[[#This Row],[Nro pag]])</f>
        <v xml:space="preserve"> </v>
      </c>
      <c r="R53" s="11">
        <f>ROUND(InputData[[#This Row],[AltoCm]],0)</f>
        <v>6</v>
      </c>
      <c r="S53" s="11" t="str">
        <f>InputData[[#This Row],[Col]]&amp;"x"&amp;IF(LEN(InputData[[#This Row],[Alto]])=2,InputData[[#This Row],[Alto]],"0"&amp;InputData[[#This Row],[Alto]])</f>
        <v>1x06</v>
      </c>
    </row>
    <row r="54" spans="1:19" x14ac:dyDescent="0.2">
      <c r="A54" s="11" t="s">
        <v>19</v>
      </c>
      <c r="B54" s="11" t="s">
        <v>440</v>
      </c>
      <c r="C54" s="11" t="s">
        <v>441</v>
      </c>
      <c r="D54" s="11" t="s">
        <v>442</v>
      </c>
      <c r="E54" s="11" t="s">
        <v>443</v>
      </c>
      <c r="F54" s="11" t="str">
        <f t="shared" si="1"/>
        <v>JULIO PANERO</v>
      </c>
      <c r="G54" s="11" t="s">
        <v>22</v>
      </c>
      <c r="H54" s="11" t="s">
        <v>20</v>
      </c>
      <c r="I54" s="13">
        <v>44.595000000000013</v>
      </c>
      <c r="J54" s="11" t="s">
        <v>91</v>
      </c>
      <c r="K54" s="11" t="s">
        <v>31</v>
      </c>
      <c r="M54" s="14">
        <v>0</v>
      </c>
      <c r="N54" s="11" t="s">
        <v>21</v>
      </c>
      <c r="O54" s="12">
        <v>1</v>
      </c>
      <c r="P54" s="15">
        <v>2.0000000005</v>
      </c>
      <c r="Q54" s="11" t="str">
        <f>EVALUATE_LOCATION(InputData[[#This Row],[Section]],InputData[[#This Row],[Forma de Pago]],InputData[[#This Row],[Ubic.Pretendida]],InputData[[#This Row],[Nro pag]])</f>
        <v xml:space="preserve"> </v>
      </c>
      <c r="R54" s="11">
        <f>ROUND(InputData[[#This Row],[AltoCm]],0)</f>
        <v>2</v>
      </c>
      <c r="S54" s="11" t="str">
        <f>InputData[[#This Row],[Col]]&amp;"x"&amp;IF(LEN(InputData[[#This Row],[Alto]])=2,InputData[[#This Row],[Alto]],"0"&amp;InputData[[#This Row],[Alto]])</f>
        <v>1x02</v>
      </c>
    </row>
    <row r="55" spans="1:19" x14ac:dyDescent="0.2">
      <c r="A55" s="11" t="s">
        <v>19</v>
      </c>
      <c r="B55" s="11" t="s">
        <v>214</v>
      </c>
      <c r="C55" s="11" t="s">
        <v>96</v>
      </c>
      <c r="E55" s="11" t="s">
        <v>215</v>
      </c>
      <c r="F55" s="11" t="str">
        <f t="shared" si="1"/>
        <v>TASACIONES CASAS- TERRENOS- FINC</v>
      </c>
      <c r="G55" s="11" t="s">
        <v>22</v>
      </c>
      <c r="H55" s="11" t="s">
        <v>23</v>
      </c>
      <c r="I55" s="13">
        <v>21.851333333333333</v>
      </c>
      <c r="J55" s="11" t="s">
        <v>91</v>
      </c>
      <c r="K55" s="11" t="s">
        <v>31</v>
      </c>
      <c r="M55" s="14">
        <v>0</v>
      </c>
      <c r="N55" s="11" t="s">
        <v>21</v>
      </c>
      <c r="O55" s="12">
        <v>1</v>
      </c>
      <c r="P55" s="15">
        <v>2.0000000005</v>
      </c>
      <c r="Q55" s="11" t="str">
        <f>EVALUATE_LOCATION(InputData[[#This Row],[Section]],InputData[[#This Row],[Forma de Pago]],InputData[[#This Row],[Ubic.Pretendida]],InputData[[#This Row],[Nro pag]])</f>
        <v xml:space="preserve"> </v>
      </c>
      <c r="R55" s="11">
        <f>ROUND(InputData[[#This Row],[AltoCm]],0)</f>
        <v>2</v>
      </c>
      <c r="S55" s="11" t="str">
        <f>InputData[[#This Row],[Col]]&amp;"x"&amp;IF(LEN(InputData[[#This Row],[Alto]])=2,InputData[[#This Row],[Alto]],"0"&amp;InputData[[#This Row],[Alto]])</f>
        <v>1x02</v>
      </c>
    </row>
    <row r="56" spans="1:19" x14ac:dyDescent="0.2">
      <c r="A56" s="11" t="s">
        <v>19</v>
      </c>
      <c r="B56" s="11" t="s">
        <v>239</v>
      </c>
      <c r="C56" s="11" t="s">
        <v>88</v>
      </c>
      <c r="E56" s="11" t="s">
        <v>240</v>
      </c>
      <c r="F56" s="11" t="str">
        <f t="shared" si="1"/>
        <v>MARTILLERO TASADOR   CRISTIAN L.</v>
      </c>
      <c r="G56" s="11" t="s">
        <v>22</v>
      </c>
      <c r="H56" s="11" t="s">
        <v>23</v>
      </c>
      <c r="I56" s="13">
        <v>37.459666666666664</v>
      </c>
      <c r="J56" s="11" t="s">
        <v>9</v>
      </c>
      <c r="K56" s="11" t="s">
        <v>31</v>
      </c>
      <c r="M56" s="14">
        <v>0</v>
      </c>
      <c r="N56" s="11" t="s">
        <v>21</v>
      </c>
      <c r="O56" s="12">
        <v>1</v>
      </c>
      <c r="P56" s="15">
        <v>2.0000000005</v>
      </c>
      <c r="Q56" s="11" t="str">
        <f>EVALUATE_LOCATION(InputData[[#This Row],[Section]],InputData[[#This Row],[Forma de Pago]],InputData[[#This Row],[Ubic.Pretendida]],InputData[[#This Row],[Nro pag]])</f>
        <v xml:space="preserve"> </v>
      </c>
      <c r="R56" s="11">
        <f>ROUND(InputData[[#This Row],[AltoCm]],0)</f>
        <v>2</v>
      </c>
      <c r="S56" s="11" t="str">
        <f>InputData[[#This Row],[Col]]&amp;"x"&amp;IF(LEN(InputData[[#This Row],[Alto]])=2,InputData[[#This Row],[Alto]],"0"&amp;InputData[[#This Row],[Alto]])</f>
        <v>1x02</v>
      </c>
    </row>
    <row r="57" spans="1:19" x14ac:dyDescent="0.2">
      <c r="A57" s="11" t="s">
        <v>19</v>
      </c>
      <c r="B57" s="11" t="s">
        <v>317</v>
      </c>
      <c r="C57" s="11" t="s">
        <v>96</v>
      </c>
      <c r="E57" s="11" t="s">
        <v>318</v>
      </c>
      <c r="F57" s="11" t="str">
        <f t="shared" si="1"/>
        <v>Bº CDAD DE NIEVA  VENDO CASA  Ca</v>
      </c>
      <c r="G57" s="11" t="s">
        <v>22</v>
      </c>
      <c r="H57" s="11" t="s">
        <v>23</v>
      </c>
      <c r="I57" s="13">
        <v>44.595000000000013</v>
      </c>
      <c r="J57" s="11" t="s">
        <v>91</v>
      </c>
      <c r="K57" s="11" t="s">
        <v>31</v>
      </c>
      <c r="M57" s="14">
        <v>0</v>
      </c>
      <c r="N57" s="11" t="s">
        <v>21</v>
      </c>
      <c r="O57" s="12">
        <v>1</v>
      </c>
      <c r="P57" s="15">
        <v>2.0000000005</v>
      </c>
      <c r="Q57" s="11" t="str">
        <f>EVALUATE_LOCATION(InputData[[#This Row],[Section]],InputData[[#This Row],[Forma de Pago]],InputData[[#This Row],[Ubic.Pretendida]],InputData[[#This Row],[Nro pag]])</f>
        <v xml:space="preserve"> </v>
      </c>
      <c r="R57" s="11">
        <f>ROUND(InputData[[#This Row],[AltoCm]],0)</f>
        <v>2</v>
      </c>
      <c r="S57" s="11" t="str">
        <f>InputData[[#This Row],[Col]]&amp;"x"&amp;IF(LEN(InputData[[#This Row],[Alto]])=2,InputData[[#This Row],[Alto]],"0"&amp;InputData[[#This Row],[Alto]])</f>
        <v>1x02</v>
      </c>
    </row>
    <row r="58" spans="1:19" x14ac:dyDescent="0.2">
      <c r="A58" s="11" t="s">
        <v>19</v>
      </c>
      <c r="B58" s="11" t="s">
        <v>396</v>
      </c>
      <c r="C58" s="11" t="s">
        <v>397</v>
      </c>
      <c r="E58" s="11" t="s">
        <v>398</v>
      </c>
      <c r="F58" s="11" t="str">
        <f t="shared" si="1"/>
        <v>VALVERDI PROPIEDADES  VENTA - AL</v>
      </c>
      <c r="G58" s="11" t="s">
        <v>22</v>
      </c>
      <c r="H58" s="11" t="s">
        <v>23</v>
      </c>
      <c r="I58" s="13">
        <v>89.190000000000026</v>
      </c>
      <c r="J58" s="11" t="s">
        <v>91</v>
      </c>
      <c r="K58" s="11" t="s">
        <v>31</v>
      </c>
      <c r="M58" s="14">
        <v>0</v>
      </c>
      <c r="N58" s="11" t="s">
        <v>21</v>
      </c>
      <c r="O58" s="12">
        <v>1</v>
      </c>
      <c r="P58" s="15">
        <v>4.0000000010000001</v>
      </c>
      <c r="Q58" s="11" t="str">
        <f>EVALUATE_LOCATION(InputData[[#This Row],[Section]],InputData[[#This Row],[Forma de Pago]],InputData[[#This Row],[Ubic.Pretendida]],InputData[[#This Row],[Nro pag]])</f>
        <v xml:space="preserve"> </v>
      </c>
      <c r="R58" s="11">
        <f>ROUND(InputData[[#This Row],[AltoCm]],0)</f>
        <v>4</v>
      </c>
      <c r="S58" s="11" t="str">
        <f>InputData[[#This Row],[Col]]&amp;"x"&amp;IF(LEN(InputData[[#This Row],[Alto]])=2,InputData[[#This Row],[Alto]],"0"&amp;InputData[[#This Row],[Alto]])</f>
        <v>1x04</v>
      </c>
    </row>
    <row r="59" spans="1:19" x14ac:dyDescent="0.2">
      <c r="A59" s="11" t="s">
        <v>19</v>
      </c>
      <c r="B59" s="11" t="s">
        <v>399</v>
      </c>
      <c r="C59" s="11" t="s">
        <v>400</v>
      </c>
      <c r="D59" s="11" t="s">
        <v>401</v>
      </c>
      <c r="E59" s="11" t="s">
        <v>402</v>
      </c>
      <c r="F59" s="11" t="str">
        <f t="shared" si="1"/>
        <v>Convocase a los señores Accionis</v>
      </c>
      <c r="G59" s="11" t="s">
        <v>241</v>
      </c>
      <c r="H59" s="11" t="s">
        <v>94</v>
      </c>
      <c r="I59" s="13">
        <v>0</v>
      </c>
      <c r="J59" s="11" t="s">
        <v>91</v>
      </c>
      <c r="K59" s="11" t="s">
        <v>242</v>
      </c>
      <c r="M59" s="14">
        <v>0</v>
      </c>
      <c r="N59" s="11" t="s">
        <v>21</v>
      </c>
      <c r="O59" s="12">
        <v>2</v>
      </c>
      <c r="P59" s="15">
        <v>9.999999998972223</v>
      </c>
      <c r="Q59" s="11" t="str">
        <f>EVALUATE_LOCATION(InputData[[#This Row],[Section]],InputData[[#This Row],[Forma de Pago]],InputData[[#This Row],[Ubic.Pretendida]],InputData[[#This Row],[Nro pag]])</f>
        <v xml:space="preserve"> </v>
      </c>
      <c r="R59" s="11">
        <f>ROUND(InputData[[#This Row],[AltoCm]],0)</f>
        <v>10</v>
      </c>
      <c r="S59" s="11" t="str">
        <f>InputData[[#This Row],[Col]]&amp;"x"&amp;IF(LEN(InputData[[#This Row],[Alto]])=2,InputData[[#This Row],[Alto]],"0"&amp;InputData[[#This Row],[Alto]])</f>
        <v>2x10</v>
      </c>
    </row>
    <row r="60" spans="1:19" x14ac:dyDescent="0.2">
      <c r="A60" s="11" t="s">
        <v>19</v>
      </c>
      <c r="B60" s="11" t="s">
        <v>444</v>
      </c>
      <c r="C60" s="11" t="s">
        <v>445</v>
      </c>
      <c r="D60" s="11" t="s">
        <v>446</v>
      </c>
      <c r="E60" s="11" t="s">
        <v>447</v>
      </c>
      <c r="F60" s="11" t="str">
        <f t="shared" si="1"/>
        <v>Llamado a Asamblea- Club Deporti</v>
      </c>
      <c r="G60" s="11" t="s">
        <v>241</v>
      </c>
      <c r="H60" s="11" t="s">
        <v>20</v>
      </c>
      <c r="I60" s="13">
        <v>397.42</v>
      </c>
      <c r="J60" s="11" t="s">
        <v>91</v>
      </c>
      <c r="K60" s="11" t="s">
        <v>242</v>
      </c>
      <c r="M60" s="14">
        <v>0</v>
      </c>
      <c r="N60" s="11" t="s">
        <v>21</v>
      </c>
      <c r="O60" s="12">
        <v>2</v>
      </c>
      <c r="P60" s="15">
        <v>7.0000000017499984</v>
      </c>
      <c r="Q60" s="11" t="str">
        <f>EVALUATE_LOCATION(InputData[[#This Row],[Section]],InputData[[#This Row],[Forma de Pago]],InputData[[#This Row],[Ubic.Pretendida]],InputData[[#This Row],[Nro pag]])</f>
        <v xml:space="preserve"> </v>
      </c>
      <c r="R60" s="11">
        <f>ROUND(InputData[[#This Row],[AltoCm]],0)</f>
        <v>7</v>
      </c>
      <c r="S60" s="11" t="str">
        <f>InputData[[#This Row],[Col]]&amp;"x"&amp;IF(LEN(InputData[[#This Row],[Alto]])=2,InputData[[#This Row],[Alto]],"0"&amp;InputData[[#This Row],[Alto]])</f>
        <v>2x07</v>
      </c>
    </row>
    <row r="61" spans="1:19" x14ac:dyDescent="0.2">
      <c r="A61" s="11" t="s">
        <v>19</v>
      </c>
      <c r="B61" s="11" t="s">
        <v>448</v>
      </c>
      <c r="C61" s="11" t="s">
        <v>445</v>
      </c>
      <c r="D61" s="11" t="s">
        <v>449</v>
      </c>
      <c r="E61" s="11" t="s">
        <v>450</v>
      </c>
      <c r="F61" s="11" t="str">
        <f t="shared" si="1"/>
        <v xml:space="preserve">Asamblea de Asociación Civil de </v>
      </c>
      <c r="G61" s="11" t="s">
        <v>241</v>
      </c>
      <c r="H61" s="11" t="s">
        <v>20</v>
      </c>
      <c r="I61" s="13">
        <v>397.42</v>
      </c>
      <c r="J61" s="11" t="s">
        <v>91</v>
      </c>
      <c r="K61" s="11" t="s">
        <v>242</v>
      </c>
      <c r="M61" s="14">
        <v>0</v>
      </c>
      <c r="N61" s="11" t="s">
        <v>21</v>
      </c>
      <c r="O61" s="12">
        <v>2</v>
      </c>
      <c r="P61" s="15">
        <v>7.0000000017499984</v>
      </c>
      <c r="Q61" s="11" t="str">
        <f>EVALUATE_LOCATION(InputData[[#This Row],[Section]],InputData[[#This Row],[Forma de Pago]],InputData[[#This Row],[Ubic.Pretendida]],InputData[[#This Row],[Nro pag]])</f>
        <v xml:space="preserve"> </v>
      </c>
      <c r="R61" s="11">
        <f>ROUND(InputData[[#This Row],[AltoCm]],0)</f>
        <v>7</v>
      </c>
      <c r="S61" s="11" t="str">
        <f>InputData[[#This Row],[Col]]&amp;"x"&amp;IF(LEN(InputData[[#This Row],[Alto]])=2,InputData[[#This Row],[Alto]],"0"&amp;InputData[[#This Row],[Alto]])</f>
        <v>2x07</v>
      </c>
    </row>
    <row r="62" spans="1:19" x14ac:dyDescent="0.2">
      <c r="A62" s="11" t="s">
        <v>19</v>
      </c>
      <c r="B62" s="11" t="s">
        <v>319</v>
      </c>
      <c r="C62" s="11" t="s">
        <v>320</v>
      </c>
      <c r="D62" s="11" t="s">
        <v>321</v>
      </c>
      <c r="E62" s="11" t="s">
        <v>322</v>
      </c>
      <c r="F62" s="11" t="str">
        <f t="shared" si="1"/>
        <v>Se alquilan locales y oficinas e</v>
      </c>
      <c r="G62" s="11" t="s">
        <v>22</v>
      </c>
      <c r="H62" s="11" t="s">
        <v>20</v>
      </c>
      <c r="I62" s="13">
        <v>66.892142857142858</v>
      </c>
      <c r="J62" s="11" t="s">
        <v>91</v>
      </c>
      <c r="K62" s="11" t="s">
        <v>323</v>
      </c>
      <c r="M62" s="14">
        <v>0</v>
      </c>
      <c r="N62" s="11" t="s">
        <v>21</v>
      </c>
      <c r="O62" s="12">
        <v>1</v>
      </c>
      <c r="P62" s="15">
        <v>3.0000000007500001</v>
      </c>
      <c r="Q62" s="11" t="str">
        <f>EVALUATE_LOCATION(InputData[[#This Row],[Section]],InputData[[#This Row],[Forma de Pago]],InputData[[#This Row],[Ubic.Pretendida]],InputData[[#This Row],[Nro pag]])</f>
        <v xml:space="preserve"> </v>
      </c>
      <c r="R62" s="11">
        <f>ROUND(InputData[[#This Row],[AltoCm]],0)</f>
        <v>3</v>
      </c>
      <c r="S62" s="11" t="str">
        <f>InputData[[#This Row],[Col]]&amp;"x"&amp;IF(LEN(InputData[[#This Row],[Alto]])=2,InputData[[#This Row],[Alto]],"0"&amp;InputData[[#This Row],[Alto]])</f>
        <v>1x03</v>
      </c>
    </row>
    <row r="63" spans="1:19" x14ac:dyDescent="0.2">
      <c r="A63" s="11" t="s">
        <v>19</v>
      </c>
      <c r="B63" s="11" t="s">
        <v>168</v>
      </c>
      <c r="C63" s="11" t="s">
        <v>32</v>
      </c>
      <c r="D63" s="11" t="s">
        <v>169</v>
      </c>
      <c r="E63" s="11" t="s">
        <v>33</v>
      </c>
      <c r="F63" s="11" t="str">
        <f t="shared" si="1"/>
        <v>ALQUILO DEPTO CATEGORIA</v>
      </c>
      <c r="G63" s="11" t="s">
        <v>22</v>
      </c>
      <c r="H63" s="11" t="s">
        <v>20</v>
      </c>
      <c r="I63" s="13">
        <v>109.25700000000001</v>
      </c>
      <c r="J63" s="11" t="s">
        <v>91</v>
      </c>
      <c r="K63" s="11" t="s">
        <v>34</v>
      </c>
      <c r="M63" s="14">
        <v>0</v>
      </c>
      <c r="N63" s="11" t="s">
        <v>21</v>
      </c>
      <c r="O63" s="12">
        <v>1</v>
      </c>
      <c r="P63" s="15">
        <v>5.0000000012500001</v>
      </c>
      <c r="Q63" s="11" t="str">
        <f>EVALUATE_LOCATION(InputData[[#This Row],[Section]],InputData[[#This Row],[Forma de Pago]],InputData[[#This Row],[Ubic.Pretendida]],InputData[[#This Row],[Nro pag]])</f>
        <v xml:space="preserve"> </v>
      </c>
      <c r="R63" s="11">
        <f>ROUND(InputData[[#This Row],[AltoCm]],0)</f>
        <v>5</v>
      </c>
      <c r="S63" s="11" t="str">
        <f>InputData[[#This Row],[Col]]&amp;"x"&amp;IF(LEN(InputData[[#This Row],[Alto]])=2,InputData[[#This Row],[Alto]],"0"&amp;InputData[[#This Row],[Alto]])</f>
        <v>1x05</v>
      </c>
    </row>
    <row r="64" spans="1:19" x14ac:dyDescent="0.2">
      <c r="A64" s="11" t="s">
        <v>19</v>
      </c>
      <c r="B64" s="11" t="s">
        <v>254</v>
      </c>
      <c r="C64" s="11" t="s">
        <v>255</v>
      </c>
      <c r="E64" s="11" t="s">
        <v>256</v>
      </c>
      <c r="F64" s="11" t="str">
        <f t="shared" si="1"/>
        <v>/////////////////JESUS TAROT////</v>
      </c>
      <c r="G64" s="11" t="s">
        <v>97</v>
      </c>
      <c r="H64" s="11" t="s">
        <v>23</v>
      </c>
      <c r="I64" s="13">
        <v>327.77049999999997</v>
      </c>
      <c r="J64" s="11" t="s">
        <v>91</v>
      </c>
      <c r="K64" s="11" t="s">
        <v>98</v>
      </c>
      <c r="M64" s="14">
        <v>0</v>
      </c>
      <c r="N64" s="11" t="s">
        <v>21</v>
      </c>
      <c r="O64" s="12">
        <v>3</v>
      </c>
      <c r="P64" s="15">
        <v>5.0000000012500001</v>
      </c>
      <c r="Q64" s="11" t="str">
        <f>EVALUATE_LOCATION(InputData[[#This Row],[Section]],InputData[[#This Row],[Forma de Pago]],InputData[[#This Row],[Ubic.Pretendida]],InputData[[#This Row],[Nro pag]])</f>
        <v xml:space="preserve"> </v>
      </c>
      <c r="R64" s="11">
        <f>ROUND(InputData[[#This Row],[AltoCm]],0)</f>
        <v>5</v>
      </c>
      <c r="S64" s="11" t="str">
        <f>InputData[[#This Row],[Col]]&amp;"x"&amp;IF(LEN(InputData[[#This Row],[Alto]])=2,InputData[[#This Row],[Alto]],"0"&amp;InputData[[#This Row],[Alto]])</f>
        <v>3x05</v>
      </c>
    </row>
    <row r="65" spans="1:19" x14ac:dyDescent="0.2">
      <c r="A65" s="11" t="s">
        <v>19</v>
      </c>
      <c r="B65" s="11" t="s">
        <v>344</v>
      </c>
      <c r="C65" s="11" t="s">
        <v>128</v>
      </c>
      <c r="E65" s="11" t="s">
        <v>129</v>
      </c>
      <c r="F65" s="11" t="str">
        <f t="shared" si="1"/>
        <v>COSEJERO y HECHICERO JAIRO  Nuev</v>
      </c>
      <c r="G65" s="11" t="s">
        <v>97</v>
      </c>
      <c r="H65" s="11" t="s">
        <v>23</v>
      </c>
      <c r="I65" s="13">
        <v>334.46</v>
      </c>
      <c r="J65" s="11" t="s">
        <v>91</v>
      </c>
      <c r="K65" s="11" t="s">
        <v>98</v>
      </c>
      <c r="M65" s="14">
        <v>0</v>
      </c>
      <c r="N65" s="11" t="s">
        <v>21</v>
      </c>
      <c r="O65" s="12">
        <v>3</v>
      </c>
      <c r="P65" s="15">
        <v>5.0000000012500001</v>
      </c>
      <c r="Q65" s="11" t="str">
        <f>EVALUATE_LOCATION(InputData[[#This Row],[Section]],InputData[[#This Row],[Forma de Pago]],InputData[[#This Row],[Ubic.Pretendida]],InputData[[#This Row],[Nro pag]])</f>
        <v xml:space="preserve"> </v>
      </c>
      <c r="R65" s="11">
        <f>ROUND(InputData[[#This Row],[AltoCm]],0)</f>
        <v>5</v>
      </c>
      <c r="S65" s="11" t="str">
        <f>InputData[[#This Row],[Col]]&amp;"x"&amp;IF(LEN(InputData[[#This Row],[Alto]])=2,InputData[[#This Row],[Alto]],"0"&amp;InputData[[#This Row],[Alto]])</f>
        <v>3x05</v>
      </c>
    </row>
    <row r="66" spans="1:19" x14ac:dyDescent="0.2">
      <c r="A66" s="11" t="s">
        <v>35</v>
      </c>
      <c r="B66" s="11" t="s">
        <v>451</v>
      </c>
      <c r="C66" s="11" t="s">
        <v>106</v>
      </c>
      <c r="D66" s="11" t="s">
        <v>452</v>
      </c>
      <c r="E66" s="11" t="s">
        <v>453</v>
      </c>
      <c r="F66" s="11" t="str">
        <f t="shared" ref="F66:F97" si="2">LEFT(E66,32)</f>
        <v>MAS LUZ - JUJUY FM</v>
      </c>
      <c r="G66" s="11" t="s">
        <v>36</v>
      </c>
      <c r="H66" s="11" t="s">
        <v>94</v>
      </c>
      <c r="I66" s="13">
        <v>1447.44</v>
      </c>
      <c r="J66" s="11" t="s">
        <v>9</v>
      </c>
      <c r="K66" s="11" t="s">
        <v>73</v>
      </c>
      <c r="L66" s="11" t="s">
        <v>73</v>
      </c>
      <c r="M66" s="14">
        <v>26</v>
      </c>
      <c r="N66" s="11" t="s">
        <v>21</v>
      </c>
      <c r="O66" s="12">
        <v>2</v>
      </c>
      <c r="P66" s="15">
        <v>13.433777777777777</v>
      </c>
      <c r="Q66" s="11" t="str">
        <f>EVALUATE_LOCATION(InputData[[#This Row],[Section]],InputData[[#This Row],[Forma de Pago]],InputData[[#This Row],[Ubic.Pretendida]],InputData[[#This Row],[Nro pag]])</f>
        <v xml:space="preserve"> </v>
      </c>
      <c r="R66" s="11">
        <f>ROUND(InputData[[#This Row],[AltoCm]],0)</f>
        <v>13</v>
      </c>
      <c r="S66" s="11" t="str">
        <f>InputData[[#This Row],[Col]]&amp;"x"&amp;IF(LEN(InputData[[#This Row],[Alto]])=2,InputData[[#This Row],[Alto]],"0"&amp;InputData[[#This Row],[Alto]])</f>
        <v>2x13</v>
      </c>
    </row>
    <row r="67" spans="1:19" x14ac:dyDescent="0.2">
      <c r="A67" s="11" t="s">
        <v>35</v>
      </c>
      <c r="B67" s="11" t="s">
        <v>454</v>
      </c>
      <c r="C67" s="11" t="s">
        <v>455</v>
      </c>
      <c r="D67" s="11" t="s">
        <v>456</v>
      </c>
      <c r="E67" s="11" t="s">
        <v>457</v>
      </c>
      <c r="F67" s="11" t="str">
        <f t="shared" si="2"/>
        <v>COLEGIO DE ABOGADOS - RESOLUCION</v>
      </c>
      <c r="G67" s="11" t="s">
        <v>36</v>
      </c>
      <c r="H67" s="11" t="s">
        <v>20</v>
      </c>
      <c r="I67" s="13">
        <v>4719.8999999999996</v>
      </c>
      <c r="J67" s="11" t="s">
        <v>91</v>
      </c>
      <c r="K67" s="11" t="s">
        <v>73</v>
      </c>
      <c r="L67" s="11" t="s">
        <v>73</v>
      </c>
      <c r="M67" s="14">
        <v>20</v>
      </c>
      <c r="N67" s="11" t="s">
        <v>21</v>
      </c>
      <c r="O67" s="12">
        <v>3</v>
      </c>
      <c r="P67" s="15">
        <v>34.769777777777783</v>
      </c>
      <c r="Q67" s="11" t="str">
        <f>EVALUATE_LOCATION(InputData[[#This Row],[Section]],InputData[[#This Row],[Forma de Pago]],InputData[[#This Row],[Ubic.Pretendida]],InputData[[#This Row],[Nro pag]])</f>
        <v xml:space="preserve"> </v>
      </c>
      <c r="R67" s="11">
        <f>ROUND(InputData[[#This Row],[AltoCm]],0)</f>
        <v>35</v>
      </c>
      <c r="S67" s="11" t="str">
        <f>InputData[[#This Row],[Col]]&amp;"x"&amp;IF(LEN(InputData[[#This Row],[Alto]])=2,InputData[[#This Row],[Alto]],"0"&amp;InputData[[#This Row],[Alto]])</f>
        <v>3x35</v>
      </c>
    </row>
    <row r="68" spans="1:19" x14ac:dyDescent="0.2">
      <c r="A68" s="11" t="s">
        <v>35</v>
      </c>
      <c r="B68" s="11" t="s">
        <v>170</v>
      </c>
      <c r="C68" s="11" t="s">
        <v>37</v>
      </c>
      <c r="D68" s="11" t="s">
        <v>171</v>
      </c>
      <c r="E68" s="11" t="s">
        <v>38</v>
      </c>
      <c r="F68" s="11" t="str">
        <f t="shared" si="2"/>
        <v>LA COCHERIA SRL</v>
      </c>
      <c r="G68" s="11" t="s">
        <v>36</v>
      </c>
      <c r="H68" s="11" t="s">
        <v>20</v>
      </c>
      <c r="I68" s="13">
        <v>0</v>
      </c>
      <c r="J68" s="11" t="s">
        <v>9</v>
      </c>
      <c r="K68" s="11" t="s">
        <v>39</v>
      </c>
      <c r="L68" s="11" t="s">
        <v>39</v>
      </c>
      <c r="M68" s="14">
        <v>31</v>
      </c>
      <c r="N68" s="11" t="s">
        <v>21</v>
      </c>
      <c r="O68" s="12">
        <v>3</v>
      </c>
      <c r="P68" s="15">
        <v>2.7657777777777777</v>
      </c>
      <c r="Q68" s="11" t="str">
        <f>EVALUATE_LOCATION(InputData[[#This Row],[Section]],InputData[[#This Row],[Forma de Pago]],InputData[[#This Row],[Ubic.Pretendida]],InputData[[#This Row],[Nro pag]])</f>
        <v xml:space="preserve"> </v>
      </c>
      <c r="R68" s="11">
        <f>ROUND(InputData[[#This Row],[AltoCm]],0)</f>
        <v>3</v>
      </c>
      <c r="S68" s="11" t="str">
        <f>InputData[[#This Row],[Col]]&amp;"x"&amp;IF(LEN(InputData[[#This Row],[Alto]])=2,InputData[[#This Row],[Alto]],"0"&amp;InputData[[#This Row],[Alto]])</f>
        <v>3x03</v>
      </c>
    </row>
    <row r="69" spans="1:19" x14ac:dyDescent="0.2">
      <c r="A69" s="11" t="s">
        <v>35</v>
      </c>
      <c r="B69" s="11" t="s">
        <v>172</v>
      </c>
      <c r="C69" s="11" t="s">
        <v>117</v>
      </c>
      <c r="D69" s="11" t="s">
        <v>173</v>
      </c>
      <c r="E69" s="11" t="s">
        <v>118</v>
      </c>
      <c r="F69" s="11" t="str">
        <f t="shared" si="2"/>
        <v>SERIVICIO SOCIALES FUTURO...</v>
      </c>
      <c r="G69" s="11" t="s">
        <v>36</v>
      </c>
      <c r="H69" s="11" t="s">
        <v>20</v>
      </c>
      <c r="I69" s="13">
        <v>0</v>
      </c>
      <c r="J69" s="11" t="s">
        <v>9</v>
      </c>
      <c r="K69" s="11" t="s">
        <v>40</v>
      </c>
      <c r="L69" s="11" t="s">
        <v>40</v>
      </c>
      <c r="M69" s="14">
        <v>31</v>
      </c>
      <c r="N69" s="11" t="s">
        <v>21</v>
      </c>
      <c r="O69" s="12">
        <v>5</v>
      </c>
      <c r="P69" s="15">
        <v>2.7657777777777777</v>
      </c>
      <c r="Q69" s="11" t="str">
        <f>EVALUATE_LOCATION(InputData[[#This Row],[Section]],InputData[[#This Row],[Forma de Pago]],InputData[[#This Row],[Ubic.Pretendida]],InputData[[#This Row],[Nro pag]])</f>
        <v xml:space="preserve"> </v>
      </c>
      <c r="R69" s="11">
        <f>ROUND(InputData[[#This Row],[AltoCm]],0)</f>
        <v>3</v>
      </c>
      <c r="S69" s="11" t="str">
        <f>InputData[[#This Row],[Col]]&amp;"x"&amp;IF(LEN(InputData[[#This Row],[Alto]])=2,InputData[[#This Row],[Alto]],"0"&amp;InputData[[#This Row],[Alto]])</f>
        <v>5x03</v>
      </c>
    </row>
    <row r="70" spans="1:19" x14ac:dyDescent="0.2">
      <c r="A70" s="11" t="s">
        <v>35</v>
      </c>
      <c r="B70" s="11" t="s">
        <v>174</v>
      </c>
      <c r="C70" s="11" t="s">
        <v>100</v>
      </c>
      <c r="D70" s="11" t="s">
        <v>175</v>
      </c>
      <c r="E70" s="11" t="s">
        <v>101</v>
      </c>
      <c r="F70" s="11" t="str">
        <f t="shared" si="2"/>
        <v>LOPEZ PIERRE FARMACIA</v>
      </c>
      <c r="G70" s="11" t="s">
        <v>36</v>
      </c>
      <c r="H70" s="11" t="s">
        <v>20</v>
      </c>
      <c r="I70" s="13">
        <v>0</v>
      </c>
      <c r="J70" s="11" t="s">
        <v>9</v>
      </c>
      <c r="K70" s="11" t="s">
        <v>40</v>
      </c>
      <c r="M70" s="14">
        <v>0</v>
      </c>
      <c r="N70" s="11" t="s">
        <v>21</v>
      </c>
      <c r="O70" s="12">
        <v>2</v>
      </c>
      <c r="P70" s="15">
        <v>2.7657777777777777</v>
      </c>
      <c r="Q70" s="11" t="str">
        <f>EVALUATE_LOCATION(InputData[[#This Row],[Section]],InputData[[#This Row],[Forma de Pago]],InputData[[#This Row],[Ubic.Pretendida]],InputData[[#This Row],[Nro pag]])</f>
        <v xml:space="preserve"> </v>
      </c>
      <c r="R70" s="11">
        <f>ROUND(InputData[[#This Row],[AltoCm]],0)</f>
        <v>3</v>
      </c>
      <c r="S70" s="11" t="str">
        <f>InputData[[#This Row],[Col]]&amp;"x"&amp;IF(LEN(InputData[[#This Row],[Alto]])=2,InputData[[#This Row],[Alto]],"0"&amp;InputData[[#This Row],[Alto]])</f>
        <v>2x03</v>
      </c>
    </row>
    <row r="71" spans="1:19" x14ac:dyDescent="0.2">
      <c r="A71" s="11" t="s">
        <v>35</v>
      </c>
      <c r="B71" s="11" t="s">
        <v>176</v>
      </c>
      <c r="C71" s="11" t="s">
        <v>50</v>
      </c>
      <c r="D71" s="11" t="s">
        <v>177</v>
      </c>
      <c r="E71" s="11" t="s">
        <v>51</v>
      </c>
      <c r="F71" s="11" t="str">
        <f t="shared" si="2"/>
        <v>WERCHOW</v>
      </c>
      <c r="G71" s="11" t="s">
        <v>36</v>
      </c>
      <c r="H71" s="11" t="s">
        <v>20</v>
      </c>
      <c r="I71" s="13">
        <v>0</v>
      </c>
      <c r="J71" s="11" t="s">
        <v>9</v>
      </c>
      <c r="K71" s="11" t="s">
        <v>40</v>
      </c>
      <c r="L71" s="11" t="s">
        <v>40</v>
      </c>
      <c r="M71" s="14">
        <v>31</v>
      </c>
      <c r="N71" s="11" t="s">
        <v>21</v>
      </c>
      <c r="O71" s="12">
        <v>5</v>
      </c>
      <c r="P71" s="15">
        <v>2.7657777777777777</v>
      </c>
      <c r="Q71" s="11" t="str">
        <f>EVALUATE_LOCATION(InputData[[#This Row],[Section]],InputData[[#This Row],[Forma de Pago]],InputData[[#This Row],[Ubic.Pretendida]],InputData[[#This Row],[Nro pag]])</f>
        <v xml:space="preserve"> </v>
      </c>
      <c r="R71" s="11">
        <f>ROUND(InputData[[#This Row],[AltoCm]],0)</f>
        <v>3</v>
      </c>
      <c r="S71" s="11" t="str">
        <f>InputData[[#This Row],[Col]]&amp;"x"&amp;IF(LEN(InputData[[#This Row],[Alto]])=2,InputData[[#This Row],[Alto]],"0"&amp;InputData[[#This Row],[Alto]])</f>
        <v>5x03</v>
      </c>
    </row>
    <row r="72" spans="1:19" x14ac:dyDescent="0.2">
      <c r="A72" s="11" t="s">
        <v>35</v>
      </c>
      <c r="B72" s="11" t="s">
        <v>458</v>
      </c>
      <c r="C72" s="11" t="s">
        <v>459</v>
      </c>
      <c r="D72" s="11" t="s">
        <v>460</v>
      </c>
      <c r="E72" s="11" t="s">
        <v>461</v>
      </c>
      <c r="F72" s="11" t="str">
        <f t="shared" si="2"/>
        <v>IITA - PROPUESTA EDUCATIVA (boni</v>
      </c>
      <c r="G72" s="11" t="s">
        <v>36</v>
      </c>
      <c r="H72" s="11" t="s">
        <v>94</v>
      </c>
      <c r="I72" s="13">
        <v>806.94</v>
      </c>
      <c r="J72" s="11" t="s">
        <v>9</v>
      </c>
      <c r="K72" s="11" t="s">
        <v>403</v>
      </c>
      <c r="L72" s="11" t="s">
        <v>403</v>
      </c>
      <c r="M72" s="14">
        <v>24</v>
      </c>
      <c r="N72" s="11" t="s">
        <v>21</v>
      </c>
      <c r="O72" s="12">
        <v>5</v>
      </c>
      <c r="P72" s="15">
        <v>9.8777777777777782</v>
      </c>
      <c r="Q72" s="11" t="str">
        <f>EVALUATE_LOCATION(InputData[[#This Row],[Section]],InputData[[#This Row],[Forma de Pago]],InputData[[#This Row],[Ubic.Pretendida]],InputData[[#This Row],[Nro pag]])</f>
        <v xml:space="preserve"> </v>
      </c>
      <c r="R72" s="11">
        <f>ROUND(InputData[[#This Row],[AltoCm]],0)</f>
        <v>10</v>
      </c>
      <c r="S72" s="11" t="str">
        <f>InputData[[#This Row],[Col]]&amp;"x"&amp;IF(LEN(InputData[[#This Row],[Alto]])=2,InputData[[#This Row],[Alto]],"0"&amp;InputData[[#This Row],[Alto]])</f>
        <v>5x10</v>
      </c>
    </row>
    <row r="73" spans="1:19" x14ac:dyDescent="0.2">
      <c r="A73" s="11" t="s">
        <v>35</v>
      </c>
      <c r="B73" s="11" t="s">
        <v>462</v>
      </c>
      <c r="C73" s="11" t="s">
        <v>290</v>
      </c>
      <c r="D73" s="11" t="s">
        <v>463</v>
      </c>
      <c r="E73" s="11" t="s">
        <v>464</v>
      </c>
      <c r="F73" s="11" t="str">
        <f t="shared" si="2"/>
        <v>AGROFER...</v>
      </c>
      <c r="G73" s="11" t="s">
        <v>36</v>
      </c>
      <c r="H73" s="11" t="s">
        <v>20</v>
      </c>
      <c r="I73" s="13">
        <v>438.14</v>
      </c>
      <c r="J73" s="11" t="s">
        <v>91</v>
      </c>
      <c r="K73" s="11" t="s">
        <v>345</v>
      </c>
      <c r="L73" s="11" t="s">
        <v>345</v>
      </c>
      <c r="M73" s="14">
        <v>21</v>
      </c>
      <c r="N73" s="11" t="s">
        <v>21</v>
      </c>
      <c r="O73" s="12">
        <v>2</v>
      </c>
      <c r="P73" s="15">
        <v>2.7657777777777777</v>
      </c>
      <c r="Q73" s="11" t="str">
        <f>EVALUATE_LOCATION(InputData[[#This Row],[Section]],InputData[[#This Row],[Forma de Pago]],InputData[[#This Row],[Ubic.Pretendida]],InputData[[#This Row],[Nro pag]])</f>
        <v>&gt;DIFIERE&lt;</v>
      </c>
      <c r="R73" s="11">
        <f>ROUND(InputData[[#This Row],[AltoCm]],0)</f>
        <v>3</v>
      </c>
      <c r="S73" s="11" t="str">
        <f>InputData[[#This Row],[Col]]&amp;"x"&amp;IF(LEN(InputData[[#This Row],[Alto]])=2,InputData[[#This Row],[Alto]],"0"&amp;InputData[[#This Row],[Alto]])</f>
        <v>2x03</v>
      </c>
    </row>
    <row r="74" spans="1:19" x14ac:dyDescent="0.2">
      <c r="A74" s="11" t="s">
        <v>35</v>
      </c>
      <c r="B74" s="11" t="s">
        <v>465</v>
      </c>
      <c r="C74" s="11" t="s">
        <v>466</v>
      </c>
      <c r="D74" s="11" t="s">
        <v>467</v>
      </c>
      <c r="E74" s="11" t="s">
        <v>468</v>
      </c>
      <c r="F74" s="11" t="str">
        <f t="shared" si="2"/>
        <v>APACHETA ORELLANA LUCCA</v>
      </c>
      <c r="G74" s="11" t="s">
        <v>36</v>
      </c>
      <c r="H74" s="11" t="s">
        <v>20</v>
      </c>
      <c r="I74" s="13">
        <v>2519.33</v>
      </c>
      <c r="J74" s="11" t="s">
        <v>9</v>
      </c>
      <c r="K74" s="11" t="s">
        <v>345</v>
      </c>
      <c r="L74" s="11" t="s">
        <v>345</v>
      </c>
      <c r="M74" s="14">
        <v>10</v>
      </c>
      <c r="N74" s="11" t="s">
        <v>21</v>
      </c>
      <c r="O74" s="12">
        <v>3</v>
      </c>
      <c r="P74" s="15">
        <v>13.433777777777777</v>
      </c>
      <c r="Q74" s="11" t="str">
        <f>EVALUATE_LOCATION(InputData[[#This Row],[Section]],InputData[[#This Row],[Forma de Pago]],InputData[[#This Row],[Ubic.Pretendida]],InputData[[#This Row],[Nro pag]])</f>
        <v>&gt;DIFIERE&lt;</v>
      </c>
      <c r="R74" s="11">
        <f>ROUND(InputData[[#This Row],[AltoCm]],0)</f>
        <v>13</v>
      </c>
      <c r="S74" s="11" t="str">
        <f>InputData[[#This Row],[Col]]&amp;"x"&amp;IF(LEN(InputData[[#This Row],[Alto]])=2,InputData[[#This Row],[Alto]],"0"&amp;InputData[[#This Row],[Alto]])</f>
        <v>3x13</v>
      </c>
    </row>
    <row r="75" spans="1:19" x14ac:dyDescent="0.2">
      <c r="A75" s="11" t="s">
        <v>35</v>
      </c>
      <c r="B75" s="11" t="s">
        <v>469</v>
      </c>
      <c r="C75" s="11" t="s">
        <v>470</v>
      </c>
      <c r="D75" s="11" t="s">
        <v>471</v>
      </c>
      <c r="E75" s="11" t="s">
        <v>472</v>
      </c>
      <c r="F75" s="11" t="str">
        <f t="shared" si="2"/>
        <v>COLEGIO FARMACEUTICOS DE JUJUY C</v>
      </c>
      <c r="G75" s="11" t="s">
        <v>36</v>
      </c>
      <c r="H75" s="11" t="s">
        <v>20</v>
      </c>
      <c r="I75" s="13">
        <v>1460.48</v>
      </c>
      <c r="J75" s="11" t="s">
        <v>91</v>
      </c>
      <c r="K75" s="11" t="s">
        <v>345</v>
      </c>
      <c r="L75" s="11" t="s">
        <v>345</v>
      </c>
      <c r="M75" s="14">
        <v>5</v>
      </c>
      <c r="N75" s="11" t="s">
        <v>21</v>
      </c>
      <c r="O75" s="12">
        <v>2</v>
      </c>
      <c r="P75" s="15">
        <v>13.433777777777777</v>
      </c>
      <c r="Q75" s="11" t="str">
        <f>EVALUATE_LOCATION(InputData[[#This Row],[Section]],InputData[[#This Row],[Forma de Pago]],InputData[[#This Row],[Ubic.Pretendida]],InputData[[#This Row],[Nro pag]])</f>
        <v>&gt;DIFIERE&lt;</v>
      </c>
      <c r="R75" s="11">
        <f>ROUND(InputData[[#This Row],[AltoCm]],0)</f>
        <v>13</v>
      </c>
      <c r="S75" s="11" t="str">
        <f>InputData[[#This Row],[Col]]&amp;"x"&amp;IF(LEN(InputData[[#This Row],[Alto]])=2,InputData[[#This Row],[Alto]],"0"&amp;InputData[[#This Row],[Alto]])</f>
        <v>2x13</v>
      </c>
    </row>
    <row r="76" spans="1:19" x14ac:dyDescent="0.2">
      <c r="A76" s="11" t="s">
        <v>35</v>
      </c>
      <c r="B76" s="11" t="s">
        <v>473</v>
      </c>
      <c r="C76" s="11" t="s">
        <v>474</v>
      </c>
      <c r="D76" s="11" t="s">
        <v>475</v>
      </c>
      <c r="E76" s="11" t="s">
        <v>476</v>
      </c>
      <c r="F76" s="11" t="str">
        <f t="shared" si="2"/>
        <v>Norte Servicios Sociales</v>
      </c>
      <c r="G76" s="11" t="s">
        <v>36</v>
      </c>
      <c r="H76" s="11" t="s">
        <v>20</v>
      </c>
      <c r="I76" s="13">
        <v>0</v>
      </c>
      <c r="J76" s="11" t="s">
        <v>9</v>
      </c>
      <c r="K76" s="11" t="s">
        <v>477</v>
      </c>
      <c r="L76" s="11" t="s">
        <v>477</v>
      </c>
      <c r="M76" s="14">
        <v>31</v>
      </c>
      <c r="N76" s="11" t="s">
        <v>21</v>
      </c>
      <c r="O76" s="12">
        <v>3</v>
      </c>
      <c r="P76" s="15">
        <v>2.7657777777777777</v>
      </c>
      <c r="Q76" s="11" t="str">
        <f>EVALUATE_LOCATION(InputData[[#This Row],[Section]],InputData[[#This Row],[Forma de Pago]],InputData[[#This Row],[Ubic.Pretendida]],InputData[[#This Row],[Nro pag]])</f>
        <v xml:space="preserve"> </v>
      </c>
      <c r="R76" s="11">
        <f>ROUND(InputData[[#This Row],[AltoCm]],0)</f>
        <v>3</v>
      </c>
      <c r="S76" s="11" t="str">
        <f>InputData[[#This Row],[Col]]&amp;"x"&amp;IF(LEN(InputData[[#This Row],[Alto]])=2,InputData[[#This Row],[Alto]],"0"&amp;InputData[[#This Row],[Alto]])</f>
        <v>3x03</v>
      </c>
    </row>
    <row r="77" spans="1:19" x14ac:dyDescent="0.2">
      <c r="A77" s="11" t="s">
        <v>35</v>
      </c>
      <c r="B77" s="11" t="s">
        <v>291</v>
      </c>
      <c r="C77" s="11" t="s">
        <v>106</v>
      </c>
      <c r="D77" s="11" t="s">
        <v>198</v>
      </c>
      <c r="E77" s="11" t="s">
        <v>199</v>
      </c>
      <c r="F77" s="11" t="str">
        <f t="shared" si="2"/>
        <v>CLASIFICADOS WEB</v>
      </c>
      <c r="G77" s="11" t="s">
        <v>36</v>
      </c>
      <c r="H77" s="11" t="s">
        <v>94</v>
      </c>
      <c r="I77" s="13">
        <v>5448.24</v>
      </c>
      <c r="J77" s="11" t="s">
        <v>9</v>
      </c>
      <c r="K77" s="11" t="s">
        <v>200</v>
      </c>
      <c r="L77" s="11" t="s">
        <v>200</v>
      </c>
      <c r="M77" s="14">
        <v>30</v>
      </c>
      <c r="N77" s="11" t="s">
        <v>21</v>
      </c>
      <c r="O77" s="12">
        <v>3</v>
      </c>
      <c r="P77" s="15">
        <v>27.657777777777785</v>
      </c>
      <c r="Q77" s="11" t="str">
        <f>EVALUATE_LOCATION(InputData[[#This Row],[Section]],InputData[[#This Row],[Forma de Pago]],InputData[[#This Row],[Ubic.Pretendida]],InputData[[#This Row],[Nro pag]])</f>
        <v xml:space="preserve"> </v>
      </c>
      <c r="R77" s="11">
        <f>ROUND(InputData[[#This Row],[AltoCm]],0)</f>
        <v>28</v>
      </c>
      <c r="S77" s="11" t="str">
        <f>InputData[[#This Row],[Col]]&amp;"x"&amp;IF(LEN(InputData[[#This Row],[Alto]])=2,InputData[[#This Row],[Alto]],"0"&amp;InputData[[#This Row],[Alto]])</f>
        <v>3x28</v>
      </c>
    </row>
    <row r="78" spans="1:19" x14ac:dyDescent="0.2">
      <c r="A78" s="11" t="s">
        <v>35</v>
      </c>
      <c r="B78" s="11" t="s">
        <v>478</v>
      </c>
      <c r="C78" s="11" t="s">
        <v>106</v>
      </c>
      <c r="D78" s="11" t="s">
        <v>198</v>
      </c>
      <c r="E78" s="11" t="s">
        <v>216</v>
      </c>
      <c r="F78" s="11" t="str">
        <f t="shared" si="2"/>
        <v>EL MATUTINO</v>
      </c>
      <c r="G78" s="11" t="s">
        <v>36</v>
      </c>
      <c r="H78" s="11" t="s">
        <v>94</v>
      </c>
      <c r="I78" s="13">
        <v>4540.2</v>
      </c>
      <c r="J78" s="11" t="s">
        <v>9</v>
      </c>
      <c r="K78" s="11" t="s">
        <v>200</v>
      </c>
      <c r="L78" s="11" t="s">
        <v>200</v>
      </c>
      <c r="M78" s="14">
        <v>23</v>
      </c>
      <c r="N78" s="11" t="s">
        <v>21</v>
      </c>
      <c r="O78" s="12">
        <v>4</v>
      </c>
      <c r="P78" s="15">
        <v>16.989777777777778</v>
      </c>
      <c r="Q78" s="11" t="str">
        <f>EVALUATE_LOCATION(InputData[[#This Row],[Section]],InputData[[#This Row],[Forma de Pago]],InputData[[#This Row],[Ubic.Pretendida]],InputData[[#This Row],[Nro pag]])</f>
        <v xml:space="preserve"> </v>
      </c>
      <c r="R78" s="11">
        <f>ROUND(InputData[[#This Row],[AltoCm]],0)</f>
        <v>17</v>
      </c>
      <c r="S78" s="11" t="str">
        <f>InputData[[#This Row],[Col]]&amp;"x"&amp;IF(LEN(InputData[[#This Row],[Alto]])=2,InputData[[#This Row],[Alto]],"0"&amp;InputData[[#This Row],[Alto]])</f>
        <v>4x17</v>
      </c>
    </row>
    <row r="79" spans="1:19" x14ac:dyDescent="0.2">
      <c r="A79" s="11" t="s">
        <v>35</v>
      </c>
      <c r="B79" s="11" t="s">
        <v>178</v>
      </c>
      <c r="C79" s="11" t="s">
        <v>41</v>
      </c>
      <c r="D79" s="11" t="s">
        <v>72</v>
      </c>
      <c r="E79" s="11" t="s">
        <v>42</v>
      </c>
      <c r="F79" s="11" t="str">
        <f t="shared" si="2"/>
        <v>TOMBOSUERTE...</v>
      </c>
      <c r="G79" s="11" t="s">
        <v>43</v>
      </c>
      <c r="H79" s="11" t="s">
        <v>20</v>
      </c>
      <c r="I79" s="13">
        <v>1764.41</v>
      </c>
      <c r="J79" s="11" t="s">
        <v>9</v>
      </c>
      <c r="K79" s="11" t="s">
        <v>44</v>
      </c>
      <c r="L79" s="11" t="s">
        <v>44</v>
      </c>
      <c r="M79" s="14">
        <v>17</v>
      </c>
      <c r="N79" s="11" t="s">
        <v>45</v>
      </c>
      <c r="O79" s="12">
        <v>5</v>
      </c>
      <c r="P79" s="15">
        <v>17.000000000722224</v>
      </c>
      <c r="Q79" s="11" t="str">
        <f>EVALUATE_LOCATION(InputData[[#This Row],[Section]],InputData[[#This Row],[Forma de Pago]],InputData[[#This Row],[Ubic.Pretendida]],InputData[[#This Row],[Nro pag]])</f>
        <v>&gt;DIFIERE&lt;</v>
      </c>
      <c r="R79" s="11">
        <f>ROUND(InputData[[#This Row],[AltoCm]],0)</f>
        <v>17</v>
      </c>
      <c r="S79" s="11" t="str">
        <f>InputData[[#This Row],[Col]]&amp;"x"&amp;IF(LEN(InputData[[#This Row],[Alto]])=2,InputData[[#This Row],[Alto]],"0"&amp;InputData[[#This Row],[Alto]])</f>
        <v>5x17</v>
      </c>
    </row>
    <row r="80" spans="1:19" x14ac:dyDescent="0.2">
      <c r="A80" s="11" t="s">
        <v>35</v>
      </c>
      <c r="B80" s="11" t="s">
        <v>479</v>
      </c>
      <c r="C80" s="11" t="s">
        <v>106</v>
      </c>
      <c r="D80" s="11" t="s">
        <v>480</v>
      </c>
      <c r="E80" s="11" t="s">
        <v>481</v>
      </c>
      <c r="F80" s="11" t="str">
        <f t="shared" si="2"/>
        <v>FUTBOL FM SOL</v>
      </c>
      <c r="G80" s="11" t="s">
        <v>36</v>
      </c>
      <c r="H80" s="11" t="s">
        <v>94</v>
      </c>
      <c r="I80" s="13">
        <v>1628.33</v>
      </c>
      <c r="J80" s="11" t="s">
        <v>9</v>
      </c>
      <c r="K80" s="11" t="s">
        <v>44</v>
      </c>
      <c r="L80" s="11" t="s">
        <v>44</v>
      </c>
      <c r="M80" s="14">
        <v>27</v>
      </c>
      <c r="N80" s="11" t="s">
        <v>21</v>
      </c>
      <c r="O80" s="12">
        <v>2</v>
      </c>
      <c r="P80" s="15">
        <v>9.8777777777777782</v>
      </c>
      <c r="Q80" s="11" t="str">
        <f>EVALUATE_LOCATION(InputData[[#This Row],[Section]],InputData[[#This Row],[Forma de Pago]],InputData[[#This Row],[Ubic.Pretendida]],InputData[[#This Row],[Nro pag]])</f>
        <v xml:space="preserve"> </v>
      </c>
      <c r="R80" s="11">
        <f>ROUND(InputData[[#This Row],[AltoCm]],0)</f>
        <v>10</v>
      </c>
      <c r="S80" s="11" t="str">
        <f>InputData[[#This Row],[Col]]&amp;"x"&amp;IF(LEN(InputData[[#This Row],[Alto]])=2,InputData[[#This Row],[Alto]],"0"&amp;InputData[[#This Row],[Alto]])</f>
        <v>2x10</v>
      </c>
    </row>
    <row r="81" spans="1:19" x14ac:dyDescent="0.2">
      <c r="A81" s="11" t="s">
        <v>35</v>
      </c>
      <c r="B81" s="11" t="s">
        <v>482</v>
      </c>
      <c r="C81" s="11" t="s">
        <v>483</v>
      </c>
      <c r="D81" s="11" t="s">
        <v>72</v>
      </c>
      <c r="E81" s="11" t="s">
        <v>484</v>
      </c>
      <c r="F81" s="11" t="str">
        <f t="shared" si="2"/>
        <v>GOBIERNO  27 DE ABRIL DIA GRANDE</v>
      </c>
      <c r="G81" s="11" t="s">
        <v>43</v>
      </c>
      <c r="H81" s="11" t="s">
        <v>20</v>
      </c>
      <c r="I81" s="13">
        <v>165497.74</v>
      </c>
      <c r="J81" s="11" t="s">
        <v>9</v>
      </c>
      <c r="K81" s="11" t="s">
        <v>44</v>
      </c>
      <c r="L81" s="11" t="s">
        <v>44</v>
      </c>
      <c r="M81" s="14">
        <v>3</v>
      </c>
      <c r="N81" s="11" t="s">
        <v>21</v>
      </c>
      <c r="O81" s="12">
        <v>5</v>
      </c>
      <c r="P81" s="15">
        <v>35.000000001694445</v>
      </c>
      <c r="Q81" s="11" t="str">
        <f>EVALUATE_LOCATION(InputData[[#This Row],[Section]],InputData[[#This Row],[Forma de Pago]],InputData[[#This Row],[Ubic.Pretendida]],InputData[[#This Row],[Nro pag]])</f>
        <v>&gt;DIFIERE&lt;</v>
      </c>
      <c r="R81" s="11">
        <f>ROUND(InputData[[#This Row],[AltoCm]],0)</f>
        <v>35</v>
      </c>
      <c r="S81" s="11" t="str">
        <f>InputData[[#This Row],[Col]]&amp;"x"&amp;IF(LEN(InputData[[#This Row],[Alto]])=2,InputData[[#This Row],[Alto]],"0"&amp;InputData[[#This Row],[Alto]])</f>
        <v>5x35</v>
      </c>
    </row>
    <row r="82" spans="1:19" x14ac:dyDescent="0.2">
      <c r="A82" s="11" t="s">
        <v>35</v>
      </c>
      <c r="B82" s="11" t="s">
        <v>485</v>
      </c>
      <c r="C82" s="11" t="s">
        <v>346</v>
      </c>
      <c r="D82" s="11" t="s">
        <v>269</v>
      </c>
      <c r="E82" s="11" t="s">
        <v>486</v>
      </c>
      <c r="F82" s="11" t="str">
        <f t="shared" si="2"/>
        <v>EJESA CORTE....</v>
      </c>
      <c r="G82" s="11" t="s">
        <v>36</v>
      </c>
      <c r="H82" s="11" t="s">
        <v>20</v>
      </c>
      <c r="I82" s="13">
        <v>814.83</v>
      </c>
      <c r="J82" s="11" t="s">
        <v>91</v>
      </c>
      <c r="K82" s="11" t="s">
        <v>44</v>
      </c>
      <c r="L82" s="11" t="s">
        <v>44</v>
      </c>
      <c r="M82" s="14">
        <v>5</v>
      </c>
      <c r="N82" s="11" t="s">
        <v>21</v>
      </c>
      <c r="O82" s="12">
        <v>1</v>
      </c>
      <c r="P82" s="15">
        <v>9.8777777777777782</v>
      </c>
      <c r="Q82" s="11" t="str">
        <f>EVALUATE_LOCATION(InputData[[#This Row],[Section]],InputData[[#This Row],[Forma de Pago]],InputData[[#This Row],[Ubic.Pretendida]],InputData[[#This Row],[Nro pag]])</f>
        <v>&gt;DIFIERE&lt;</v>
      </c>
      <c r="R82" s="11">
        <f>ROUND(InputData[[#This Row],[AltoCm]],0)</f>
        <v>10</v>
      </c>
      <c r="S82" s="11" t="str">
        <f>InputData[[#This Row],[Col]]&amp;"x"&amp;IF(LEN(InputData[[#This Row],[Alto]])=2,InputData[[#This Row],[Alto]],"0"&amp;InputData[[#This Row],[Alto]])</f>
        <v>1x10</v>
      </c>
    </row>
    <row r="83" spans="1:19" x14ac:dyDescent="0.2">
      <c r="A83" s="11" t="s">
        <v>35</v>
      </c>
      <c r="B83" s="11" t="s">
        <v>179</v>
      </c>
      <c r="C83" s="11" t="s">
        <v>139</v>
      </c>
      <c r="D83" s="11" t="s">
        <v>144</v>
      </c>
      <c r="E83" s="11" t="s">
        <v>140</v>
      </c>
      <c r="F83" s="11" t="str">
        <f t="shared" si="2"/>
        <v>OREJA ELIAS DEPORTES</v>
      </c>
      <c r="G83" s="11" t="s">
        <v>36</v>
      </c>
      <c r="H83" s="11" t="s">
        <v>20</v>
      </c>
      <c r="I83" s="13">
        <v>0</v>
      </c>
      <c r="J83" s="11" t="s">
        <v>9</v>
      </c>
      <c r="K83" s="11" t="s">
        <v>145</v>
      </c>
      <c r="L83" s="11" t="s">
        <v>145</v>
      </c>
      <c r="M83" s="14">
        <v>25</v>
      </c>
      <c r="N83" s="11" t="s">
        <v>21</v>
      </c>
      <c r="O83" s="12">
        <v>1</v>
      </c>
      <c r="P83" s="15">
        <v>2.7657777777777777</v>
      </c>
      <c r="Q83" s="11" t="str">
        <f>EVALUATE_LOCATION(InputData[[#This Row],[Section]],InputData[[#This Row],[Forma de Pago]],InputData[[#This Row],[Ubic.Pretendida]],InputData[[#This Row],[Nro pag]])</f>
        <v>&gt;DIFIERE&lt;</v>
      </c>
      <c r="R83" s="11">
        <f>ROUND(InputData[[#This Row],[AltoCm]],0)</f>
        <v>3</v>
      </c>
      <c r="S83" s="11" t="str">
        <f>InputData[[#This Row],[Col]]&amp;"x"&amp;IF(LEN(InputData[[#This Row],[Alto]])=2,InputData[[#This Row],[Alto]],"0"&amp;InputData[[#This Row],[Alto]])</f>
        <v>1x03</v>
      </c>
    </row>
    <row r="84" spans="1:19" x14ac:dyDescent="0.2">
      <c r="A84" s="11" t="s">
        <v>46</v>
      </c>
      <c r="B84" s="11" t="s">
        <v>107</v>
      </c>
      <c r="C84" s="11" t="s">
        <v>103</v>
      </c>
      <c r="E84" s="11" t="s">
        <v>114</v>
      </c>
      <c r="F84" s="11" t="str">
        <f t="shared" si="2"/>
        <v>PSICOPEDAGOGIA  Lic. DOLORES JUA</v>
      </c>
      <c r="G84" s="11" t="s">
        <v>47</v>
      </c>
      <c r="H84" s="11" t="s">
        <v>23</v>
      </c>
      <c r="I84" s="13">
        <v>39.315916666666674</v>
      </c>
      <c r="J84" s="11" t="s">
        <v>91</v>
      </c>
      <c r="K84" s="11" t="s">
        <v>104</v>
      </c>
      <c r="M84" s="14">
        <v>0</v>
      </c>
      <c r="N84" s="11" t="s">
        <v>21</v>
      </c>
      <c r="O84" s="12">
        <v>2</v>
      </c>
      <c r="P84" s="15">
        <v>3.0000000007500001</v>
      </c>
      <c r="Q84" s="11" t="str">
        <f>EVALUATE_LOCATION(InputData[[#This Row],[Section]],InputData[[#This Row],[Forma de Pago]],InputData[[#This Row],[Ubic.Pretendida]],InputData[[#This Row],[Nro pag]])</f>
        <v xml:space="preserve"> </v>
      </c>
      <c r="R84" s="11">
        <f>ROUND(InputData[[#This Row],[AltoCm]],0)</f>
        <v>3</v>
      </c>
      <c r="S84" s="11" t="str">
        <f>InputData[[#This Row],[Col]]&amp;"x"&amp;IF(LEN(InputData[[#This Row],[Alto]])=2,InputData[[#This Row],[Alto]],"0"&amp;InputData[[#This Row],[Alto]])</f>
        <v>2x03</v>
      </c>
    </row>
    <row r="85" spans="1:19" x14ac:dyDescent="0.2">
      <c r="A85" s="11" t="s">
        <v>46</v>
      </c>
      <c r="B85" s="11" t="s">
        <v>367</v>
      </c>
      <c r="C85" s="11" t="s">
        <v>368</v>
      </c>
      <c r="E85" s="11" t="s">
        <v>369</v>
      </c>
      <c r="F85" s="11" t="str">
        <f t="shared" si="2"/>
        <v>Dra. Claudia M. Bianco OTORRINOL</v>
      </c>
      <c r="G85" s="11" t="s">
        <v>47</v>
      </c>
      <c r="H85" s="11" t="s">
        <v>23</v>
      </c>
      <c r="I85" s="13">
        <v>26.210666666666668</v>
      </c>
      <c r="J85" s="11" t="s">
        <v>91</v>
      </c>
      <c r="K85" s="11" t="s">
        <v>370</v>
      </c>
      <c r="M85" s="14">
        <v>0</v>
      </c>
      <c r="N85" s="11" t="s">
        <v>21</v>
      </c>
      <c r="O85" s="12">
        <v>2</v>
      </c>
      <c r="P85" s="15">
        <v>2.0000000005</v>
      </c>
      <c r="Q85" s="11" t="str">
        <f>EVALUATE_LOCATION(InputData[[#This Row],[Section]],InputData[[#This Row],[Forma de Pago]],InputData[[#This Row],[Ubic.Pretendida]],InputData[[#This Row],[Nro pag]])</f>
        <v xml:space="preserve"> </v>
      </c>
      <c r="R85" s="11">
        <f>ROUND(InputData[[#This Row],[AltoCm]],0)</f>
        <v>2</v>
      </c>
      <c r="S85" s="11" t="str">
        <f>InputData[[#This Row],[Col]]&amp;"x"&amp;IF(LEN(InputData[[#This Row],[Alto]])=2,InputData[[#This Row],[Alto]],"0"&amp;InputData[[#This Row],[Alto]])</f>
        <v>2x02</v>
      </c>
    </row>
    <row r="86" spans="1:19" x14ac:dyDescent="0.2">
      <c r="A86" s="11" t="s">
        <v>46</v>
      </c>
      <c r="B86" s="11" t="s">
        <v>371</v>
      </c>
      <c r="C86" s="11" t="s">
        <v>372</v>
      </c>
      <c r="E86" s="11" t="s">
        <v>373</v>
      </c>
      <c r="F86" s="11" t="str">
        <f t="shared" si="2"/>
        <v>ESTARSIENDO  LIC. MARIA LAURA RO</v>
      </c>
      <c r="G86" s="11" t="s">
        <v>47</v>
      </c>
      <c r="H86" s="11" t="s">
        <v>23</v>
      </c>
      <c r="I86" s="13">
        <v>78.631666666666675</v>
      </c>
      <c r="J86" s="11" t="s">
        <v>91</v>
      </c>
      <c r="K86" s="11" t="s">
        <v>370</v>
      </c>
      <c r="M86" s="14">
        <v>0</v>
      </c>
      <c r="N86" s="11" t="s">
        <v>21</v>
      </c>
      <c r="O86" s="12">
        <v>2</v>
      </c>
      <c r="P86" s="15">
        <v>6.0000000015000001</v>
      </c>
      <c r="Q86" s="11" t="str">
        <f>EVALUATE_LOCATION(InputData[[#This Row],[Section]],InputData[[#This Row],[Forma de Pago]],InputData[[#This Row],[Ubic.Pretendida]],InputData[[#This Row],[Nro pag]])</f>
        <v xml:space="preserve"> </v>
      </c>
      <c r="R86" s="11">
        <f>ROUND(InputData[[#This Row],[AltoCm]],0)</f>
        <v>6</v>
      </c>
      <c r="S86" s="11" t="str">
        <f>InputData[[#This Row],[Col]]&amp;"x"&amp;IF(LEN(InputData[[#This Row],[Alto]])=2,InputData[[#This Row],[Alto]],"0"&amp;InputData[[#This Row],[Alto]])</f>
        <v>2x06</v>
      </c>
    </row>
    <row r="87" spans="1:19" x14ac:dyDescent="0.2">
      <c r="A87" s="11" t="s">
        <v>46</v>
      </c>
      <c r="B87" s="11" t="s">
        <v>120</v>
      </c>
      <c r="C87" s="11" t="s">
        <v>121</v>
      </c>
      <c r="E87" s="11" t="s">
        <v>122</v>
      </c>
      <c r="F87" s="11" t="str">
        <f t="shared" si="2"/>
        <v>PROBLEMAS DE COLUMNA Y EXTREMIDA</v>
      </c>
      <c r="G87" s="11" t="s">
        <v>47</v>
      </c>
      <c r="H87" s="11" t="s">
        <v>23</v>
      </c>
      <c r="I87" s="13">
        <v>39.315833333333337</v>
      </c>
      <c r="J87" s="11" t="s">
        <v>91</v>
      </c>
      <c r="K87" s="11" t="s">
        <v>48</v>
      </c>
      <c r="M87" s="14">
        <v>0</v>
      </c>
      <c r="N87" s="11" t="s">
        <v>21</v>
      </c>
      <c r="O87" s="12">
        <v>2</v>
      </c>
      <c r="P87" s="15">
        <v>3.0000000007500001</v>
      </c>
      <c r="Q87" s="11" t="str">
        <f>EVALUATE_LOCATION(InputData[[#This Row],[Section]],InputData[[#This Row],[Forma de Pago]],InputData[[#This Row],[Ubic.Pretendida]],InputData[[#This Row],[Nro pag]])</f>
        <v xml:space="preserve"> </v>
      </c>
      <c r="R87" s="11">
        <f>ROUND(InputData[[#This Row],[AltoCm]],0)</f>
        <v>3</v>
      </c>
      <c r="S87" s="11" t="str">
        <f>InputData[[#This Row],[Col]]&amp;"x"&amp;IF(LEN(InputData[[#This Row],[Alto]])=2,InputData[[#This Row],[Alto]],"0"&amp;InputData[[#This Row],[Alto]])</f>
        <v>2x03</v>
      </c>
    </row>
    <row r="88" spans="1:19" x14ac:dyDescent="0.2">
      <c r="A88" s="11" t="s">
        <v>46</v>
      </c>
      <c r="B88" s="11" t="s">
        <v>180</v>
      </c>
      <c r="C88" s="11" t="s">
        <v>80</v>
      </c>
      <c r="D88" s="11" t="s">
        <v>181</v>
      </c>
      <c r="E88" s="11" t="s">
        <v>81</v>
      </c>
      <c r="F88" s="11" t="str">
        <f t="shared" si="2"/>
        <v>Consultorios AV</v>
      </c>
      <c r="G88" s="11" t="s">
        <v>47</v>
      </c>
      <c r="H88" s="11" t="s">
        <v>20</v>
      </c>
      <c r="I88" s="13">
        <v>73.38966666666667</v>
      </c>
      <c r="J88" s="11" t="s">
        <v>91</v>
      </c>
      <c r="K88" s="11" t="s">
        <v>102</v>
      </c>
      <c r="M88" s="14">
        <v>0</v>
      </c>
      <c r="N88" s="11" t="s">
        <v>21</v>
      </c>
      <c r="O88" s="12">
        <v>2</v>
      </c>
      <c r="P88" s="15">
        <v>4.0000000010000001</v>
      </c>
      <c r="Q88" s="11" t="str">
        <f>EVALUATE_LOCATION(InputData[[#This Row],[Section]],InputData[[#This Row],[Forma de Pago]],InputData[[#This Row],[Ubic.Pretendida]],InputData[[#This Row],[Nro pag]])</f>
        <v xml:space="preserve"> </v>
      </c>
      <c r="R88" s="11">
        <f>ROUND(InputData[[#This Row],[AltoCm]],0)</f>
        <v>4</v>
      </c>
      <c r="S88" s="11" t="str">
        <f>InputData[[#This Row],[Col]]&amp;"x"&amp;IF(LEN(InputData[[#This Row],[Alto]])=2,InputData[[#This Row],[Alto]],"0"&amp;InputData[[#This Row],[Alto]])</f>
        <v>2x04</v>
      </c>
    </row>
    <row r="89" spans="1:19" x14ac:dyDescent="0.2">
      <c r="A89" s="11" t="s">
        <v>46</v>
      </c>
      <c r="B89" s="11" t="s">
        <v>262</v>
      </c>
      <c r="C89" s="11" t="s">
        <v>263</v>
      </c>
      <c r="E89" s="11" t="s">
        <v>264</v>
      </c>
      <c r="F89" s="11" t="str">
        <f t="shared" si="2"/>
        <v xml:space="preserve">ESTUDIO CONTABLE CM (logo carp. </v>
      </c>
      <c r="G89" s="11" t="s">
        <v>47</v>
      </c>
      <c r="H89" s="11" t="s">
        <v>23</v>
      </c>
      <c r="I89" s="13">
        <v>26.210666666666668</v>
      </c>
      <c r="J89" s="11" t="s">
        <v>91</v>
      </c>
      <c r="K89" s="11" t="s">
        <v>265</v>
      </c>
      <c r="M89" s="14">
        <v>0</v>
      </c>
      <c r="N89" s="11" t="s">
        <v>21</v>
      </c>
      <c r="O89" s="12">
        <v>2</v>
      </c>
      <c r="P89" s="15">
        <v>2.0000000005</v>
      </c>
      <c r="Q89" s="11" t="str">
        <f>EVALUATE_LOCATION(InputData[[#This Row],[Section]],InputData[[#This Row],[Forma de Pago]],InputData[[#This Row],[Ubic.Pretendida]],InputData[[#This Row],[Nro pag]])</f>
        <v xml:space="preserve"> </v>
      </c>
      <c r="R89" s="11">
        <f>ROUND(InputData[[#This Row],[AltoCm]],0)</f>
        <v>2</v>
      </c>
      <c r="S89" s="11" t="str">
        <f>InputData[[#This Row],[Col]]&amp;"x"&amp;IF(LEN(InputData[[#This Row],[Alto]])=2,InputData[[#This Row],[Alto]],"0"&amp;InputData[[#This Row],[Alto]])</f>
        <v>2x02</v>
      </c>
    </row>
    <row r="90" spans="1:19" x14ac:dyDescent="0.2">
      <c r="A90" s="11" t="s">
        <v>46</v>
      </c>
      <c r="B90" s="11" t="s">
        <v>182</v>
      </c>
      <c r="C90" s="11" t="s">
        <v>183</v>
      </c>
      <c r="E90" s="11" t="s">
        <v>184</v>
      </c>
      <c r="F90" s="11" t="str">
        <f t="shared" si="2"/>
        <v xml:space="preserve"> TERRAZAS Y ORCE REMIS ESTUDIO J</v>
      </c>
      <c r="G90" s="11" t="s">
        <v>47</v>
      </c>
      <c r="H90" s="11" t="s">
        <v>23</v>
      </c>
      <c r="I90" s="13">
        <v>131.053</v>
      </c>
      <c r="J90" s="11" t="s">
        <v>91</v>
      </c>
      <c r="K90" s="11" t="s">
        <v>49</v>
      </c>
      <c r="M90" s="14">
        <v>0</v>
      </c>
      <c r="N90" s="11" t="s">
        <v>21</v>
      </c>
      <c r="O90" s="12">
        <v>2</v>
      </c>
      <c r="P90" s="15">
        <v>9.999999998972223</v>
      </c>
      <c r="Q90" s="11" t="str">
        <f>EVALUATE_LOCATION(InputData[[#This Row],[Section]],InputData[[#This Row],[Forma de Pago]],InputData[[#This Row],[Ubic.Pretendida]],InputData[[#This Row],[Nro pag]])</f>
        <v xml:space="preserve"> </v>
      </c>
      <c r="R90" s="11">
        <f>ROUND(InputData[[#This Row],[AltoCm]],0)</f>
        <v>10</v>
      </c>
      <c r="S90" s="11" t="str">
        <f>InputData[[#This Row],[Col]]&amp;"x"&amp;IF(LEN(InputData[[#This Row],[Alto]])=2,InputData[[#This Row],[Alto]],"0"&amp;InputData[[#This Row],[Alto]])</f>
        <v>2x10</v>
      </c>
    </row>
    <row r="91" spans="1:19" x14ac:dyDescent="0.2">
      <c r="A91" s="11" t="s">
        <v>46</v>
      </c>
      <c r="B91" s="11" t="s">
        <v>201</v>
      </c>
      <c r="C91" s="11" t="s">
        <v>202</v>
      </c>
      <c r="E91" s="11" t="s">
        <v>203</v>
      </c>
      <c r="F91" s="11" t="str">
        <f t="shared" si="2"/>
        <v>ABOGADOS - CAUSAS PENALES   ///A</v>
      </c>
      <c r="G91" s="11" t="s">
        <v>47</v>
      </c>
      <c r="H91" s="11" t="s">
        <v>23</v>
      </c>
      <c r="I91" s="13">
        <v>39.316000000000003</v>
      </c>
      <c r="J91" s="11" t="s">
        <v>91</v>
      </c>
      <c r="K91" s="11" t="s">
        <v>49</v>
      </c>
      <c r="M91" s="14">
        <v>0</v>
      </c>
      <c r="N91" s="11" t="s">
        <v>21</v>
      </c>
      <c r="O91" s="12">
        <v>2</v>
      </c>
      <c r="P91" s="15">
        <v>3.0000000007500001</v>
      </c>
      <c r="Q91" s="11" t="str">
        <f>EVALUATE_LOCATION(InputData[[#This Row],[Section]],InputData[[#This Row],[Forma de Pago]],InputData[[#This Row],[Ubic.Pretendida]],InputData[[#This Row],[Nro pag]])</f>
        <v xml:space="preserve"> </v>
      </c>
      <c r="R91" s="11">
        <f>ROUND(InputData[[#This Row],[AltoCm]],0)</f>
        <v>3</v>
      </c>
      <c r="S91" s="11" t="str">
        <f>InputData[[#This Row],[Col]]&amp;"x"&amp;IF(LEN(InputData[[#This Row],[Alto]])=2,InputData[[#This Row],[Alto]],"0"&amp;InputData[[#This Row],[Alto]])</f>
        <v>2x03</v>
      </c>
    </row>
    <row r="92" spans="1:19" x14ac:dyDescent="0.2">
      <c r="A92" s="11" t="s">
        <v>46</v>
      </c>
      <c r="B92" s="11" t="s">
        <v>217</v>
      </c>
      <c r="C92" s="11" t="s">
        <v>218</v>
      </c>
      <c r="E92" s="11" t="s">
        <v>219</v>
      </c>
      <c r="F92" s="11" t="str">
        <f t="shared" si="2"/>
        <v>MARIA A. CARRETERO M.P. 3103  Fa</v>
      </c>
      <c r="G92" s="11" t="s">
        <v>47</v>
      </c>
      <c r="H92" s="11" t="s">
        <v>23</v>
      </c>
      <c r="I92" s="13">
        <v>26.210666666666668</v>
      </c>
      <c r="J92" s="11" t="s">
        <v>91</v>
      </c>
      <c r="K92" s="11" t="s">
        <v>49</v>
      </c>
      <c r="M92" s="14">
        <v>0</v>
      </c>
      <c r="N92" s="11" t="s">
        <v>21</v>
      </c>
      <c r="O92" s="12">
        <v>2</v>
      </c>
      <c r="P92" s="15">
        <v>2.0000000005</v>
      </c>
      <c r="Q92" s="11" t="str">
        <f>EVALUATE_LOCATION(InputData[[#This Row],[Section]],InputData[[#This Row],[Forma de Pago]],InputData[[#This Row],[Ubic.Pretendida]],InputData[[#This Row],[Nro pag]])</f>
        <v xml:space="preserve"> </v>
      </c>
      <c r="R92" s="11">
        <f>ROUND(InputData[[#This Row],[AltoCm]],0)</f>
        <v>2</v>
      </c>
      <c r="S92" s="11" t="str">
        <f>InputData[[#This Row],[Col]]&amp;"x"&amp;IF(LEN(InputData[[#This Row],[Alto]])=2,InputData[[#This Row],[Alto]],"0"&amp;InputData[[#This Row],[Alto]])</f>
        <v>2x02</v>
      </c>
    </row>
    <row r="93" spans="1:19" x14ac:dyDescent="0.2">
      <c r="A93" s="11" t="s">
        <v>46</v>
      </c>
      <c r="B93" s="11" t="s">
        <v>231</v>
      </c>
      <c r="C93" s="11" t="s">
        <v>153</v>
      </c>
      <c r="E93" s="11" t="s">
        <v>232</v>
      </c>
      <c r="F93" s="11" t="str">
        <f t="shared" si="2"/>
        <v xml:space="preserve">////LOGO///// Familia- Sucerio- </v>
      </c>
      <c r="G93" s="11" t="s">
        <v>47</v>
      </c>
      <c r="H93" s="11" t="s">
        <v>23</v>
      </c>
      <c r="I93" s="13">
        <v>65.526499999999999</v>
      </c>
      <c r="J93" s="11" t="s">
        <v>91</v>
      </c>
      <c r="K93" s="11" t="s">
        <v>49</v>
      </c>
      <c r="M93" s="14">
        <v>0</v>
      </c>
      <c r="N93" s="11" t="s">
        <v>21</v>
      </c>
      <c r="O93" s="12">
        <v>2</v>
      </c>
      <c r="P93" s="15">
        <v>5.0000000012500001</v>
      </c>
      <c r="Q93" s="11" t="str">
        <f>EVALUATE_LOCATION(InputData[[#This Row],[Section]],InputData[[#This Row],[Forma de Pago]],InputData[[#This Row],[Ubic.Pretendida]],InputData[[#This Row],[Nro pag]])</f>
        <v xml:space="preserve"> </v>
      </c>
      <c r="R93" s="11">
        <f>ROUND(InputData[[#This Row],[AltoCm]],0)</f>
        <v>5</v>
      </c>
      <c r="S93" s="11" t="str">
        <f>InputData[[#This Row],[Col]]&amp;"x"&amp;IF(LEN(InputData[[#This Row],[Alto]])=2,InputData[[#This Row],[Alto]],"0"&amp;InputData[[#This Row],[Alto]])</f>
        <v>2x05</v>
      </c>
    </row>
    <row r="94" spans="1:19" x14ac:dyDescent="0.2">
      <c r="A94" s="11" t="s">
        <v>46</v>
      </c>
      <c r="B94" s="11" t="s">
        <v>235</v>
      </c>
      <c r="C94" s="11" t="s">
        <v>236</v>
      </c>
      <c r="E94" s="11" t="s">
        <v>237</v>
      </c>
      <c r="F94" s="11" t="str">
        <f t="shared" si="2"/>
        <v>Dr. Alejandro Daniel Copa Dra. V</v>
      </c>
      <c r="G94" s="11" t="s">
        <v>47</v>
      </c>
      <c r="H94" s="11" t="s">
        <v>23</v>
      </c>
      <c r="I94" s="13">
        <v>91.737166666666653</v>
      </c>
      <c r="J94" s="11" t="s">
        <v>91</v>
      </c>
      <c r="K94" s="11" t="s">
        <v>49</v>
      </c>
      <c r="M94" s="14">
        <v>0</v>
      </c>
      <c r="N94" s="11" t="s">
        <v>21</v>
      </c>
      <c r="O94" s="12">
        <v>2</v>
      </c>
      <c r="P94" s="15">
        <v>5.0000000012500001</v>
      </c>
      <c r="Q94" s="11" t="str">
        <f>EVALUATE_LOCATION(InputData[[#This Row],[Section]],InputData[[#This Row],[Forma de Pago]],InputData[[#This Row],[Ubic.Pretendida]],InputData[[#This Row],[Nro pag]])</f>
        <v xml:space="preserve"> </v>
      </c>
      <c r="R94" s="11">
        <f>ROUND(InputData[[#This Row],[AltoCm]],0)</f>
        <v>5</v>
      </c>
      <c r="S94" s="11" t="str">
        <f>InputData[[#This Row],[Col]]&amp;"x"&amp;IF(LEN(InputData[[#This Row],[Alto]])=2,InputData[[#This Row],[Alto]],"0"&amp;InputData[[#This Row],[Alto]])</f>
        <v>2x05</v>
      </c>
    </row>
    <row r="95" spans="1:19" x14ac:dyDescent="0.2">
      <c r="A95" s="11" t="s">
        <v>46</v>
      </c>
      <c r="B95" s="11" t="s">
        <v>257</v>
      </c>
      <c r="C95" s="11" t="s">
        <v>258</v>
      </c>
      <c r="E95" s="11" t="s">
        <v>259</v>
      </c>
      <c r="F95" s="11" t="str">
        <f t="shared" si="2"/>
        <v>Samuel J. Cruz -Joel Hermes Cruz</v>
      </c>
      <c r="G95" s="11" t="s">
        <v>47</v>
      </c>
      <c r="H95" s="11" t="s">
        <v>23</v>
      </c>
      <c r="I95" s="13">
        <v>26.210666666666668</v>
      </c>
      <c r="J95" s="11" t="s">
        <v>91</v>
      </c>
      <c r="K95" s="11" t="s">
        <v>49</v>
      </c>
      <c r="M95" s="14">
        <v>0</v>
      </c>
      <c r="N95" s="11" t="s">
        <v>21</v>
      </c>
      <c r="O95" s="12">
        <v>2</v>
      </c>
      <c r="P95" s="15">
        <v>2.0000000005</v>
      </c>
      <c r="Q95" s="11" t="str">
        <f>EVALUATE_LOCATION(InputData[[#This Row],[Section]],InputData[[#This Row],[Forma de Pago]],InputData[[#This Row],[Ubic.Pretendida]],InputData[[#This Row],[Nro pag]])</f>
        <v xml:space="preserve"> </v>
      </c>
      <c r="R95" s="11">
        <f>ROUND(InputData[[#This Row],[AltoCm]],0)</f>
        <v>2</v>
      </c>
      <c r="S95" s="11" t="str">
        <f>InputData[[#This Row],[Col]]&amp;"x"&amp;IF(LEN(InputData[[#This Row],[Alto]])=2,InputData[[#This Row],[Alto]],"0"&amp;InputData[[#This Row],[Alto]])</f>
        <v>2x02</v>
      </c>
    </row>
    <row r="96" spans="1:19" x14ac:dyDescent="0.2">
      <c r="A96" s="11" t="s">
        <v>244</v>
      </c>
      <c r="B96" s="11" t="s">
        <v>487</v>
      </c>
      <c r="C96" s="11" t="s">
        <v>488</v>
      </c>
      <c r="E96" s="11" t="s">
        <v>489</v>
      </c>
      <c r="F96" s="11" t="str">
        <f t="shared" si="2"/>
        <v>SEPELIOS SAN JOSE S.R.L. SERVICI</v>
      </c>
      <c r="G96" s="11" t="s">
        <v>245</v>
      </c>
      <c r="H96" s="11" t="s">
        <v>23</v>
      </c>
      <c r="I96" s="13">
        <v>287.71099999999996</v>
      </c>
      <c r="J96" s="11" t="s">
        <v>9</v>
      </c>
      <c r="K96" s="11" t="s">
        <v>246</v>
      </c>
      <c r="M96" s="14">
        <v>0</v>
      </c>
      <c r="N96" s="11" t="s">
        <v>21</v>
      </c>
      <c r="O96" s="12">
        <v>1</v>
      </c>
      <c r="P96" s="15">
        <v>6.3217777777777773</v>
      </c>
      <c r="Q96" s="11" t="str">
        <f>EVALUATE_LOCATION(InputData[[#This Row],[Section]],InputData[[#This Row],[Forma de Pago]],InputData[[#This Row],[Ubic.Pretendida]],InputData[[#This Row],[Nro pag]])</f>
        <v xml:space="preserve"> </v>
      </c>
      <c r="R96" s="11">
        <f>ROUND(InputData[[#This Row],[AltoCm]],0)</f>
        <v>6</v>
      </c>
      <c r="S96" s="11" t="str">
        <f>InputData[[#This Row],[Col]]&amp;"x"&amp;IF(LEN(InputData[[#This Row],[Alto]])=2,InputData[[#This Row],[Alto]],"0"&amp;InputData[[#This Row],[Alto]])</f>
        <v>1x06</v>
      </c>
    </row>
    <row r="97" spans="1:19" x14ac:dyDescent="0.2">
      <c r="A97" s="11" t="s">
        <v>244</v>
      </c>
      <c r="B97" s="11" t="s">
        <v>490</v>
      </c>
      <c r="C97" s="11" t="s">
        <v>491</v>
      </c>
      <c r="E97" s="11" t="s">
        <v>492</v>
      </c>
      <c r="F97" s="11" t="str">
        <f t="shared" si="2"/>
        <v>+ CARMEN MERCEDES VEGA DE GASPAR</v>
      </c>
      <c r="G97" s="11" t="s">
        <v>245</v>
      </c>
      <c r="H97" s="11" t="s">
        <v>23</v>
      </c>
      <c r="I97" s="13">
        <v>945.34</v>
      </c>
      <c r="J97" s="11" t="s">
        <v>9</v>
      </c>
      <c r="K97" s="11" t="s">
        <v>246</v>
      </c>
      <c r="M97" s="14">
        <v>0</v>
      </c>
      <c r="N97" s="11" t="s">
        <v>21</v>
      </c>
      <c r="O97" s="12">
        <v>2</v>
      </c>
      <c r="P97" s="15">
        <v>6.3217777777777773</v>
      </c>
      <c r="Q97" s="11" t="str">
        <f>EVALUATE_LOCATION(InputData[[#This Row],[Section]],InputData[[#This Row],[Forma de Pago]],InputData[[#This Row],[Ubic.Pretendida]],InputData[[#This Row],[Nro pag]])</f>
        <v xml:space="preserve"> </v>
      </c>
      <c r="R97" s="11">
        <f>ROUND(InputData[[#This Row],[AltoCm]],0)</f>
        <v>6</v>
      </c>
      <c r="S97" s="11" t="str">
        <f>InputData[[#This Row],[Col]]&amp;"x"&amp;IF(LEN(InputData[[#This Row],[Alto]])=2,InputData[[#This Row],[Alto]],"0"&amp;InputData[[#This Row],[Alto]])</f>
        <v>2x06</v>
      </c>
    </row>
    <row r="98" spans="1:19" x14ac:dyDescent="0.2">
      <c r="A98" s="11" t="s">
        <v>244</v>
      </c>
      <c r="B98" s="11" t="s">
        <v>493</v>
      </c>
      <c r="C98" s="11" t="s">
        <v>494</v>
      </c>
      <c r="E98" s="11" t="s">
        <v>495</v>
      </c>
      <c r="F98" s="11" t="str">
        <f t="shared" ref="F98:F129" si="3">LEFT(E98,32)</f>
        <v>+ TEVES ARMANDO GUILLERMO Fallec</v>
      </c>
      <c r="G98" s="11" t="s">
        <v>245</v>
      </c>
      <c r="H98" s="11" t="s">
        <v>23</v>
      </c>
      <c r="I98" s="13">
        <v>945.34</v>
      </c>
      <c r="J98" s="11" t="s">
        <v>9</v>
      </c>
      <c r="K98" s="11" t="s">
        <v>246</v>
      </c>
      <c r="M98" s="14">
        <v>0</v>
      </c>
      <c r="N98" s="11" t="s">
        <v>21</v>
      </c>
      <c r="O98" s="12">
        <v>2</v>
      </c>
      <c r="P98" s="15">
        <v>6.3217777777777773</v>
      </c>
      <c r="Q98" s="11" t="str">
        <f>EVALUATE_LOCATION(InputData[[#This Row],[Section]],InputData[[#This Row],[Forma de Pago]],InputData[[#This Row],[Ubic.Pretendida]],InputData[[#This Row],[Nro pag]])</f>
        <v xml:space="preserve"> </v>
      </c>
      <c r="R98" s="11">
        <f>ROUND(InputData[[#This Row],[AltoCm]],0)</f>
        <v>6</v>
      </c>
      <c r="S98" s="11" t="str">
        <f>InputData[[#This Row],[Col]]&amp;"x"&amp;IF(LEN(InputData[[#This Row],[Alto]])=2,InputData[[#This Row],[Alto]],"0"&amp;InputData[[#This Row],[Alto]])</f>
        <v>2x06</v>
      </c>
    </row>
    <row r="99" spans="1:19" x14ac:dyDescent="0.2">
      <c r="A99" s="11" t="s">
        <v>244</v>
      </c>
      <c r="B99" s="11" t="s">
        <v>496</v>
      </c>
      <c r="C99" s="11" t="s">
        <v>50</v>
      </c>
      <c r="D99" s="11" t="s">
        <v>497</v>
      </c>
      <c r="E99" s="11" t="s">
        <v>498</v>
      </c>
      <c r="F99" s="11" t="str">
        <f t="shared" si="3"/>
        <v>CARGAR CUENTA DE WERCHOW  MOD 1X</v>
      </c>
      <c r="G99" s="11" t="s">
        <v>245</v>
      </c>
      <c r="H99" s="11" t="s">
        <v>20</v>
      </c>
      <c r="I99" s="13">
        <v>507.73</v>
      </c>
      <c r="J99" s="11" t="s">
        <v>91</v>
      </c>
      <c r="K99" s="11" t="s">
        <v>246</v>
      </c>
      <c r="M99" s="14">
        <v>0</v>
      </c>
      <c r="N99" s="11" t="s">
        <v>21</v>
      </c>
      <c r="O99" s="12">
        <v>1</v>
      </c>
      <c r="P99" s="15">
        <v>9.8777777777777782</v>
      </c>
      <c r="Q99" s="11" t="str">
        <f>EVALUATE_LOCATION(InputData[[#This Row],[Section]],InputData[[#This Row],[Forma de Pago]],InputData[[#This Row],[Ubic.Pretendida]],InputData[[#This Row],[Nro pag]])</f>
        <v xml:space="preserve"> </v>
      </c>
      <c r="R99" s="11">
        <f>ROUND(InputData[[#This Row],[AltoCm]],0)</f>
        <v>10</v>
      </c>
      <c r="S99" s="11" t="str">
        <f>InputData[[#This Row],[Col]]&amp;"x"&amp;IF(LEN(InputData[[#This Row],[Alto]])=2,InputData[[#This Row],[Alto]],"0"&amp;InputData[[#This Row],[Alto]])</f>
        <v>1x10</v>
      </c>
    </row>
    <row r="100" spans="1:19" x14ac:dyDescent="0.2">
      <c r="A100" s="11" t="s">
        <v>499</v>
      </c>
      <c r="B100" s="11" t="s">
        <v>500</v>
      </c>
      <c r="C100" s="11" t="s">
        <v>501</v>
      </c>
      <c r="D100" s="11" t="s">
        <v>502</v>
      </c>
      <c r="E100" s="11" t="s">
        <v>503</v>
      </c>
      <c r="F100" s="11" t="str">
        <f t="shared" si="3"/>
        <v>CENTRO VOLKSWAGEN-SUP. AUTOMOTOR</v>
      </c>
      <c r="G100" s="11" t="s">
        <v>36</v>
      </c>
      <c r="H100" s="11" t="s">
        <v>20</v>
      </c>
      <c r="I100" s="13">
        <v>871.56000000000006</v>
      </c>
      <c r="J100" s="11" t="s">
        <v>9</v>
      </c>
      <c r="K100" s="11" t="s">
        <v>39</v>
      </c>
      <c r="L100" s="11" t="s">
        <v>39</v>
      </c>
      <c r="M100" s="14">
        <v>7</v>
      </c>
      <c r="N100" s="11" t="s">
        <v>21</v>
      </c>
      <c r="O100" s="12">
        <v>3</v>
      </c>
      <c r="P100" s="15">
        <v>9.8777777777777782</v>
      </c>
      <c r="Q100" s="11" t="str">
        <f>EVALUATE_LOCATION(InputData[[#This Row],[Section]],InputData[[#This Row],[Forma de Pago]],InputData[[#This Row],[Ubic.Pretendida]],InputData[[#This Row],[Nro pag]])</f>
        <v xml:space="preserve"> </v>
      </c>
      <c r="R100" s="11">
        <f>ROUND(InputData[[#This Row],[AltoCm]],0)</f>
        <v>10</v>
      </c>
      <c r="S100" s="11" t="str">
        <f>InputData[[#This Row],[Col]]&amp;"x"&amp;IF(LEN(InputData[[#This Row],[Alto]])=2,InputData[[#This Row],[Alto]],"0"&amp;InputData[[#This Row],[Alto]])</f>
        <v>3x10</v>
      </c>
    </row>
    <row r="101" spans="1:19" x14ac:dyDescent="0.2">
      <c r="A101" s="11" t="s">
        <v>499</v>
      </c>
      <c r="B101" s="11" t="s">
        <v>504</v>
      </c>
      <c r="C101" s="11" t="s">
        <v>505</v>
      </c>
      <c r="D101" s="11" t="s">
        <v>506</v>
      </c>
      <c r="E101" s="11" t="s">
        <v>507</v>
      </c>
      <c r="F101" s="11" t="str">
        <f t="shared" si="3"/>
        <v>HAFID</v>
      </c>
      <c r="G101" s="11" t="s">
        <v>36</v>
      </c>
      <c r="H101" s="11" t="s">
        <v>20</v>
      </c>
      <c r="I101" s="13">
        <v>0</v>
      </c>
      <c r="J101" s="11" t="s">
        <v>9</v>
      </c>
      <c r="K101" s="11" t="s">
        <v>39</v>
      </c>
      <c r="L101" s="11" t="s">
        <v>39</v>
      </c>
      <c r="M101" s="14">
        <v>6</v>
      </c>
      <c r="N101" s="11" t="s">
        <v>21</v>
      </c>
      <c r="O101" s="12">
        <v>2</v>
      </c>
      <c r="P101" s="15">
        <v>6.3217777777777773</v>
      </c>
      <c r="Q101" s="11" t="str">
        <f>EVALUATE_LOCATION(InputData[[#This Row],[Section]],InputData[[#This Row],[Forma de Pago]],InputData[[#This Row],[Ubic.Pretendida]],InputData[[#This Row],[Nro pag]])</f>
        <v xml:space="preserve"> </v>
      </c>
      <c r="R101" s="11">
        <f>ROUND(InputData[[#This Row],[AltoCm]],0)</f>
        <v>6</v>
      </c>
      <c r="S101" s="11" t="str">
        <f>InputData[[#This Row],[Col]]&amp;"x"&amp;IF(LEN(InputData[[#This Row],[Alto]])=2,InputData[[#This Row],[Alto]],"0"&amp;InputData[[#This Row],[Alto]])</f>
        <v>2x06</v>
      </c>
    </row>
    <row r="102" spans="1:19" x14ac:dyDescent="0.2">
      <c r="A102" s="11" t="s">
        <v>499</v>
      </c>
      <c r="B102" s="11" t="s">
        <v>508</v>
      </c>
      <c r="C102" s="11" t="s">
        <v>509</v>
      </c>
      <c r="D102" s="11" t="s">
        <v>510</v>
      </c>
      <c r="E102" s="11" t="s">
        <v>511</v>
      </c>
      <c r="F102" s="11" t="str">
        <f t="shared" si="3"/>
        <v>CENTRO AUTOMOTOR</v>
      </c>
      <c r="G102" s="11" t="s">
        <v>36</v>
      </c>
      <c r="H102" s="11" t="s">
        <v>20</v>
      </c>
      <c r="I102" s="13">
        <v>0</v>
      </c>
      <c r="J102" s="11" t="s">
        <v>9</v>
      </c>
      <c r="K102" s="11" t="s">
        <v>39</v>
      </c>
      <c r="L102" s="11" t="s">
        <v>39</v>
      </c>
      <c r="M102" s="14">
        <v>4</v>
      </c>
      <c r="N102" s="11" t="s">
        <v>21</v>
      </c>
      <c r="O102" s="12">
        <v>2</v>
      </c>
      <c r="P102" s="15">
        <v>13.433777777777777</v>
      </c>
      <c r="Q102" s="11" t="str">
        <f>EVALUATE_LOCATION(InputData[[#This Row],[Section]],InputData[[#This Row],[Forma de Pago]],InputData[[#This Row],[Ubic.Pretendida]],InputData[[#This Row],[Nro pag]])</f>
        <v xml:space="preserve"> </v>
      </c>
      <c r="R102" s="11">
        <f>ROUND(InputData[[#This Row],[AltoCm]],0)</f>
        <v>13</v>
      </c>
      <c r="S102" s="11" t="str">
        <f>InputData[[#This Row],[Col]]&amp;"x"&amp;IF(LEN(InputData[[#This Row],[Alto]])=2,InputData[[#This Row],[Alto]],"0"&amp;InputData[[#This Row],[Alto]])</f>
        <v>2x13</v>
      </c>
    </row>
    <row r="103" spans="1:19" x14ac:dyDescent="0.2">
      <c r="A103" s="11" t="s">
        <v>499</v>
      </c>
      <c r="B103" s="11" t="s">
        <v>512</v>
      </c>
      <c r="C103" s="11" t="s">
        <v>513</v>
      </c>
      <c r="D103" s="11" t="s">
        <v>514</v>
      </c>
      <c r="E103" s="11" t="s">
        <v>515</v>
      </c>
      <c r="F103" s="11" t="str">
        <f t="shared" si="3"/>
        <v>LUBRINOR</v>
      </c>
      <c r="G103" s="11" t="s">
        <v>36</v>
      </c>
      <c r="H103" s="11" t="s">
        <v>20</v>
      </c>
      <c r="I103" s="13">
        <v>0</v>
      </c>
      <c r="J103" s="11" t="s">
        <v>9</v>
      </c>
      <c r="K103" s="11" t="s">
        <v>39</v>
      </c>
      <c r="L103" s="11" t="s">
        <v>39</v>
      </c>
      <c r="M103" s="14">
        <v>4</v>
      </c>
      <c r="N103" s="11" t="s">
        <v>21</v>
      </c>
      <c r="O103" s="12">
        <v>3</v>
      </c>
      <c r="P103" s="15">
        <v>9.8777777777777782</v>
      </c>
      <c r="Q103" s="11" t="str">
        <f>EVALUATE_LOCATION(InputData[[#This Row],[Section]],InputData[[#This Row],[Forma de Pago]],InputData[[#This Row],[Ubic.Pretendida]],InputData[[#This Row],[Nro pag]])</f>
        <v xml:space="preserve"> </v>
      </c>
      <c r="R103" s="11">
        <f>ROUND(InputData[[#This Row],[AltoCm]],0)</f>
        <v>10</v>
      </c>
      <c r="S103" s="11" t="str">
        <f>InputData[[#This Row],[Col]]&amp;"x"&amp;IF(LEN(InputData[[#This Row],[Alto]])=2,InputData[[#This Row],[Alto]],"0"&amp;InputData[[#This Row],[Alto]])</f>
        <v>3x10</v>
      </c>
    </row>
    <row r="104" spans="1:19" x14ac:dyDescent="0.2">
      <c r="A104" s="11" t="s">
        <v>499</v>
      </c>
      <c r="B104" s="11" t="s">
        <v>516</v>
      </c>
      <c r="C104" s="11" t="s">
        <v>517</v>
      </c>
      <c r="D104" s="11" t="s">
        <v>518</v>
      </c>
      <c r="E104" s="11" t="s">
        <v>519</v>
      </c>
      <c r="F104" s="11" t="str">
        <f t="shared" si="3"/>
        <v>D.F.D REPUESTOS</v>
      </c>
      <c r="G104" s="11" t="s">
        <v>36</v>
      </c>
      <c r="H104" s="11" t="s">
        <v>20</v>
      </c>
      <c r="I104" s="13">
        <v>0</v>
      </c>
      <c r="J104" s="11" t="s">
        <v>9</v>
      </c>
      <c r="K104" s="11" t="s">
        <v>39</v>
      </c>
      <c r="L104" s="11" t="s">
        <v>39</v>
      </c>
      <c r="M104" s="14">
        <v>7</v>
      </c>
      <c r="N104" s="11" t="s">
        <v>21</v>
      </c>
      <c r="O104" s="12">
        <v>2</v>
      </c>
      <c r="P104" s="15">
        <v>6.3217777777777773</v>
      </c>
      <c r="Q104" s="11" t="str">
        <f>EVALUATE_LOCATION(InputData[[#This Row],[Section]],InputData[[#This Row],[Forma de Pago]],InputData[[#This Row],[Ubic.Pretendida]],InputData[[#This Row],[Nro pag]])</f>
        <v xml:space="preserve"> </v>
      </c>
      <c r="R104" s="11">
        <f>ROUND(InputData[[#This Row],[AltoCm]],0)</f>
        <v>6</v>
      </c>
      <c r="S104" s="11" t="str">
        <f>InputData[[#This Row],[Col]]&amp;"x"&amp;IF(LEN(InputData[[#This Row],[Alto]])=2,InputData[[#This Row],[Alto]],"0"&amp;InputData[[#This Row],[Alto]])</f>
        <v>2x06</v>
      </c>
    </row>
    <row r="105" spans="1:19" x14ac:dyDescent="0.2">
      <c r="A105" s="11" t="s">
        <v>499</v>
      </c>
      <c r="B105" s="11" t="s">
        <v>520</v>
      </c>
      <c r="C105" s="11" t="s">
        <v>354</v>
      </c>
      <c r="D105" s="11" t="s">
        <v>521</v>
      </c>
      <c r="E105" s="11" t="s">
        <v>522</v>
      </c>
      <c r="F105" s="11" t="str">
        <f t="shared" si="3"/>
        <v>Xtreme Neumáticos</v>
      </c>
      <c r="G105" s="11" t="s">
        <v>36</v>
      </c>
      <c r="H105" s="11" t="s">
        <v>20</v>
      </c>
      <c r="I105" s="13">
        <v>0</v>
      </c>
      <c r="J105" s="11" t="s">
        <v>9</v>
      </c>
      <c r="K105" s="11" t="s">
        <v>39</v>
      </c>
      <c r="L105" s="11" t="s">
        <v>39</v>
      </c>
      <c r="M105" s="14">
        <v>7</v>
      </c>
      <c r="N105" s="11" t="s">
        <v>21</v>
      </c>
      <c r="O105" s="12">
        <v>2</v>
      </c>
      <c r="P105" s="15">
        <v>6.3217777777777773</v>
      </c>
      <c r="Q105" s="11" t="str">
        <f>EVALUATE_LOCATION(InputData[[#This Row],[Section]],InputData[[#This Row],[Forma de Pago]],InputData[[#This Row],[Ubic.Pretendida]],InputData[[#This Row],[Nro pag]])</f>
        <v xml:space="preserve"> </v>
      </c>
      <c r="R105" s="11">
        <f>ROUND(InputData[[#This Row],[AltoCm]],0)</f>
        <v>6</v>
      </c>
      <c r="S105" s="11" t="str">
        <f>InputData[[#This Row],[Col]]&amp;"x"&amp;IF(LEN(InputData[[#This Row],[Alto]])=2,InputData[[#This Row],[Alto]],"0"&amp;InputData[[#This Row],[Alto]])</f>
        <v>2x06</v>
      </c>
    </row>
    <row r="106" spans="1:19" x14ac:dyDescent="0.2">
      <c r="A106" s="11" t="s">
        <v>499</v>
      </c>
      <c r="B106" s="11" t="s">
        <v>523</v>
      </c>
      <c r="C106" s="11" t="s">
        <v>524</v>
      </c>
      <c r="D106" s="11" t="s">
        <v>525</v>
      </c>
      <c r="E106" s="11" t="s">
        <v>526</v>
      </c>
      <c r="F106" s="11" t="str">
        <f t="shared" si="3"/>
        <v>El Lobito Repuestos</v>
      </c>
      <c r="G106" s="11" t="s">
        <v>36</v>
      </c>
      <c r="H106" s="11" t="s">
        <v>20</v>
      </c>
      <c r="I106" s="13">
        <v>0</v>
      </c>
      <c r="J106" s="11" t="s">
        <v>9</v>
      </c>
      <c r="K106" s="11" t="s">
        <v>39</v>
      </c>
      <c r="L106" s="11" t="s">
        <v>39</v>
      </c>
      <c r="M106" s="14">
        <v>6</v>
      </c>
      <c r="N106" s="11" t="s">
        <v>21</v>
      </c>
      <c r="O106" s="12">
        <v>2</v>
      </c>
      <c r="P106" s="15">
        <v>6.3217777777777773</v>
      </c>
      <c r="Q106" s="11" t="str">
        <f>EVALUATE_LOCATION(InputData[[#This Row],[Section]],InputData[[#This Row],[Forma de Pago]],InputData[[#This Row],[Ubic.Pretendida]],InputData[[#This Row],[Nro pag]])</f>
        <v xml:space="preserve"> </v>
      </c>
      <c r="R106" s="11">
        <f>ROUND(InputData[[#This Row],[AltoCm]],0)</f>
        <v>6</v>
      </c>
      <c r="S106" s="11" t="str">
        <f>InputData[[#This Row],[Col]]&amp;"x"&amp;IF(LEN(InputData[[#This Row],[Alto]])=2,InputData[[#This Row],[Alto]],"0"&amp;InputData[[#This Row],[Alto]])</f>
        <v>2x06</v>
      </c>
    </row>
    <row r="107" spans="1:19" x14ac:dyDescent="0.2">
      <c r="A107" s="11" t="s">
        <v>499</v>
      </c>
      <c r="B107" s="11" t="s">
        <v>527</v>
      </c>
      <c r="C107" s="11" t="s">
        <v>528</v>
      </c>
      <c r="D107" s="11" t="s">
        <v>529</v>
      </c>
      <c r="E107" s="11" t="s">
        <v>530</v>
      </c>
      <c r="F107" s="11" t="str">
        <f t="shared" si="3"/>
        <v>Neumatone</v>
      </c>
      <c r="G107" s="11" t="s">
        <v>36</v>
      </c>
      <c r="H107" s="11" t="s">
        <v>20</v>
      </c>
      <c r="I107" s="13">
        <v>0</v>
      </c>
      <c r="J107" s="11" t="s">
        <v>9</v>
      </c>
      <c r="K107" s="11" t="s">
        <v>39</v>
      </c>
      <c r="L107" s="11" t="s">
        <v>39</v>
      </c>
      <c r="M107" s="14">
        <v>3</v>
      </c>
      <c r="N107" s="11" t="s">
        <v>21</v>
      </c>
      <c r="O107" s="12">
        <v>3</v>
      </c>
      <c r="P107" s="15">
        <v>9.8777777777777782</v>
      </c>
      <c r="Q107" s="11" t="str">
        <f>EVALUATE_LOCATION(InputData[[#This Row],[Section]],InputData[[#This Row],[Forma de Pago]],InputData[[#This Row],[Ubic.Pretendida]],InputData[[#This Row],[Nro pag]])</f>
        <v xml:space="preserve"> </v>
      </c>
      <c r="R107" s="11">
        <f>ROUND(InputData[[#This Row],[AltoCm]],0)</f>
        <v>10</v>
      </c>
      <c r="S107" s="11" t="str">
        <f>InputData[[#This Row],[Col]]&amp;"x"&amp;IF(LEN(InputData[[#This Row],[Alto]])=2,InputData[[#This Row],[Alto]],"0"&amp;InputData[[#This Row],[Alto]])</f>
        <v>3x10</v>
      </c>
    </row>
    <row r="108" spans="1:19" x14ac:dyDescent="0.2">
      <c r="A108" s="11" t="s">
        <v>499</v>
      </c>
      <c r="B108" s="11" t="s">
        <v>531</v>
      </c>
      <c r="C108" s="11" t="s">
        <v>532</v>
      </c>
      <c r="D108" s="11" t="s">
        <v>533</v>
      </c>
      <c r="E108" s="11" t="s">
        <v>534</v>
      </c>
      <c r="F108" s="11" t="str">
        <f t="shared" si="3"/>
        <v>Motonoa</v>
      </c>
      <c r="G108" s="11" t="s">
        <v>36</v>
      </c>
      <c r="H108" s="11" t="s">
        <v>20</v>
      </c>
      <c r="I108" s="13">
        <v>0</v>
      </c>
      <c r="J108" s="11" t="s">
        <v>9</v>
      </c>
      <c r="K108" s="11" t="s">
        <v>39</v>
      </c>
      <c r="L108" s="11" t="s">
        <v>39</v>
      </c>
      <c r="M108" s="14">
        <v>4</v>
      </c>
      <c r="N108" s="11" t="s">
        <v>21</v>
      </c>
      <c r="O108" s="12">
        <v>3</v>
      </c>
      <c r="P108" s="15">
        <v>6.3217777777777773</v>
      </c>
      <c r="Q108" s="11" t="str">
        <f>EVALUATE_LOCATION(InputData[[#This Row],[Section]],InputData[[#This Row],[Forma de Pago]],InputData[[#This Row],[Ubic.Pretendida]],InputData[[#This Row],[Nro pag]])</f>
        <v xml:space="preserve"> </v>
      </c>
      <c r="R108" s="11">
        <f>ROUND(InputData[[#This Row],[AltoCm]],0)</f>
        <v>6</v>
      </c>
      <c r="S108" s="11" t="str">
        <f>InputData[[#This Row],[Col]]&amp;"x"&amp;IF(LEN(InputData[[#This Row],[Alto]])=2,InputData[[#This Row],[Alto]],"0"&amp;InputData[[#This Row],[Alto]])</f>
        <v>3x06</v>
      </c>
    </row>
    <row r="109" spans="1:19" x14ac:dyDescent="0.2">
      <c r="A109" s="11" t="s">
        <v>499</v>
      </c>
      <c r="B109" s="11" t="s">
        <v>535</v>
      </c>
      <c r="C109" s="11" t="s">
        <v>536</v>
      </c>
      <c r="D109" s="11" t="s">
        <v>537</v>
      </c>
      <c r="E109" s="11" t="s">
        <v>538</v>
      </c>
      <c r="F109" s="11" t="str">
        <f t="shared" si="3"/>
        <v>Toyojuy-Chevrojuy</v>
      </c>
      <c r="G109" s="11" t="s">
        <v>36</v>
      </c>
      <c r="H109" s="11" t="s">
        <v>20</v>
      </c>
      <c r="I109" s="13">
        <v>0</v>
      </c>
      <c r="J109" s="11" t="s">
        <v>9</v>
      </c>
      <c r="K109" s="11" t="s">
        <v>39</v>
      </c>
      <c r="L109" s="11" t="s">
        <v>39</v>
      </c>
      <c r="M109" s="14">
        <v>3</v>
      </c>
      <c r="N109" s="11" t="s">
        <v>21</v>
      </c>
      <c r="O109" s="12">
        <v>4</v>
      </c>
      <c r="P109" s="15">
        <v>6.3217777777777773</v>
      </c>
      <c r="Q109" s="11" t="str">
        <f>EVALUATE_LOCATION(InputData[[#This Row],[Section]],InputData[[#This Row],[Forma de Pago]],InputData[[#This Row],[Ubic.Pretendida]],InputData[[#This Row],[Nro pag]])</f>
        <v xml:space="preserve"> </v>
      </c>
      <c r="R109" s="11">
        <f>ROUND(InputData[[#This Row],[AltoCm]],0)</f>
        <v>6</v>
      </c>
      <c r="S109" s="11" t="str">
        <f>InputData[[#This Row],[Col]]&amp;"x"&amp;IF(LEN(InputData[[#This Row],[Alto]])=2,InputData[[#This Row],[Alto]],"0"&amp;InputData[[#This Row],[Alto]])</f>
        <v>4x06</v>
      </c>
    </row>
    <row r="110" spans="1:19" x14ac:dyDescent="0.2">
      <c r="A110" s="11" t="s">
        <v>499</v>
      </c>
      <c r="B110" s="11" t="s">
        <v>539</v>
      </c>
      <c r="C110" s="11" t="s">
        <v>540</v>
      </c>
      <c r="D110" s="11" t="s">
        <v>541</v>
      </c>
      <c r="E110" s="11" t="s">
        <v>542</v>
      </c>
      <c r="F110" s="11" t="str">
        <f t="shared" si="3"/>
        <v>Warnes Repuestos</v>
      </c>
      <c r="G110" s="11" t="s">
        <v>36</v>
      </c>
      <c r="H110" s="11" t="s">
        <v>20</v>
      </c>
      <c r="I110" s="13">
        <v>0</v>
      </c>
      <c r="J110" s="11" t="s">
        <v>9</v>
      </c>
      <c r="K110" s="11" t="s">
        <v>39</v>
      </c>
      <c r="L110" s="11" t="s">
        <v>39</v>
      </c>
      <c r="M110" s="14">
        <v>3</v>
      </c>
      <c r="N110" s="11" t="s">
        <v>21</v>
      </c>
      <c r="O110" s="12">
        <v>1</v>
      </c>
      <c r="P110" s="15">
        <v>16.989777777777778</v>
      </c>
      <c r="Q110" s="11" t="str">
        <f>EVALUATE_LOCATION(InputData[[#This Row],[Section]],InputData[[#This Row],[Forma de Pago]],InputData[[#This Row],[Ubic.Pretendida]],InputData[[#This Row],[Nro pag]])</f>
        <v xml:space="preserve"> </v>
      </c>
      <c r="R110" s="11">
        <f>ROUND(InputData[[#This Row],[AltoCm]],0)</f>
        <v>17</v>
      </c>
      <c r="S110" s="11" t="str">
        <f>InputData[[#This Row],[Col]]&amp;"x"&amp;IF(LEN(InputData[[#This Row],[Alto]])=2,InputData[[#This Row],[Alto]],"0"&amp;InputData[[#This Row],[Alto]])</f>
        <v>1x17</v>
      </c>
    </row>
    <row r="111" spans="1:19" x14ac:dyDescent="0.2">
      <c r="A111" s="11" t="s">
        <v>499</v>
      </c>
      <c r="B111" s="11" t="s">
        <v>543</v>
      </c>
      <c r="C111" s="11" t="s">
        <v>544</v>
      </c>
      <c r="D111" s="11" t="s">
        <v>545</v>
      </c>
      <c r="E111" s="11" t="s">
        <v>546</v>
      </c>
      <c r="F111" s="11" t="str">
        <f t="shared" si="3"/>
        <v>Ortega Automotores</v>
      </c>
      <c r="G111" s="11" t="s">
        <v>36</v>
      </c>
      <c r="H111" s="11" t="s">
        <v>20</v>
      </c>
      <c r="I111" s="13">
        <v>0</v>
      </c>
      <c r="J111" s="11" t="s">
        <v>9</v>
      </c>
      <c r="K111" s="11" t="s">
        <v>39</v>
      </c>
      <c r="L111" s="11" t="s">
        <v>39</v>
      </c>
      <c r="M111" s="14">
        <v>6</v>
      </c>
      <c r="N111" s="11" t="s">
        <v>21</v>
      </c>
      <c r="O111" s="12">
        <v>3</v>
      </c>
      <c r="P111" s="15">
        <v>13.433777777777777</v>
      </c>
      <c r="Q111" s="11" t="str">
        <f>EVALUATE_LOCATION(InputData[[#This Row],[Section]],InputData[[#This Row],[Forma de Pago]],InputData[[#This Row],[Ubic.Pretendida]],InputData[[#This Row],[Nro pag]])</f>
        <v xml:space="preserve"> </v>
      </c>
      <c r="R111" s="11">
        <f>ROUND(InputData[[#This Row],[AltoCm]],0)</f>
        <v>13</v>
      </c>
      <c r="S111" s="11" t="str">
        <f>InputData[[#This Row],[Col]]&amp;"x"&amp;IF(LEN(InputData[[#This Row],[Alto]])=2,InputData[[#This Row],[Alto]],"0"&amp;InputData[[#This Row],[Alto]])</f>
        <v>3x13</v>
      </c>
    </row>
    <row r="112" spans="1:19" x14ac:dyDescent="0.2">
      <c r="A112" s="11" t="s">
        <v>499</v>
      </c>
      <c r="B112" s="11" t="s">
        <v>547</v>
      </c>
      <c r="C112" s="11" t="s">
        <v>548</v>
      </c>
      <c r="D112" s="11" t="s">
        <v>549</v>
      </c>
      <c r="E112" s="11" t="s">
        <v>550</v>
      </c>
      <c r="F112" s="11" t="str">
        <f t="shared" si="3"/>
        <v>CAR PRO</v>
      </c>
      <c r="G112" s="11" t="s">
        <v>36</v>
      </c>
      <c r="H112" s="11" t="s">
        <v>20</v>
      </c>
      <c r="I112" s="13">
        <v>0</v>
      </c>
      <c r="J112" s="11" t="s">
        <v>9</v>
      </c>
      <c r="K112" s="11" t="s">
        <v>39</v>
      </c>
      <c r="L112" s="11" t="s">
        <v>39</v>
      </c>
      <c r="M112" s="14">
        <v>7</v>
      </c>
      <c r="N112" s="11" t="s">
        <v>21</v>
      </c>
      <c r="O112" s="12">
        <v>3</v>
      </c>
      <c r="P112" s="15">
        <v>9.8777777777777782</v>
      </c>
      <c r="Q112" s="11" t="str">
        <f>EVALUATE_LOCATION(InputData[[#This Row],[Section]],InputData[[#This Row],[Forma de Pago]],InputData[[#This Row],[Ubic.Pretendida]],InputData[[#This Row],[Nro pag]])</f>
        <v xml:space="preserve"> </v>
      </c>
      <c r="R112" s="11">
        <f>ROUND(InputData[[#This Row],[AltoCm]],0)</f>
        <v>10</v>
      </c>
      <c r="S112" s="11" t="str">
        <f>InputData[[#This Row],[Col]]&amp;"x"&amp;IF(LEN(InputData[[#This Row],[Alto]])=2,InputData[[#This Row],[Alto]],"0"&amp;InputData[[#This Row],[Alto]])</f>
        <v>3x10</v>
      </c>
    </row>
    <row r="113" spans="1:19" x14ac:dyDescent="0.2">
      <c r="A113" s="11" t="s">
        <v>499</v>
      </c>
      <c r="B113" s="11" t="s">
        <v>551</v>
      </c>
      <c r="C113" s="11" t="s">
        <v>552</v>
      </c>
      <c r="D113" s="11" t="s">
        <v>553</v>
      </c>
      <c r="E113" s="11" t="s">
        <v>554</v>
      </c>
      <c r="F113" s="11" t="str">
        <f t="shared" si="3"/>
        <v>INDECAR</v>
      </c>
      <c r="G113" s="11" t="s">
        <v>36</v>
      </c>
      <c r="H113" s="11" t="s">
        <v>20</v>
      </c>
      <c r="I113" s="13">
        <v>1936.8</v>
      </c>
      <c r="J113" s="11" t="s">
        <v>9</v>
      </c>
      <c r="K113" s="11" t="s">
        <v>39</v>
      </c>
      <c r="L113" s="11" t="s">
        <v>39</v>
      </c>
      <c r="M113" s="14">
        <v>5</v>
      </c>
      <c r="N113" s="11" t="s">
        <v>21</v>
      </c>
      <c r="O113" s="12">
        <v>5</v>
      </c>
      <c r="P113" s="15">
        <v>13.433777777777777</v>
      </c>
      <c r="Q113" s="11" t="str">
        <f>EVALUATE_LOCATION(InputData[[#This Row],[Section]],InputData[[#This Row],[Forma de Pago]],InputData[[#This Row],[Ubic.Pretendida]],InputData[[#This Row],[Nro pag]])</f>
        <v xml:space="preserve"> </v>
      </c>
      <c r="R113" s="11">
        <f>ROUND(InputData[[#This Row],[AltoCm]],0)</f>
        <v>13</v>
      </c>
      <c r="S113" s="11" t="str">
        <f>InputData[[#This Row],[Col]]&amp;"x"&amp;IF(LEN(InputData[[#This Row],[Alto]])=2,InputData[[#This Row],[Alto]],"0"&amp;InputData[[#This Row],[Alto]])</f>
        <v>5x13</v>
      </c>
    </row>
    <row r="114" spans="1:19" x14ac:dyDescent="0.2">
      <c r="A114" s="11" t="s">
        <v>499</v>
      </c>
      <c r="B114" s="11" t="s">
        <v>555</v>
      </c>
      <c r="C114" s="11" t="s">
        <v>556</v>
      </c>
      <c r="D114" s="11" t="s">
        <v>557</v>
      </c>
      <c r="E114" s="11" t="s">
        <v>558</v>
      </c>
      <c r="F114" s="11" t="str">
        <f t="shared" si="3"/>
        <v>MELLI AUTOMOTORES</v>
      </c>
      <c r="G114" s="11" t="s">
        <v>36</v>
      </c>
      <c r="H114" s="11" t="s">
        <v>20</v>
      </c>
      <c r="I114" s="13">
        <v>1936.8</v>
      </c>
      <c r="J114" s="11" t="s">
        <v>9</v>
      </c>
      <c r="K114" s="11" t="s">
        <v>39</v>
      </c>
      <c r="L114" s="11" t="s">
        <v>39</v>
      </c>
      <c r="M114" s="14">
        <v>2</v>
      </c>
      <c r="N114" s="11" t="s">
        <v>21</v>
      </c>
      <c r="O114" s="12">
        <v>5</v>
      </c>
      <c r="P114" s="15">
        <v>13.433777777777777</v>
      </c>
      <c r="Q114" s="11" t="str">
        <f>EVALUATE_LOCATION(InputData[[#This Row],[Section]],InputData[[#This Row],[Forma de Pago]],InputData[[#This Row],[Ubic.Pretendida]],InputData[[#This Row],[Nro pag]])</f>
        <v xml:space="preserve"> </v>
      </c>
      <c r="R114" s="11">
        <f>ROUND(InputData[[#This Row],[AltoCm]],0)</f>
        <v>13</v>
      </c>
      <c r="S114" s="11" t="str">
        <f>InputData[[#This Row],[Col]]&amp;"x"&amp;IF(LEN(InputData[[#This Row],[Alto]])=2,InputData[[#This Row],[Alto]],"0"&amp;InputData[[#This Row],[Alto]])</f>
        <v>5x13</v>
      </c>
    </row>
    <row r="115" spans="1:19" x14ac:dyDescent="0.2">
      <c r="A115" s="11" t="s">
        <v>126</v>
      </c>
      <c r="B115" s="11" t="s">
        <v>559</v>
      </c>
      <c r="C115" s="11" t="s">
        <v>123</v>
      </c>
      <c r="D115" s="11" t="s">
        <v>124</v>
      </c>
      <c r="E115" s="11" t="s">
        <v>125</v>
      </c>
      <c r="F115" s="11" t="str">
        <f t="shared" si="3"/>
        <v>CINE ALFA...</v>
      </c>
      <c r="G115" s="11" t="s">
        <v>36</v>
      </c>
      <c r="H115" s="11" t="s">
        <v>94</v>
      </c>
      <c r="I115" s="13">
        <v>3064.4</v>
      </c>
      <c r="J115" s="11" t="s">
        <v>9</v>
      </c>
      <c r="K115" s="11" t="s">
        <v>73</v>
      </c>
      <c r="L115" s="11" t="s">
        <v>73</v>
      </c>
      <c r="M115" s="14">
        <v>3</v>
      </c>
      <c r="N115" s="11" t="s">
        <v>21</v>
      </c>
      <c r="O115" s="12">
        <v>5</v>
      </c>
      <c r="P115" s="15">
        <v>13.433777777777777</v>
      </c>
      <c r="Q115" s="11" t="str">
        <f>EVALUATE_LOCATION(InputData[[#This Row],[Section]],InputData[[#This Row],[Forma de Pago]],InputData[[#This Row],[Ubic.Pretendida]],InputData[[#This Row],[Nro pag]])</f>
        <v xml:space="preserve"> </v>
      </c>
      <c r="R115" s="11">
        <f>ROUND(InputData[[#This Row],[AltoCm]],0)</f>
        <v>13</v>
      </c>
      <c r="S115" s="1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5"/>
  <sheetViews>
    <sheetView workbookViewId="0">
      <selection activeCell="B5" sqref="B5"/>
    </sheetView>
  </sheetViews>
  <sheetFormatPr baseColWidth="10" defaultRowHeight="12.75" x14ac:dyDescent="0.2"/>
  <cols>
    <col min="1" max="1" width="19.5703125" bestFit="1" customWidth="1"/>
    <col min="2" max="2" width="27.28515625" bestFit="1" customWidth="1"/>
    <col min="4" max="4" width="12.85546875" bestFit="1" customWidth="1"/>
  </cols>
  <sheetData>
    <row r="1" spans="1:4" ht="25.5" x14ac:dyDescent="0.2">
      <c r="A1" s="6" t="s">
        <v>297</v>
      </c>
      <c r="B1" s="6" t="s">
        <v>298</v>
      </c>
    </row>
    <row r="2" spans="1:4" ht="25.5" x14ac:dyDescent="0.2">
      <c r="A2" s="6" t="s">
        <v>299</v>
      </c>
      <c r="B2" s="7">
        <v>5375.04</v>
      </c>
      <c r="D2" s="9"/>
    </row>
    <row r="3" spans="1:4" ht="25.5" x14ac:dyDescent="0.2">
      <c r="A3" s="6" t="s">
        <v>300</v>
      </c>
      <c r="B3" s="7">
        <v>7274.48</v>
      </c>
    </row>
    <row r="4" spans="1:4" ht="25.5" x14ac:dyDescent="0.2">
      <c r="A4" s="6" t="s">
        <v>301</v>
      </c>
      <c r="B4" s="7"/>
    </row>
    <row r="5" spans="1:4" ht="25.5" x14ac:dyDescent="0.2">
      <c r="A5" s="6" t="s">
        <v>302</v>
      </c>
      <c r="B5" s="8">
        <f>SUBTOTAL(109,Tabla2[Monto])</f>
        <v>12649.52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77"/>
  <sheetViews>
    <sheetView showGridLines="0" showZeros="0" tabSelected="1" zoomScaleNormal="100" workbookViewId="0">
      <selection activeCell="L1" sqref="L1"/>
    </sheetView>
  </sheetViews>
  <sheetFormatPr baseColWidth="10" defaultColWidth="11.140625" defaultRowHeight="24.95" customHeight="1" x14ac:dyDescent="0.2"/>
  <cols>
    <col min="1" max="1" width="12.85546875" style="1" bestFit="1" customWidth="1"/>
    <col min="2" max="2" width="3.85546875" style="1" bestFit="1" customWidth="1"/>
    <col min="3" max="3" width="10.140625" style="1" bestFit="1" customWidth="1"/>
    <col min="4" max="4" width="11" style="1" customWidth="1"/>
    <col min="5" max="5" width="13" style="1" customWidth="1"/>
    <col min="6" max="6" width="5.5703125" style="1" customWidth="1"/>
    <col min="7" max="7" width="40.5703125" style="1" customWidth="1"/>
    <col min="8" max="8" width="6.7109375" style="1" bestFit="1" customWidth="1"/>
    <col min="9" max="9" width="16.7109375" style="1" bestFit="1" customWidth="1"/>
    <col min="10" max="10" width="15.85546875" style="1" bestFit="1" customWidth="1"/>
    <col min="11" max="11" width="14.7109375" style="1" bestFit="1" customWidth="1"/>
    <col min="12" max="12" width="5.140625" style="3" customWidth="1"/>
    <col min="13" max="16384" width="11.140625" style="1"/>
  </cols>
  <sheetData>
    <row r="1" spans="1:12" s="2" customFormat="1" ht="12.75" x14ac:dyDescent="0.2">
      <c r="A1" s="10" t="s">
        <v>0</v>
      </c>
      <c r="B1" s="10" t="s">
        <v>83</v>
      </c>
      <c r="C1" s="10" t="s">
        <v>53</v>
      </c>
      <c r="D1" s="10" t="s">
        <v>52</v>
      </c>
      <c r="E1" s="10" t="s">
        <v>84</v>
      </c>
      <c r="F1" s="10" t="s">
        <v>54</v>
      </c>
      <c r="G1" s="10" t="s">
        <v>5</v>
      </c>
      <c r="H1" s="10" t="s">
        <v>85</v>
      </c>
      <c r="I1" s="10" t="s">
        <v>55</v>
      </c>
      <c r="J1" s="10" t="s">
        <v>86</v>
      </c>
      <c r="K1" s="10" t="s">
        <v>1</v>
      </c>
      <c r="L1" s="16" t="s">
        <v>141</v>
      </c>
    </row>
    <row r="2" spans="1:12" ht="24.95" customHeight="1" x14ac:dyDescent="0.2">
      <c r="A2" s="19" t="s">
        <v>126</v>
      </c>
      <c r="B2" s="21">
        <v>3</v>
      </c>
      <c r="C2" s="21" t="s">
        <v>56</v>
      </c>
      <c r="D2" s="21" t="s">
        <v>73</v>
      </c>
      <c r="E2" s="21" t="s">
        <v>56</v>
      </c>
      <c r="F2" s="21" t="s">
        <v>127</v>
      </c>
      <c r="G2" s="21" t="s">
        <v>125</v>
      </c>
      <c r="H2" s="21" t="s">
        <v>9</v>
      </c>
      <c r="I2" s="21" t="s">
        <v>124</v>
      </c>
      <c r="J2" s="21" t="s">
        <v>94</v>
      </c>
      <c r="K2" s="21" t="s">
        <v>559</v>
      </c>
      <c r="L2" s="4">
        <v>1</v>
      </c>
    </row>
    <row r="3" spans="1:12" ht="12.75" x14ac:dyDescent="0.2">
      <c r="A3" s="18"/>
      <c r="B3" s="26" t="s">
        <v>293</v>
      </c>
      <c r="C3" s="22"/>
      <c r="D3" s="22"/>
      <c r="E3" s="22"/>
      <c r="F3" s="22"/>
      <c r="G3" s="22"/>
      <c r="H3" s="22"/>
      <c r="I3" s="22"/>
      <c r="J3" s="22"/>
      <c r="K3" s="22"/>
      <c r="L3" s="23">
        <v>1</v>
      </c>
    </row>
    <row r="4" spans="1:12" ht="24.95" customHeight="1" x14ac:dyDescent="0.2">
      <c r="A4" s="19" t="s">
        <v>499</v>
      </c>
      <c r="B4" s="21">
        <v>2</v>
      </c>
      <c r="C4" s="21" t="s">
        <v>56</v>
      </c>
      <c r="D4" s="21" t="s">
        <v>39</v>
      </c>
      <c r="E4" s="21" t="s">
        <v>56</v>
      </c>
      <c r="F4" s="21" t="s">
        <v>127</v>
      </c>
      <c r="G4" s="21" t="s">
        <v>558</v>
      </c>
      <c r="H4" s="21" t="s">
        <v>9</v>
      </c>
      <c r="I4" s="21" t="s">
        <v>557</v>
      </c>
      <c r="J4" s="21" t="s">
        <v>20</v>
      </c>
      <c r="K4" s="21" t="s">
        <v>555</v>
      </c>
      <c r="L4" s="4">
        <v>1</v>
      </c>
    </row>
    <row r="5" spans="1:12" ht="12.75" x14ac:dyDescent="0.2">
      <c r="A5" s="18"/>
      <c r="B5" s="26" t="s">
        <v>292</v>
      </c>
      <c r="C5" s="22"/>
      <c r="D5" s="22"/>
      <c r="E5" s="22"/>
      <c r="F5" s="22"/>
      <c r="G5" s="22"/>
      <c r="H5" s="22"/>
      <c r="I5" s="22"/>
      <c r="J5" s="22"/>
      <c r="K5" s="22"/>
      <c r="L5" s="23">
        <v>1</v>
      </c>
    </row>
    <row r="6" spans="1:12" ht="24.95" customHeight="1" x14ac:dyDescent="0.2">
      <c r="A6" s="18"/>
      <c r="B6" s="19">
        <v>3</v>
      </c>
      <c r="C6" s="19" t="s">
        <v>56</v>
      </c>
      <c r="D6" s="19" t="s">
        <v>39</v>
      </c>
      <c r="E6" s="19" t="s">
        <v>56</v>
      </c>
      <c r="F6" s="21" t="s">
        <v>561</v>
      </c>
      <c r="G6" s="21" t="s">
        <v>542</v>
      </c>
      <c r="H6" s="19" t="s">
        <v>9</v>
      </c>
      <c r="I6" s="21" t="s">
        <v>541</v>
      </c>
      <c r="J6" s="19" t="s">
        <v>20</v>
      </c>
      <c r="K6" s="21" t="s">
        <v>539</v>
      </c>
      <c r="L6" s="4">
        <v>1</v>
      </c>
    </row>
    <row r="7" spans="1:12" ht="24.95" customHeight="1" x14ac:dyDescent="0.2">
      <c r="A7" s="18"/>
      <c r="B7" s="18"/>
      <c r="C7" s="18" t="s">
        <v>56</v>
      </c>
      <c r="D7" s="18"/>
      <c r="E7" s="18" t="s">
        <v>56</v>
      </c>
      <c r="F7" s="21" t="s">
        <v>142</v>
      </c>
      <c r="G7" s="21" t="s">
        <v>530</v>
      </c>
      <c r="H7" s="17" t="s">
        <v>9</v>
      </c>
      <c r="I7" s="21" t="s">
        <v>529</v>
      </c>
      <c r="J7" s="17" t="s">
        <v>20</v>
      </c>
      <c r="K7" s="21" t="s">
        <v>527</v>
      </c>
      <c r="L7" s="4">
        <v>1</v>
      </c>
    </row>
    <row r="8" spans="1:12" ht="24.95" customHeight="1" x14ac:dyDescent="0.2">
      <c r="A8" s="18"/>
      <c r="B8" s="18"/>
      <c r="C8" s="18" t="s">
        <v>56</v>
      </c>
      <c r="D8" s="18"/>
      <c r="E8" s="18" t="s">
        <v>56</v>
      </c>
      <c r="F8" s="21" t="s">
        <v>560</v>
      </c>
      <c r="G8" s="21" t="s">
        <v>538</v>
      </c>
      <c r="H8" s="17" t="s">
        <v>9</v>
      </c>
      <c r="I8" s="21" t="s">
        <v>537</v>
      </c>
      <c r="J8" s="17" t="s">
        <v>20</v>
      </c>
      <c r="K8" s="21" t="s">
        <v>535</v>
      </c>
      <c r="L8" s="4">
        <v>1</v>
      </c>
    </row>
    <row r="9" spans="1:12" ht="12.75" x14ac:dyDescent="0.2">
      <c r="A9" s="18"/>
      <c r="B9" s="26" t="s">
        <v>293</v>
      </c>
      <c r="C9" s="22"/>
      <c r="D9" s="22"/>
      <c r="E9" s="22"/>
      <c r="F9" s="22"/>
      <c r="G9" s="22"/>
      <c r="H9" s="22"/>
      <c r="I9" s="22"/>
      <c r="J9" s="22"/>
      <c r="K9" s="22"/>
      <c r="L9" s="23">
        <v>3</v>
      </c>
    </row>
    <row r="10" spans="1:12" ht="24.95" customHeight="1" x14ac:dyDescent="0.2">
      <c r="A10" s="18"/>
      <c r="B10" s="19">
        <v>4</v>
      </c>
      <c r="C10" s="19" t="s">
        <v>56</v>
      </c>
      <c r="D10" s="19" t="s">
        <v>39</v>
      </c>
      <c r="E10" s="19" t="s">
        <v>56</v>
      </c>
      <c r="F10" s="21" t="s">
        <v>563</v>
      </c>
      <c r="G10" s="21" t="s">
        <v>511</v>
      </c>
      <c r="H10" s="19" t="s">
        <v>9</v>
      </c>
      <c r="I10" s="21" t="s">
        <v>510</v>
      </c>
      <c r="J10" s="19" t="s">
        <v>20</v>
      </c>
      <c r="K10" s="21" t="s">
        <v>508</v>
      </c>
      <c r="L10" s="4">
        <v>1</v>
      </c>
    </row>
    <row r="11" spans="1:12" ht="24.95" customHeight="1" x14ac:dyDescent="0.2">
      <c r="A11" s="18"/>
      <c r="B11" s="18"/>
      <c r="C11" s="18" t="s">
        <v>56</v>
      </c>
      <c r="D11" s="18"/>
      <c r="E11" s="18" t="s">
        <v>56</v>
      </c>
      <c r="F11" s="21" t="s">
        <v>562</v>
      </c>
      <c r="G11" s="21" t="s">
        <v>534</v>
      </c>
      <c r="H11" s="17" t="s">
        <v>9</v>
      </c>
      <c r="I11" s="21" t="s">
        <v>533</v>
      </c>
      <c r="J11" s="17" t="s">
        <v>20</v>
      </c>
      <c r="K11" s="21" t="s">
        <v>531</v>
      </c>
      <c r="L11" s="4">
        <v>1</v>
      </c>
    </row>
    <row r="12" spans="1:12" ht="24.95" customHeight="1" x14ac:dyDescent="0.2">
      <c r="A12" s="18"/>
      <c r="B12" s="18"/>
      <c r="C12" s="18" t="s">
        <v>56</v>
      </c>
      <c r="D12" s="18"/>
      <c r="E12" s="18" t="s">
        <v>56</v>
      </c>
      <c r="F12" s="21" t="s">
        <v>142</v>
      </c>
      <c r="G12" s="21" t="s">
        <v>515</v>
      </c>
      <c r="H12" s="17" t="s">
        <v>9</v>
      </c>
      <c r="I12" s="21" t="s">
        <v>514</v>
      </c>
      <c r="J12" s="17" t="s">
        <v>20</v>
      </c>
      <c r="K12" s="21" t="s">
        <v>512</v>
      </c>
      <c r="L12" s="4">
        <v>1</v>
      </c>
    </row>
    <row r="13" spans="1:12" ht="12.75" x14ac:dyDescent="0.2">
      <c r="A13" s="18"/>
      <c r="B13" s="26" t="s">
        <v>294</v>
      </c>
      <c r="C13" s="22"/>
      <c r="D13" s="22"/>
      <c r="E13" s="22"/>
      <c r="F13" s="22"/>
      <c r="G13" s="22"/>
      <c r="H13" s="22"/>
      <c r="I13" s="22"/>
      <c r="J13" s="22"/>
      <c r="K13" s="22"/>
      <c r="L13" s="23">
        <v>3</v>
      </c>
    </row>
    <row r="14" spans="1:12" ht="24.95" customHeight="1" x14ac:dyDescent="0.2">
      <c r="A14" s="18"/>
      <c r="B14" s="21">
        <v>5</v>
      </c>
      <c r="C14" s="21" t="s">
        <v>56</v>
      </c>
      <c r="D14" s="21" t="s">
        <v>39</v>
      </c>
      <c r="E14" s="21" t="s">
        <v>56</v>
      </c>
      <c r="F14" s="21" t="s">
        <v>127</v>
      </c>
      <c r="G14" s="21" t="s">
        <v>554</v>
      </c>
      <c r="H14" s="21" t="s">
        <v>9</v>
      </c>
      <c r="I14" s="21" t="s">
        <v>553</v>
      </c>
      <c r="J14" s="21" t="s">
        <v>20</v>
      </c>
      <c r="K14" s="21" t="s">
        <v>551</v>
      </c>
      <c r="L14" s="4">
        <v>1</v>
      </c>
    </row>
    <row r="15" spans="1:12" ht="12.75" x14ac:dyDescent="0.2">
      <c r="A15" s="18"/>
      <c r="B15" s="26" t="s">
        <v>271</v>
      </c>
      <c r="C15" s="22"/>
      <c r="D15" s="22"/>
      <c r="E15" s="22"/>
      <c r="F15" s="22"/>
      <c r="G15" s="22"/>
      <c r="H15" s="22"/>
      <c r="I15" s="22"/>
      <c r="J15" s="22"/>
      <c r="K15" s="22"/>
      <c r="L15" s="23">
        <v>1</v>
      </c>
    </row>
    <row r="16" spans="1:12" ht="24.95" customHeight="1" x14ac:dyDescent="0.2">
      <c r="A16" s="18"/>
      <c r="B16" s="19">
        <v>6</v>
      </c>
      <c r="C16" s="19" t="s">
        <v>56</v>
      </c>
      <c r="D16" s="19" t="s">
        <v>39</v>
      </c>
      <c r="E16" s="19" t="s">
        <v>56</v>
      </c>
      <c r="F16" s="19" t="s">
        <v>224</v>
      </c>
      <c r="G16" s="21" t="s">
        <v>526</v>
      </c>
      <c r="H16" s="19" t="s">
        <v>9</v>
      </c>
      <c r="I16" s="21" t="s">
        <v>525</v>
      </c>
      <c r="J16" s="19" t="s">
        <v>20</v>
      </c>
      <c r="K16" s="21" t="s">
        <v>523</v>
      </c>
      <c r="L16" s="4">
        <v>1</v>
      </c>
    </row>
    <row r="17" spans="1:12" ht="24.95" customHeight="1" x14ac:dyDescent="0.2">
      <c r="A17" s="18"/>
      <c r="B17" s="18"/>
      <c r="C17" s="18" t="s">
        <v>56</v>
      </c>
      <c r="D17" s="18"/>
      <c r="E17" s="18" t="s">
        <v>56</v>
      </c>
      <c r="F17" s="18"/>
      <c r="G17" s="21" t="s">
        <v>507</v>
      </c>
      <c r="H17" s="17" t="s">
        <v>9</v>
      </c>
      <c r="I17" s="21" t="s">
        <v>506</v>
      </c>
      <c r="J17" s="17" t="s">
        <v>20</v>
      </c>
      <c r="K17" s="21" t="s">
        <v>504</v>
      </c>
      <c r="L17" s="4">
        <v>1</v>
      </c>
    </row>
    <row r="18" spans="1:12" ht="24.95" customHeight="1" x14ac:dyDescent="0.2">
      <c r="A18" s="18"/>
      <c r="B18" s="18"/>
      <c r="C18" s="18" t="s">
        <v>56</v>
      </c>
      <c r="D18" s="18"/>
      <c r="E18" s="18" t="s">
        <v>56</v>
      </c>
      <c r="F18" s="21" t="s">
        <v>404</v>
      </c>
      <c r="G18" s="21" t="s">
        <v>546</v>
      </c>
      <c r="H18" s="17" t="s">
        <v>9</v>
      </c>
      <c r="I18" s="21" t="s">
        <v>545</v>
      </c>
      <c r="J18" s="17" t="s">
        <v>20</v>
      </c>
      <c r="K18" s="21" t="s">
        <v>543</v>
      </c>
      <c r="L18" s="4">
        <v>1</v>
      </c>
    </row>
    <row r="19" spans="1:12" ht="12.75" x14ac:dyDescent="0.2">
      <c r="A19" s="18"/>
      <c r="B19" s="26" t="s">
        <v>375</v>
      </c>
      <c r="C19" s="22"/>
      <c r="D19" s="22"/>
      <c r="E19" s="22"/>
      <c r="F19" s="22"/>
      <c r="G19" s="22"/>
      <c r="H19" s="22"/>
      <c r="I19" s="22"/>
      <c r="J19" s="22"/>
      <c r="K19" s="22"/>
      <c r="L19" s="23">
        <v>3</v>
      </c>
    </row>
    <row r="20" spans="1:12" ht="24.95" customHeight="1" x14ac:dyDescent="0.2">
      <c r="A20" s="18"/>
      <c r="B20" s="19">
        <v>7</v>
      </c>
      <c r="C20" s="19" t="s">
        <v>56</v>
      </c>
      <c r="D20" s="19" t="s">
        <v>39</v>
      </c>
      <c r="E20" s="19" t="s">
        <v>56</v>
      </c>
      <c r="F20" s="19" t="s">
        <v>224</v>
      </c>
      <c r="G20" s="21" t="s">
        <v>522</v>
      </c>
      <c r="H20" s="19" t="s">
        <v>9</v>
      </c>
      <c r="I20" s="21" t="s">
        <v>521</v>
      </c>
      <c r="J20" s="19" t="s">
        <v>20</v>
      </c>
      <c r="K20" s="21" t="s">
        <v>520</v>
      </c>
      <c r="L20" s="4">
        <v>1</v>
      </c>
    </row>
    <row r="21" spans="1:12" ht="24.95" customHeight="1" x14ac:dyDescent="0.2">
      <c r="A21" s="18"/>
      <c r="B21" s="18"/>
      <c r="C21" s="18" t="s">
        <v>56</v>
      </c>
      <c r="D21" s="18"/>
      <c r="E21" s="18" t="s">
        <v>56</v>
      </c>
      <c r="F21" s="18"/>
      <c r="G21" s="21" t="s">
        <v>519</v>
      </c>
      <c r="H21" s="17" t="s">
        <v>9</v>
      </c>
      <c r="I21" s="21" t="s">
        <v>518</v>
      </c>
      <c r="J21" s="17" t="s">
        <v>20</v>
      </c>
      <c r="K21" s="21" t="s">
        <v>516</v>
      </c>
      <c r="L21" s="4">
        <v>1</v>
      </c>
    </row>
    <row r="22" spans="1:12" ht="24.95" customHeight="1" x14ac:dyDescent="0.2">
      <c r="A22" s="18"/>
      <c r="B22" s="18"/>
      <c r="C22" s="18" t="s">
        <v>56</v>
      </c>
      <c r="D22" s="18"/>
      <c r="E22" s="18" t="s">
        <v>56</v>
      </c>
      <c r="F22" s="19" t="s">
        <v>142</v>
      </c>
      <c r="G22" s="21" t="s">
        <v>550</v>
      </c>
      <c r="H22" s="17" t="s">
        <v>9</v>
      </c>
      <c r="I22" s="21" t="s">
        <v>549</v>
      </c>
      <c r="J22" s="17" t="s">
        <v>20</v>
      </c>
      <c r="K22" s="21" t="s">
        <v>547</v>
      </c>
      <c r="L22" s="4">
        <v>1</v>
      </c>
    </row>
    <row r="23" spans="1:12" ht="24.95" customHeight="1" x14ac:dyDescent="0.2">
      <c r="A23" s="18"/>
      <c r="B23" s="18"/>
      <c r="C23" s="18" t="s">
        <v>56</v>
      </c>
      <c r="D23" s="18"/>
      <c r="E23" s="18" t="s">
        <v>56</v>
      </c>
      <c r="F23" s="18"/>
      <c r="G23" s="21" t="s">
        <v>503</v>
      </c>
      <c r="H23" s="17" t="s">
        <v>9</v>
      </c>
      <c r="I23" s="21" t="s">
        <v>502</v>
      </c>
      <c r="J23" s="17" t="s">
        <v>20</v>
      </c>
      <c r="K23" s="21" t="s">
        <v>500</v>
      </c>
      <c r="L23" s="4">
        <v>1</v>
      </c>
    </row>
    <row r="24" spans="1:12" ht="12.75" x14ac:dyDescent="0.2">
      <c r="A24" s="18"/>
      <c r="B24" s="26" t="s">
        <v>376</v>
      </c>
      <c r="C24" s="22"/>
      <c r="D24" s="22"/>
      <c r="E24" s="22"/>
      <c r="F24" s="22"/>
      <c r="G24" s="22"/>
      <c r="H24" s="22"/>
      <c r="I24" s="22"/>
      <c r="J24" s="22"/>
      <c r="K24" s="22"/>
      <c r="L24" s="23">
        <v>4</v>
      </c>
    </row>
    <row r="25" spans="1:12" ht="24.95" customHeight="1" x14ac:dyDescent="0.2">
      <c r="A25" s="19" t="s">
        <v>244</v>
      </c>
      <c r="B25" s="19">
        <v>0</v>
      </c>
      <c r="C25" s="19" t="s">
        <v>56</v>
      </c>
      <c r="D25" s="19" t="s">
        <v>246</v>
      </c>
      <c r="E25" s="19" t="s">
        <v>56</v>
      </c>
      <c r="F25" s="21" t="s">
        <v>65</v>
      </c>
      <c r="G25" s="21" t="s">
        <v>572</v>
      </c>
      <c r="H25" s="21" t="s">
        <v>9</v>
      </c>
      <c r="I25" s="21" t="s">
        <v>56</v>
      </c>
      <c r="J25" s="21" t="s">
        <v>23</v>
      </c>
      <c r="K25" s="21" t="s">
        <v>487</v>
      </c>
      <c r="L25" s="4">
        <v>1</v>
      </c>
    </row>
    <row r="26" spans="1:12" ht="24.95" customHeight="1" x14ac:dyDescent="0.2">
      <c r="A26" s="18"/>
      <c r="B26" s="18"/>
      <c r="C26" s="18" t="s">
        <v>56</v>
      </c>
      <c r="D26" s="18"/>
      <c r="E26" s="18" t="s">
        <v>56</v>
      </c>
      <c r="F26" s="21" t="s">
        <v>111</v>
      </c>
      <c r="G26" s="21" t="s">
        <v>573</v>
      </c>
      <c r="H26" s="21" t="s">
        <v>91</v>
      </c>
      <c r="I26" s="21" t="s">
        <v>497</v>
      </c>
      <c r="J26" s="21" t="s">
        <v>20</v>
      </c>
      <c r="K26" s="21" t="s">
        <v>496</v>
      </c>
      <c r="L26" s="4">
        <v>1</v>
      </c>
    </row>
    <row r="27" spans="1:12" ht="24.95" customHeight="1" x14ac:dyDescent="0.2">
      <c r="A27" s="18"/>
      <c r="B27" s="18"/>
      <c r="C27" s="18" t="s">
        <v>56</v>
      </c>
      <c r="D27" s="18"/>
      <c r="E27" s="18" t="s">
        <v>56</v>
      </c>
      <c r="F27" s="19" t="s">
        <v>224</v>
      </c>
      <c r="G27" s="21" t="s">
        <v>574</v>
      </c>
      <c r="H27" s="19" t="s">
        <v>9</v>
      </c>
      <c r="I27" s="19" t="s">
        <v>56</v>
      </c>
      <c r="J27" s="19" t="s">
        <v>23</v>
      </c>
      <c r="K27" s="21" t="s">
        <v>490</v>
      </c>
      <c r="L27" s="4">
        <v>1</v>
      </c>
    </row>
    <row r="28" spans="1:12" ht="24.95" customHeight="1" x14ac:dyDescent="0.2">
      <c r="A28" s="18"/>
      <c r="B28" s="18"/>
      <c r="C28" s="18" t="s">
        <v>56</v>
      </c>
      <c r="D28" s="18"/>
      <c r="E28" s="18" t="s">
        <v>56</v>
      </c>
      <c r="F28" s="18"/>
      <c r="G28" s="21" t="s">
        <v>575</v>
      </c>
      <c r="H28" s="17" t="s">
        <v>9</v>
      </c>
      <c r="I28" s="17" t="s">
        <v>56</v>
      </c>
      <c r="J28" s="17" t="s">
        <v>23</v>
      </c>
      <c r="K28" s="21" t="s">
        <v>493</v>
      </c>
      <c r="L28" s="4">
        <v>1</v>
      </c>
    </row>
    <row r="29" spans="1:12" ht="12.75" x14ac:dyDescent="0.2">
      <c r="A29" s="18"/>
      <c r="B29" s="26" t="s">
        <v>87</v>
      </c>
      <c r="C29" s="22"/>
      <c r="D29" s="22"/>
      <c r="E29" s="22"/>
      <c r="F29" s="22"/>
      <c r="G29" s="22"/>
      <c r="H29" s="22"/>
      <c r="I29" s="22"/>
      <c r="J29" s="22"/>
      <c r="K29" s="22"/>
      <c r="L29" s="23">
        <v>4</v>
      </c>
    </row>
    <row r="30" spans="1:12" ht="24.95" customHeight="1" x14ac:dyDescent="0.2">
      <c r="A30" s="19" t="s">
        <v>46</v>
      </c>
      <c r="B30" s="19">
        <v>0</v>
      </c>
      <c r="C30" s="19" t="s">
        <v>56</v>
      </c>
      <c r="D30" s="19" t="s">
        <v>49</v>
      </c>
      <c r="E30" s="19" t="s">
        <v>56</v>
      </c>
      <c r="F30" s="19" t="s">
        <v>59</v>
      </c>
      <c r="G30" s="21" t="s">
        <v>221</v>
      </c>
      <c r="H30" s="19" t="s">
        <v>91</v>
      </c>
      <c r="I30" s="19" t="s">
        <v>56</v>
      </c>
      <c r="J30" s="19" t="s">
        <v>23</v>
      </c>
      <c r="K30" s="21" t="s">
        <v>217</v>
      </c>
      <c r="L30" s="4">
        <v>1</v>
      </c>
    </row>
    <row r="31" spans="1:12" ht="24.95" customHeight="1" x14ac:dyDescent="0.2">
      <c r="A31" s="18"/>
      <c r="B31" s="18"/>
      <c r="C31" s="18" t="s">
        <v>56</v>
      </c>
      <c r="D31" s="18"/>
      <c r="E31" s="18" t="s">
        <v>56</v>
      </c>
      <c r="F31" s="18"/>
      <c r="G31" s="21" t="s">
        <v>260</v>
      </c>
      <c r="H31" s="17" t="s">
        <v>91</v>
      </c>
      <c r="I31" s="17" t="s">
        <v>56</v>
      </c>
      <c r="J31" s="17" t="s">
        <v>23</v>
      </c>
      <c r="K31" s="21" t="s">
        <v>257</v>
      </c>
      <c r="L31" s="4">
        <v>1</v>
      </c>
    </row>
    <row r="32" spans="1:12" ht="24.95" customHeight="1" x14ac:dyDescent="0.2">
      <c r="A32" s="18"/>
      <c r="B32" s="18"/>
      <c r="C32" s="18" t="s">
        <v>56</v>
      </c>
      <c r="D32" s="18"/>
      <c r="E32" s="18" t="s">
        <v>56</v>
      </c>
      <c r="F32" s="21" t="s">
        <v>60</v>
      </c>
      <c r="G32" s="21" t="s">
        <v>206</v>
      </c>
      <c r="H32" s="17" t="s">
        <v>91</v>
      </c>
      <c r="I32" s="17" t="s">
        <v>56</v>
      </c>
      <c r="J32" s="17" t="s">
        <v>23</v>
      </c>
      <c r="K32" s="21" t="s">
        <v>201</v>
      </c>
      <c r="L32" s="4">
        <v>1</v>
      </c>
    </row>
    <row r="33" spans="1:12" ht="24.95" customHeight="1" x14ac:dyDescent="0.2">
      <c r="A33" s="18"/>
      <c r="B33" s="18"/>
      <c r="C33" s="18" t="s">
        <v>56</v>
      </c>
      <c r="D33" s="18"/>
      <c r="E33" s="18" t="s">
        <v>56</v>
      </c>
      <c r="F33" s="19" t="s">
        <v>99</v>
      </c>
      <c r="G33" s="21" t="s">
        <v>238</v>
      </c>
      <c r="H33" s="17" t="s">
        <v>91</v>
      </c>
      <c r="I33" s="17" t="s">
        <v>56</v>
      </c>
      <c r="J33" s="17" t="s">
        <v>23</v>
      </c>
      <c r="K33" s="21" t="s">
        <v>235</v>
      </c>
      <c r="L33" s="4">
        <v>1</v>
      </c>
    </row>
    <row r="34" spans="1:12" ht="24.95" customHeight="1" x14ac:dyDescent="0.2">
      <c r="A34" s="18"/>
      <c r="B34" s="18"/>
      <c r="C34" s="18" t="s">
        <v>56</v>
      </c>
      <c r="D34" s="18"/>
      <c r="E34" s="18" t="s">
        <v>56</v>
      </c>
      <c r="F34" s="18"/>
      <c r="G34" s="21" t="s">
        <v>233</v>
      </c>
      <c r="H34" s="17" t="s">
        <v>91</v>
      </c>
      <c r="I34" s="17" t="s">
        <v>56</v>
      </c>
      <c r="J34" s="17" t="s">
        <v>23</v>
      </c>
      <c r="K34" s="21" t="s">
        <v>231</v>
      </c>
      <c r="L34" s="4">
        <v>1</v>
      </c>
    </row>
    <row r="35" spans="1:12" ht="24.95" customHeight="1" x14ac:dyDescent="0.2">
      <c r="A35" s="18"/>
      <c r="B35" s="18"/>
      <c r="C35" s="18" t="s">
        <v>56</v>
      </c>
      <c r="D35" s="18"/>
      <c r="E35" s="18" t="s">
        <v>56</v>
      </c>
      <c r="F35" s="21" t="s">
        <v>95</v>
      </c>
      <c r="G35" s="21" t="s">
        <v>185</v>
      </c>
      <c r="H35" s="17" t="s">
        <v>91</v>
      </c>
      <c r="I35" s="17" t="s">
        <v>56</v>
      </c>
      <c r="J35" s="17" t="s">
        <v>23</v>
      </c>
      <c r="K35" s="21" t="s">
        <v>182</v>
      </c>
      <c r="L35" s="4">
        <v>1</v>
      </c>
    </row>
    <row r="36" spans="1:12" ht="24.95" customHeight="1" x14ac:dyDescent="0.2">
      <c r="A36" s="18"/>
      <c r="B36" s="18"/>
      <c r="C36" s="18" t="s">
        <v>56</v>
      </c>
      <c r="D36" s="21" t="s">
        <v>265</v>
      </c>
      <c r="E36" s="17" t="s">
        <v>56</v>
      </c>
      <c r="F36" s="21" t="s">
        <v>59</v>
      </c>
      <c r="G36" s="21" t="s">
        <v>266</v>
      </c>
      <c r="H36" s="17" t="s">
        <v>91</v>
      </c>
      <c r="I36" s="17" t="s">
        <v>56</v>
      </c>
      <c r="J36" s="17" t="s">
        <v>23</v>
      </c>
      <c r="K36" s="21" t="s">
        <v>262</v>
      </c>
      <c r="L36" s="4">
        <v>1</v>
      </c>
    </row>
    <row r="37" spans="1:12" ht="24.95" customHeight="1" x14ac:dyDescent="0.2">
      <c r="A37" s="18"/>
      <c r="B37" s="18"/>
      <c r="C37" s="18" t="s">
        <v>56</v>
      </c>
      <c r="D37" s="21" t="s">
        <v>102</v>
      </c>
      <c r="E37" s="17" t="s">
        <v>56</v>
      </c>
      <c r="F37" s="21" t="s">
        <v>82</v>
      </c>
      <c r="G37" s="21" t="s">
        <v>81</v>
      </c>
      <c r="H37" s="17" t="s">
        <v>91</v>
      </c>
      <c r="I37" s="21" t="s">
        <v>181</v>
      </c>
      <c r="J37" s="21" t="s">
        <v>20</v>
      </c>
      <c r="K37" s="21" t="s">
        <v>180</v>
      </c>
      <c r="L37" s="4">
        <v>1</v>
      </c>
    </row>
    <row r="38" spans="1:12" ht="24.95" customHeight="1" x14ac:dyDescent="0.2">
      <c r="A38" s="18"/>
      <c r="B38" s="18"/>
      <c r="C38" s="18" t="s">
        <v>56</v>
      </c>
      <c r="D38" s="21" t="s">
        <v>48</v>
      </c>
      <c r="E38" s="17" t="s">
        <v>56</v>
      </c>
      <c r="F38" s="19" t="s">
        <v>60</v>
      </c>
      <c r="G38" s="21" t="s">
        <v>131</v>
      </c>
      <c r="H38" s="17" t="s">
        <v>91</v>
      </c>
      <c r="I38" s="19" t="s">
        <v>56</v>
      </c>
      <c r="J38" s="19" t="s">
        <v>23</v>
      </c>
      <c r="K38" s="21" t="s">
        <v>120</v>
      </c>
      <c r="L38" s="4">
        <v>1</v>
      </c>
    </row>
    <row r="39" spans="1:12" ht="24.95" customHeight="1" x14ac:dyDescent="0.2">
      <c r="A39" s="18"/>
      <c r="B39" s="18"/>
      <c r="C39" s="18" t="s">
        <v>56</v>
      </c>
      <c r="D39" s="21" t="s">
        <v>104</v>
      </c>
      <c r="E39" s="17" t="s">
        <v>56</v>
      </c>
      <c r="F39" s="17" t="s">
        <v>60</v>
      </c>
      <c r="G39" s="21" t="s">
        <v>132</v>
      </c>
      <c r="H39" s="17" t="s">
        <v>91</v>
      </c>
      <c r="I39" s="17" t="s">
        <v>56</v>
      </c>
      <c r="J39" s="17" t="s">
        <v>23</v>
      </c>
      <c r="K39" s="21" t="s">
        <v>107</v>
      </c>
      <c r="L39" s="4">
        <v>1</v>
      </c>
    </row>
    <row r="40" spans="1:12" ht="24.95" customHeight="1" x14ac:dyDescent="0.2">
      <c r="A40" s="18"/>
      <c r="B40" s="18"/>
      <c r="C40" s="18" t="s">
        <v>56</v>
      </c>
      <c r="D40" s="19" t="s">
        <v>370</v>
      </c>
      <c r="E40" s="17" t="s">
        <v>56</v>
      </c>
      <c r="F40" s="21" t="s">
        <v>59</v>
      </c>
      <c r="G40" s="21" t="s">
        <v>381</v>
      </c>
      <c r="H40" s="17" t="s">
        <v>91</v>
      </c>
      <c r="I40" s="17" t="s">
        <v>56</v>
      </c>
      <c r="J40" s="17" t="s">
        <v>23</v>
      </c>
      <c r="K40" s="21" t="s">
        <v>367</v>
      </c>
      <c r="L40" s="4">
        <v>1</v>
      </c>
    </row>
    <row r="41" spans="1:12" ht="24.95" customHeight="1" x14ac:dyDescent="0.2">
      <c r="A41" s="18"/>
      <c r="B41" s="18"/>
      <c r="C41" s="18" t="s">
        <v>56</v>
      </c>
      <c r="D41" s="18"/>
      <c r="E41" s="18" t="s">
        <v>56</v>
      </c>
      <c r="F41" s="21" t="s">
        <v>224</v>
      </c>
      <c r="G41" s="21" t="s">
        <v>382</v>
      </c>
      <c r="H41" s="17" t="s">
        <v>91</v>
      </c>
      <c r="I41" s="17" t="s">
        <v>56</v>
      </c>
      <c r="J41" s="17" t="s">
        <v>23</v>
      </c>
      <c r="K41" s="21" t="s">
        <v>371</v>
      </c>
      <c r="L41" s="4">
        <v>1</v>
      </c>
    </row>
    <row r="42" spans="1:12" ht="12.75" x14ac:dyDescent="0.2">
      <c r="A42" s="18"/>
      <c r="B42" s="26" t="s">
        <v>87</v>
      </c>
      <c r="C42" s="22"/>
      <c r="D42" s="22"/>
      <c r="E42" s="22"/>
      <c r="F42" s="22"/>
      <c r="G42" s="22"/>
      <c r="H42" s="22"/>
      <c r="I42" s="22"/>
      <c r="J42" s="22"/>
      <c r="K42" s="22"/>
      <c r="L42" s="23">
        <v>12</v>
      </c>
    </row>
    <row r="43" spans="1:12" ht="24.95" customHeight="1" x14ac:dyDescent="0.2">
      <c r="A43" s="19" t="s">
        <v>35</v>
      </c>
      <c r="B43" s="21">
        <v>0</v>
      </c>
      <c r="C43" s="21" t="s">
        <v>56</v>
      </c>
      <c r="D43" s="21" t="s">
        <v>40</v>
      </c>
      <c r="E43" s="21" t="s">
        <v>56</v>
      </c>
      <c r="F43" s="21" t="s">
        <v>60</v>
      </c>
      <c r="G43" s="21" t="s">
        <v>101</v>
      </c>
      <c r="H43" s="21" t="s">
        <v>9</v>
      </c>
      <c r="I43" s="21" t="s">
        <v>175</v>
      </c>
      <c r="J43" s="21" t="s">
        <v>20</v>
      </c>
      <c r="K43" s="21" t="s">
        <v>174</v>
      </c>
      <c r="L43" s="4">
        <v>1</v>
      </c>
    </row>
    <row r="44" spans="1:12" ht="12.75" x14ac:dyDescent="0.2">
      <c r="A44" s="18"/>
      <c r="B44" s="26" t="s">
        <v>87</v>
      </c>
      <c r="C44" s="22"/>
      <c r="D44" s="22"/>
      <c r="E44" s="22"/>
      <c r="F44" s="22"/>
      <c r="G44" s="22"/>
      <c r="H44" s="22"/>
      <c r="I44" s="22"/>
      <c r="J44" s="22"/>
      <c r="K44" s="22"/>
      <c r="L44" s="23">
        <v>1</v>
      </c>
    </row>
    <row r="45" spans="1:12" ht="24.95" customHeight="1" x14ac:dyDescent="0.2">
      <c r="A45" s="18"/>
      <c r="B45" s="21">
        <v>3</v>
      </c>
      <c r="C45" s="21" t="s">
        <v>56</v>
      </c>
      <c r="D45" s="21" t="s">
        <v>44</v>
      </c>
      <c r="E45" s="21" t="s">
        <v>61</v>
      </c>
      <c r="F45" s="21" t="s">
        <v>377</v>
      </c>
      <c r="G45" s="21" t="s">
        <v>576</v>
      </c>
      <c r="H45" s="21" t="s">
        <v>9</v>
      </c>
      <c r="I45" s="21" t="s">
        <v>72</v>
      </c>
      <c r="J45" s="21" t="s">
        <v>20</v>
      </c>
      <c r="K45" s="21" t="s">
        <v>482</v>
      </c>
      <c r="L45" s="4">
        <v>1</v>
      </c>
    </row>
    <row r="46" spans="1:12" ht="12.75" x14ac:dyDescent="0.2">
      <c r="A46" s="18"/>
      <c r="B46" s="26" t="s">
        <v>293</v>
      </c>
      <c r="C46" s="22"/>
      <c r="D46" s="22"/>
      <c r="E46" s="22"/>
      <c r="F46" s="22"/>
      <c r="G46" s="22"/>
      <c r="H46" s="22"/>
      <c r="I46" s="22"/>
      <c r="J46" s="22"/>
      <c r="K46" s="22"/>
      <c r="L46" s="23">
        <v>1</v>
      </c>
    </row>
    <row r="47" spans="1:12" ht="24.95" customHeight="1" x14ac:dyDescent="0.2">
      <c r="A47" s="18"/>
      <c r="B47" s="19">
        <v>5</v>
      </c>
      <c r="C47" s="19" t="s">
        <v>56</v>
      </c>
      <c r="D47" s="21" t="s">
        <v>44</v>
      </c>
      <c r="E47" s="19" t="s">
        <v>61</v>
      </c>
      <c r="F47" s="21" t="s">
        <v>111</v>
      </c>
      <c r="G47" s="21" t="s">
        <v>486</v>
      </c>
      <c r="H47" s="19" t="s">
        <v>91</v>
      </c>
      <c r="I47" s="21" t="s">
        <v>269</v>
      </c>
      <c r="J47" s="19" t="s">
        <v>20</v>
      </c>
      <c r="K47" s="21" t="s">
        <v>485</v>
      </c>
      <c r="L47" s="4">
        <v>1</v>
      </c>
    </row>
    <row r="48" spans="1:12" ht="24.95" customHeight="1" x14ac:dyDescent="0.2">
      <c r="A48" s="18"/>
      <c r="B48" s="18"/>
      <c r="C48" s="18" t="s">
        <v>56</v>
      </c>
      <c r="D48" s="21" t="s">
        <v>345</v>
      </c>
      <c r="E48" s="17" t="s">
        <v>61</v>
      </c>
      <c r="F48" s="21" t="s">
        <v>563</v>
      </c>
      <c r="G48" s="21" t="s">
        <v>577</v>
      </c>
      <c r="H48" s="17" t="s">
        <v>91</v>
      </c>
      <c r="I48" s="21" t="s">
        <v>471</v>
      </c>
      <c r="J48" s="17" t="s">
        <v>20</v>
      </c>
      <c r="K48" s="21" t="s">
        <v>469</v>
      </c>
      <c r="L48" s="4">
        <v>1</v>
      </c>
    </row>
    <row r="49" spans="1:12" ht="12.75" x14ac:dyDescent="0.2">
      <c r="A49" s="18"/>
      <c r="B49" s="26" t="s">
        <v>271</v>
      </c>
      <c r="C49" s="22"/>
      <c r="D49" s="22"/>
      <c r="E49" s="22"/>
      <c r="F49" s="22"/>
      <c r="G49" s="22"/>
      <c r="H49" s="22"/>
      <c r="I49" s="22"/>
      <c r="J49" s="22"/>
      <c r="K49" s="22"/>
      <c r="L49" s="23">
        <v>2</v>
      </c>
    </row>
    <row r="50" spans="1:12" ht="24.95" customHeight="1" x14ac:dyDescent="0.2">
      <c r="A50" s="18"/>
      <c r="B50" s="21">
        <v>10</v>
      </c>
      <c r="C50" s="21" t="s">
        <v>56</v>
      </c>
      <c r="D50" s="21" t="s">
        <v>345</v>
      </c>
      <c r="E50" s="21" t="s">
        <v>61</v>
      </c>
      <c r="F50" s="21" t="s">
        <v>404</v>
      </c>
      <c r="G50" s="21" t="s">
        <v>468</v>
      </c>
      <c r="H50" s="21" t="s">
        <v>9</v>
      </c>
      <c r="I50" s="21" t="s">
        <v>467</v>
      </c>
      <c r="J50" s="21" t="s">
        <v>20</v>
      </c>
      <c r="K50" s="21" t="s">
        <v>465</v>
      </c>
      <c r="L50" s="4">
        <v>1</v>
      </c>
    </row>
    <row r="51" spans="1:12" ht="12.75" x14ac:dyDescent="0.2">
      <c r="A51" s="18"/>
      <c r="B51" s="26" t="s">
        <v>295</v>
      </c>
      <c r="C51" s="22"/>
      <c r="D51" s="22"/>
      <c r="E51" s="22"/>
      <c r="F51" s="22"/>
      <c r="G51" s="22"/>
      <c r="H51" s="22"/>
      <c r="I51" s="22"/>
      <c r="J51" s="22"/>
      <c r="K51" s="22"/>
      <c r="L51" s="23">
        <v>1</v>
      </c>
    </row>
    <row r="52" spans="1:12" ht="24.95" customHeight="1" x14ac:dyDescent="0.2">
      <c r="A52" s="18"/>
      <c r="B52" s="21">
        <v>17</v>
      </c>
      <c r="C52" s="21" t="s">
        <v>45</v>
      </c>
      <c r="D52" s="21" t="s">
        <v>44</v>
      </c>
      <c r="E52" s="21" t="s">
        <v>61</v>
      </c>
      <c r="F52" s="21" t="s">
        <v>57</v>
      </c>
      <c r="G52" s="21" t="s">
        <v>42</v>
      </c>
      <c r="H52" s="21" t="s">
        <v>9</v>
      </c>
      <c r="I52" s="21" t="s">
        <v>72</v>
      </c>
      <c r="J52" s="21" t="s">
        <v>20</v>
      </c>
      <c r="K52" s="21" t="s">
        <v>178</v>
      </c>
      <c r="L52" s="4">
        <v>1</v>
      </c>
    </row>
    <row r="53" spans="1:12" ht="12.75" x14ac:dyDescent="0.2">
      <c r="A53" s="18"/>
      <c r="B53" s="26" t="s">
        <v>564</v>
      </c>
      <c r="C53" s="22"/>
      <c r="D53" s="22"/>
      <c r="E53" s="22"/>
      <c r="F53" s="22"/>
      <c r="G53" s="22"/>
      <c r="H53" s="22"/>
      <c r="I53" s="22"/>
      <c r="J53" s="22"/>
      <c r="K53" s="22"/>
      <c r="L53" s="23">
        <v>1</v>
      </c>
    </row>
    <row r="54" spans="1:12" ht="24.95" customHeight="1" x14ac:dyDescent="0.2">
      <c r="A54" s="18"/>
      <c r="B54" s="21">
        <v>20</v>
      </c>
      <c r="C54" s="21" t="s">
        <v>56</v>
      </c>
      <c r="D54" s="21" t="s">
        <v>73</v>
      </c>
      <c r="E54" s="21" t="s">
        <v>56</v>
      </c>
      <c r="F54" s="21" t="s">
        <v>565</v>
      </c>
      <c r="G54" s="21" t="s">
        <v>578</v>
      </c>
      <c r="H54" s="21" t="s">
        <v>91</v>
      </c>
      <c r="I54" s="21" t="s">
        <v>456</v>
      </c>
      <c r="J54" s="21" t="s">
        <v>20</v>
      </c>
      <c r="K54" s="21" t="s">
        <v>454</v>
      </c>
      <c r="L54" s="4">
        <v>1</v>
      </c>
    </row>
    <row r="55" spans="1:12" ht="12.75" x14ac:dyDescent="0.2">
      <c r="A55" s="18"/>
      <c r="B55" s="26" t="s">
        <v>405</v>
      </c>
      <c r="C55" s="22"/>
      <c r="D55" s="22"/>
      <c r="E55" s="22"/>
      <c r="F55" s="22"/>
      <c r="G55" s="22"/>
      <c r="H55" s="22"/>
      <c r="I55" s="22"/>
      <c r="J55" s="22"/>
      <c r="K55" s="22"/>
      <c r="L55" s="23">
        <v>1</v>
      </c>
    </row>
    <row r="56" spans="1:12" ht="24.95" customHeight="1" x14ac:dyDescent="0.2">
      <c r="A56" s="18"/>
      <c r="B56" s="21">
        <v>21</v>
      </c>
      <c r="C56" s="21" t="s">
        <v>56</v>
      </c>
      <c r="D56" s="21" t="s">
        <v>345</v>
      </c>
      <c r="E56" s="21" t="s">
        <v>61</v>
      </c>
      <c r="F56" s="21" t="s">
        <v>60</v>
      </c>
      <c r="G56" s="21" t="s">
        <v>464</v>
      </c>
      <c r="H56" s="21" t="s">
        <v>91</v>
      </c>
      <c r="I56" s="21" t="s">
        <v>463</v>
      </c>
      <c r="J56" s="21" t="s">
        <v>20</v>
      </c>
      <c r="K56" s="21" t="s">
        <v>462</v>
      </c>
      <c r="L56" s="4">
        <v>1</v>
      </c>
    </row>
    <row r="57" spans="1:12" ht="12.75" x14ac:dyDescent="0.2">
      <c r="A57" s="18"/>
      <c r="B57" s="26" t="s">
        <v>378</v>
      </c>
      <c r="C57" s="22"/>
      <c r="D57" s="22"/>
      <c r="E57" s="22"/>
      <c r="F57" s="22"/>
      <c r="G57" s="22"/>
      <c r="H57" s="22"/>
      <c r="I57" s="22"/>
      <c r="J57" s="22"/>
      <c r="K57" s="22"/>
      <c r="L57" s="23">
        <v>1</v>
      </c>
    </row>
    <row r="58" spans="1:12" ht="24.95" customHeight="1" x14ac:dyDescent="0.2">
      <c r="A58" s="18"/>
      <c r="B58" s="21">
        <v>23</v>
      </c>
      <c r="C58" s="21" t="s">
        <v>56</v>
      </c>
      <c r="D58" s="21" t="s">
        <v>200</v>
      </c>
      <c r="E58" s="21" t="s">
        <v>56</v>
      </c>
      <c r="F58" s="21" t="s">
        <v>220</v>
      </c>
      <c r="G58" s="21" t="s">
        <v>216</v>
      </c>
      <c r="H58" s="21" t="s">
        <v>9</v>
      </c>
      <c r="I58" s="21" t="s">
        <v>198</v>
      </c>
      <c r="J58" s="21" t="s">
        <v>94</v>
      </c>
      <c r="K58" s="21" t="s">
        <v>478</v>
      </c>
      <c r="L58" s="4">
        <v>1</v>
      </c>
    </row>
    <row r="59" spans="1:12" ht="12.75" x14ac:dyDescent="0.2">
      <c r="A59" s="18"/>
      <c r="B59" s="26" t="s">
        <v>566</v>
      </c>
      <c r="C59" s="22"/>
      <c r="D59" s="22"/>
      <c r="E59" s="22"/>
      <c r="F59" s="22"/>
      <c r="G59" s="22"/>
      <c r="H59" s="22"/>
      <c r="I59" s="22"/>
      <c r="J59" s="22"/>
      <c r="K59" s="22"/>
      <c r="L59" s="23">
        <v>1</v>
      </c>
    </row>
    <row r="60" spans="1:12" ht="24.95" customHeight="1" x14ac:dyDescent="0.2">
      <c r="A60" s="18"/>
      <c r="B60" s="21">
        <v>24</v>
      </c>
      <c r="C60" s="21" t="s">
        <v>56</v>
      </c>
      <c r="D60" s="21" t="s">
        <v>403</v>
      </c>
      <c r="E60" s="21" t="s">
        <v>56</v>
      </c>
      <c r="F60" s="21" t="s">
        <v>374</v>
      </c>
      <c r="G60" s="21" t="s">
        <v>579</v>
      </c>
      <c r="H60" s="21" t="s">
        <v>9</v>
      </c>
      <c r="I60" s="21" t="s">
        <v>460</v>
      </c>
      <c r="J60" s="21" t="s">
        <v>94</v>
      </c>
      <c r="K60" s="21" t="s">
        <v>458</v>
      </c>
      <c r="L60" s="4">
        <v>1</v>
      </c>
    </row>
    <row r="61" spans="1:12" ht="12.75" x14ac:dyDescent="0.2">
      <c r="A61" s="18"/>
      <c r="B61" s="26" t="s">
        <v>567</v>
      </c>
      <c r="C61" s="22"/>
      <c r="D61" s="22"/>
      <c r="E61" s="22"/>
      <c r="F61" s="22"/>
      <c r="G61" s="22"/>
      <c r="H61" s="22"/>
      <c r="I61" s="22"/>
      <c r="J61" s="22"/>
      <c r="K61" s="22"/>
      <c r="L61" s="23">
        <v>1</v>
      </c>
    </row>
    <row r="62" spans="1:12" ht="24.95" customHeight="1" x14ac:dyDescent="0.2">
      <c r="A62" s="18"/>
      <c r="B62" s="21">
        <v>25</v>
      </c>
      <c r="C62" s="21" t="s">
        <v>56</v>
      </c>
      <c r="D62" s="21" t="s">
        <v>145</v>
      </c>
      <c r="E62" s="21" t="s">
        <v>61</v>
      </c>
      <c r="F62" s="21" t="s">
        <v>64</v>
      </c>
      <c r="G62" s="21" t="s">
        <v>140</v>
      </c>
      <c r="H62" s="21" t="s">
        <v>9</v>
      </c>
      <c r="I62" s="21" t="s">
        <v>144</v>
      </c>
      <c r="J62" s="21" t="s">
        <v>20</v>
      </c>
      <c r="K62" s="21" t="s">
        <v>179</v>
      </c>
      <c r="L62" s="4">
        <v>1</v>
      </c>
    </row>
    <row r="63" spans="1:12" ht="12.75" x14ac:dyDescent="0.2">
      <c r="A63" s="18"/>
      <c r="B63" s="26" t="s">
        <v>347</v>
      </c>
      <c r="C63" s="22"/>
      <c r="D63" s="22"/>
      <c r="E63" s="22"/>
      <c r="F63" s="22"/>
      <c r="G63" s="22"/>
      <c r="H63" s="22"/>
      <c r="I63" s="22"/>
      <c r="J63" s="22"/>
      <c r="K63" s="22"/>
      <c r="L63" s="23">
        <v>1</v>
      </c>
    </row>
    <row r="64" spans="1:12" ht="24.95" customHeight="1" x14ac:dyDescent="0.2">
      <c r="A64" s="18"/>
      <c r="B64" s="21">
        <v>26</v>
      </c>
      <c r="C64" s="21" t="s">
        <v>56</v>
      </c>
      <c r="D64" s="21" t="s">
        <v>73</v>
      </c>
      <c r="E64" s="21" t="s">
        <v>56</v>
      </c>
      <c r="F64" s="21" t="s">
        <v>563</v>
      </c>
      <c r="G64" s="21" t="s">
        <v>453</v>
      </c>
      <c r="H64" s="21" t="s">
        <v>9</v>
      </c>
      <c r="I64" s="21" t="s">
        <v>452</v>
      </c>
      <c r="J64" s="21" t="s">
        <v>94</v>
      </c>
      <c r="K64" s="21" t="s">
        <v>451</v>
      </c>
      <c r="L64" s="4">
        <v>1</v>
      </c>
    </row>
    <row r="65" spans="1:12" ht="12.75" x14ac:dyDescent="0.2">
      <c r="A65" s="18"/>
      <c r="B65" s="26" t="s">
        <v>379</v>
      </c>
      <c r="C65" s="22"/>
      <c r="D65" s="22"/>
      <c r="E65" s="22"/>
      <c r="F65" s="22"/>
      <c r="G65" s="22"/>
      <c r="H65" s="22"/>
      <c r="I65" s="22"/>
      <c r="J65" s="22"/>
      <c r="K65" s="22"/>
      <c r="L65" s="23">
        <v>1</v>
      </c>
    </row>
    <row r="66" spans="1:12" ht="24.95" customHeight="1" x14ac:dyDescent="0.2">
      <c r="A66" s="18"/>
      <c r="B66" s="21">
        <v>27</v>
      </c>
      <c r="C66" s="21" t="s">
        <v>56</v>
      </c>
      <c r="D66" s="21" t="s">
        <v>44</v>
      </c>
      <c r="E66" s="21" t="s">
        <v>56</v>
      </c>
      <c r="F66" s="21" t="s">
        <v>95</v>
      </c>
      <c r="G66" s="21" t="s">
        <v>481</v>
      </c>
      <c r="H66" s="21" t="s">
        <v>9</v>
      </c>
      <c r="I66" s="21" t="s">
        <v>480</v>
      </c>
      <c r="J66" s="21" t="s">
        <v>94</v>
      </c>
      <c r="K66" s="21" t="s">
        <v>479</v>
      </c>
      <c r="L66" s="4">
        <v>1</v>
      </c>
    </row>
    <row r="67" spans="1:12" ht="12.75" x14ac:dyDescent="0.2">
      <c r="A67" s="18"/>
      <c r="B67" s="26" t="s">
        <v>406</v>
      </c>
      <c r="C67" s="22"/>
      <c r="D67" s="22"/>
      <c r="E67" s="22"/>
      <c r="F67" s="22"/>
      <c r="G67" s="22"/>
      <c r="H67" s="22"/>
      <c r="I67" s="22"/>
      <c r="J67" s="22"/>
      <c r="K67" s="22"/>
      <c r="L67" s="23">
        <v>1</v>
      </c>
    </row>
    <row r="68" spans="1:12" ht="24.95" customHeight="1" x14ac:dyDescent="0.2">
      <c r="A68" s="18"/>
      <c r="B68" s="21">
        <v>30</v>
      </c>
      <c r="C68" s="21" t="s">
        <v>56</v>
      </c>
      <c r="D68" s="21" t="s">
        <v>200</v>
      </c>
      <c r="E68" s="21" t="s">
        <v>56</v>
      </c>
      <c r="F68" s="21" t="s">
        <v>204</v>
      </c>
      <c r="G68" s="21" t="s">
        <v>199</v>
      </c>
      <c r="H68" s="21" t="s">
        <v>9</v>
      </c>
      <c r="I68" s="21" t="s">
        <v>198</v>
      </c>
      <c r="J68" s="21" t="s">
        <v>94</v>
      </c>
      <c r="K68" s="21" t="s">
        <v>291</v>
      </c>
      <c r="L68" s="4">
        <v>1</v>
      </c>
    </row>
    <row r="69" spans="1:12" ht="12.75" x14ac:dyDescent="0.2">
      <c r="A69" s="18"/>
      <c r="B69" s="26" t="s">
        <v>568</v>
      </c>
      <c r="C69" s="22"/>
      <c r="D69" s="22"/>
      <c r="E69" s="22"/>
      <c r="F69" s="22"/>
      <c r="G69" s="22"/>
      <c r="H69" s="22"/>
      <c r="I69" s="22"/>
      <c r="J69" s="22"/>
      <c r="K69" s="22"/>
      <c r="L69" s="23">
        <v>1</v>
      </c>
    </row>
    <row r="70" spans="1:12" ht="24.95" customHeight="1" x14ac:dyDescent="0.2">
      <c r="A70" s="18"/>
      <c r="B70" s="19">
        <v>31</v>
      </c>
      <c r="C70" s="19" t="s">
        <v>56</v>
      </c>
      <c r="D70" s="19" t="s">
        <v>40</v>
      </c>
      <c r="E70" s="19" t="s">
        <v>56</v>
      </c>
      <c r="F70" s="19" t="s">
        <v>58</v>
      </c>
      <c r="G70" s="21" t="s">
        <v>51</v>
      </c>
      <c r="H70" s="19" t="s">
        <v>9</v>
      </c>
      <c r="I70" s="21" t="s">
        <v>177</v>
      </c>
      <c r="J70" s="19" t="s">
        <v>20</v>
      </c>
      <c r="K70" s="21" t="s">
        <v>176</v>
      </c>
      <c r="L70" s="4">
        <v>1</v>
      </c>
    </row>
    <row r="71" spans="1:12" ht="24.95" customHeight="1" x14ac:dyDescent="0.2">
      <c r="A71" s="18"/>
      <c r="B71" s="18"/>
      <c r="C71" s="18" t="s">
        <v>56</v>
      </c>
      <c r="D71" s="18"/>
      <c r="E71" s="18" t="s">
        <v>56</v>
      </c>
      <c r="F71" s="18"/>
      <c r="G71" s="21" t="s">
        <v>118</v>
      </c>
      <c r="H71" s="17" t="s">
        <v>9</v>
      </c>
      <c r="I71" s="21" t="s">
        <v>173</v>
      </c>
      <c r="J71" s="17" t="s">
        <v>20</v>
      </c>
      <c r="K71" s="21" t="s">
        <v>172</v>
      </c>
      <c r="L71" s="4">
        <v>1</v>
      </c>
    </row>
    <row r="72" spans="1:12" ht="24.95" customHeight="1" x14ac:dyDescent="0.2">
      <c r="A72" s="18"/>
      <c r="B72" s="18"/>
      <c r="C72" s="18" t="s">
        <v>56</v>
      </c>
      <c r="D72" s="21" t="s">
        <v>39</v>
      </c>
      <c r="E72" s="17" t="s">
        <v>56</v>
      </c>
      <c r="F72" s="19" t="s">
        <v>62</v>
      </c>
      <c r="G72" s="21" t="s">
        <v>38</v>
      </c>
      <c r="H72" s="17" t="s">
        <v>9</v>
      </c>
      <c r="I72" s="21" t="s">
        <v>171</v>
      </c>
      <c r="J72" s="17" t="s">
        <v>20</v>
      </c>
      <c r="K72" s="21" t="s">
        <v>170</v>
      </c>
      <c r="L72" s="4">
        <v>1</v>
      </c>
    </row>
    <row r="73" spans="1:12" ht="24.95" customHeight="1" x14ac:dyDescent="0.2">
      <c r="A73" s="18"/>
      <c r="B73" s="18"/>
      <c r="C73" s="18" t="s">
        <v>56</v>
      </c>
      <c r="D73" s="21" t="s">
        <v>477</v>
      </c>
      <c r="E73" s="17" t="s">
        <v>56</v>
      </c>
      <c r="F73" s="17" t="s">
        <v>62</v>
      </c>
      <c r="G73" s="21" t="s">
        <v>476</v>
      </c>
      <c r="H73" s="17" t="s">
        <v>9</v>
      </c>
      <c r="I73" s="21" t="s">
        <v>475</v>
      </c>
      <c r="J73" s="17" t="s">
        <v>20</v>
      </c>
      <c r="K73" s="21" t="s">
        <v>473</v>
      </c>
      <c r="L73" s="4">
        <v>1</v>
      </c>
    </row>
    <row r="74" spans="1:12" ht="12.75" x14ac:dyDescent="0.2">
      <c r="A74" s="18"/>
      <c r="B74" s="26" t="s">
        <v>569</v>
      </c>
      <c r="C74" s="22"/>
      <c r="D74" s="22"/>
      <c r="E74" s="22"/>
      <c r="F74" s="22"/>
      <c r="G74" s="22"/>
      <c r="H74" s="22"/>
      <c r="I74" s="22"/>
      <c r="J74" s="22"/>
      <c r="K74" s="22"/>
      <c r="L74" s="23">
        <v>4</v>
      </c>
    </row>
    <row r="75" spans="1:12" ht="24.95" customHeight="1" x14ac:dyDescent="0.2">
      <c r="A75" s="19" t="s">
        <v>19</v>
      </c>
      <c r="B75" s="19">
        <v>0</v>
      </c>
      <c r="C75" s="19" t="s">
        <v>56</v>
      </c>
      <c r="D75" s="21" t="s">
        <v>34</v>
      </c>
      <c r="E75" s="19" t="s">
        <v>56</v>
      </c>
      <c r="F75" s="21" t="s">
        <v>66</v>
      </c>
      <c r="G75" s="21" t="s">
        <v>33</v>
      </c>
      <c r="H75" s="19" t="s">
        <v>91</v>
      </c>
      <c r="I75" s="21" t="s">
        <v>169</v>
      </c>
      <c r="J75" s="21" t="s">
        <v>20</v>
      </c>
      <c r="K75" s="21" t="s">
        <v>168</v>
      </c>
      <c r="L75" s="4">
        <v>1</v>
      </c>
    </row>
    <row r="76" spans="1:12" ht="24.95" customHeight="1" x14ac:dyDescent="0.2">
      <c r="A76" s="18"/>
      <c r="B76" s="18"/>
      <c r="C76" s="18" t="s">
        <v>56</v>
      </c>
      <c r="D76" s="19" t="s">
        <v>31</v>
      </c>
      <c r="E76" s="17" t="s">
        <v>56</v>
      </c>
      <c r="F76" s="19" t="s">
        <v>63</v>
      </c>
      <c r="G76" s="21" t="s">
        <v>222</v>
      </c>
      <c r="H76" s="17" t="s">
        <v>91</v>
      </c>
      <c r="I76" s="21" t="s">
        <v>56</v>
      </c>
      <c r="J76" s="21" t="s">
        <v>23</v>
      </c>
      <c r="K76" s="21" t="s">
        <v>214</v>
      </c>
      <c r="L76" s="4">
        <v>1</v>
      </c>
    </row>
    <row r="77" spans="1:12" ht="24.95" customHeight="1" x14ac:dyDescent="0.2">
      <c r="A77" s="18"/>
      <c r="B77" s="18"/>
      <c r="C77" s="18" t="s">
        <v>56</v>
      </c>
      <c r="D77" s="18"/>
      <c r="E77" s="18" t="s">
        <v>56</v>
      </c>
      <c r="F77" s="18"/>
      <c r="G77" s="21" t="s">
        <v>443</v>
      </c>
      <c r="H77" s="17" t="s">
        <v>91</v>
      </c>
      <c r="I77" s="21" t="s">
        <v>442</v>
      </c>
      <c r="J77" s="21" t="s">
        <v>20</v>
      </c>
      <c r="K77" s="21" t="s">
        <v>440</v>
      </c>
      <c r="L77" s="4">
        <v>1</v>
      </c>
    </row>
    <row r="78" spans="1:12" ht="24.95" customHeight="1" x14ac:dyDescent="0.2">
      <c r="A78" s="18"/>
      <c r="B78" s="18"/>
      <c r="C78" s="18" t="s">
        <v>56</v>
      </c>
      <c r="D78" s="18"/>
      <c r="E78" s="18" t="s">
        <v>56</v>
      </c>
      <c r="F78" s="18"/>
      <c r="G78" s="21" t="s">
        <v>324</v>
      </c>
      <c r="H78" s="17" t="s">
        <v>91</v>
      </c>
      <c r="I78" s="19" t="s">
        <v>56</v>
      </c>
      <c r="J78" s="19" t="s">
        <v>23</v>
      </c>
      <c r="K78" s="21" t="s">
        <v>317</v>
      </c>
      <c r="L78" s="4">
        <v>1</v>
      </c>
    </row>
    <row r="79" spans="1:12" ht="24.95" customHeight="1" x14ac:dyDescent="0.2">
      <c r="A79" s="18"/>
      <c r="B79" s="18"/>
      <c r="C79" s="18" t="s">
        <v>56</v>
      </c>
      <c r="D79" s="18"/>
      <c r="E79" s="18" t="s">
        <v>56</v>
      </c>
      <c r="F79" s="18"/>
      <c r="G79" s="21" t="s">
        <v>243</v>
      </c>
      <c r="H79" s="21" t="s">
        <v>9</v>
      </c>
      <c r="I79" s="17" t="s">
        <v>56</v>
      </c>
      <c r="J79" s="17" t="s">
        <v>23</v>
      </c>
      <c r="K79" s="21" t="s">
        <v>239</v>
      </c>
      <c r="L79" s="4">
        <v>1</v>
      </c>
    </row>
    <row r="80" spans="1:12" ht="24.95" customHeight="1" x14ac:dyDescent="0.2">
      <c r="A80" s="18"/>
      <c r="B80" s="18"/>
      <c r="C80" s="18" t="s">
        <v>56</v>
      </c>
      <c r="D80" s="18"/>
      <c r="E80" s="18" t="s">
        <v>56</v>
      </c>
      <c r="F80" s="21" t="s">
        <v>90</v>
      </c>
      <c r="G80" s="21" t="s">
        <v>408</v>
      </c>
      <c r="H80" s="19" t="s">
        <v>91</v>
      </c>
      <c r="I80" s="17" t="s">
        <v>56</v>
      </c>
      <c r="J80" s="17" t="s">
        <v>23</v>
      </c>
      <c r="K80" s="21" t="s">
        <v>396</v>
      </c>
      <c r="L80" s="4">
        <v>1</v>
      </c>
    </row>
    <row r="81" spans="1:12" ht="24.95" customHeight="1" x14ac:dyDescent="0.2">
      <c r="A81" s="18"/>
      <c r="B81" s="18"/>
      <c r="C81" s="18" t="s">
        <v>56</v>
      </c>
      <c r="D81" s="19" t="s">
        <v>138</v>
      </c>
      <c r="E81" s="17" t="s">
        <v>56</v>
      </c>
      <c r="F81" s="21" t="s">
        <v>63</v>
      </c>
      <c r="G81" s="21" t="s">
        <v>189</v>
      </c>
      <c r="H81" s="17" t="s">
        <v>91</v>
      </c>
      <c r="I81" s="17" t="s">
        <v>56</v>
      </c>
      <c r="J81" s="17" t="s">
        <v>23</v>
      </c>
      <c r="K81" s="21" t="s">
        <v>186</v>
      </c>
      <c r="L81" s="4">
        <v>1</v>
      </c>
    </row>
    <row r="82" spans="1:12" ht="24.95" customHeight="1" x14ac:dyDescent="0.2">
      <c r="A82" s="18"/>
      <c r="B82" s="18"/>
      <c r="C82" s="18" t="s">
        <v>56</v>
      </c>
      <c r="D82" s="18"/>
      <c r="E82" s="18" t="s">
        <v>56</v>
      </c>
      <c r="F82" s="21" t="s">
        <v>65</v>
      </c>
      <c r="G82" s="21" t="s">
        <v>230</v>
      </c>
      <c r="H82" s="17" t="s">
        <v>91</v>
      </c>
      <c r="I82" s="17" t="s">
        <v>56</v>
      </c>
      <c r="J82" s="17" t="s">
        <v>23</v>
      </c>
      <c r="K82" s="21" t="s">
        <v>227</v>
      </c>
      <c r="L82" s="4">
        <v>1</v>
      </c>
    </row>
    <row r="83" spans="1:12" ht="24.95" customHeight="1" x14ac:dyDescent="0.2">
      <c r="A83" s="18"/>
      <c r="B83" s="18"/>
      <c r="C83" s="18" t="s">
        <v>56</v>
      </c>
      <c r="D83" s="19" t="s">
        <v>77</v>
      </c>
      <c r="E83" s="17" t="s">
        <v>56</v>
      </c>
      <c r="F83" s="19" t="s">
        <v>66</v>
      </c>
      <c r="G83" s="21" t="s">
        <v>79</v>
      </c>
      <c r="H83" s="17" t="s">
        <v>91</v>
      </c>
      <c r="I83" s="19" t="s">
        <v>164</v>
      </c>
      <c r="J83" s="19" t="s">
        <v>20</v>
      </c>
      <c r="K83" s="21" t="s">
        <v>163</v>
      </c>
      <c r="L83" s="4">
        <v>1</v>
      </c>
    </row>
    <row r="84" spans="1:12" ht="24.95" customHeight="1" x14ac:dyDescent="0.2">
      <c r="A84" s="18"/>
      <c r="B84" s="18"/>
      <c r="C84" s="18" t="s">
        <v>56</v>
      </c>
      <c r="D84" s="18"/>
      <c r="E84" s="18" t="s">
        <v>56</v>
      </c>
      <c r="F84" s="18"/>
      <c r="G84" s="21" t="s">
        <v>133</v>
      </c>
      <c r="H84" s="17" t="s">
        <v>91</v>
      </c>
      <c r="I84" s="17" t="s">
        <v>164</v>
      </c>
      <c r="J84" s="17" t="s">
        <v>20</v>
      </c>
      <c r="K84" s="21" t="s">
        <v>165</v>
      </c>
      <c r="L84" s="4">
        <v>1</v>
      </c>
    </row>
    <row r="85" spans="1:12" ht="24.95" customHeight="1" x14ac:dyDescent="0.2">
      <c r="A85" s="18"/>
      <c r="B85" s="18"/>
      <c r="C85" s="18" t="s">
        <v>56</v>
      </c>
      <c r="D85" s="18"/>
      <c r="E85" s="18" t="s">
        <v>56</v>
      </c>
      <c r="F85" s="18"/>
      <c r="G85" s="21" t="s">
        <v>134</v>
      </c>
      <c r="H85" s="17" t="s">
        <v>91</v>
      </c>
      <c r="I85" s="21" t="s">
        <v>167</v>
      </c>
      <c r="J85" s="17" t="s">
        <v>20</v>
      </c>
      <c r="K85" s="21" t="s">
        <v>166</v>
      </c>
      <c r="L85" s="4">
        <v>1</v>
      </c>
    </row>
    <row r="86" spans="1:12" ht="24.95" customHeight="1" x14ac:dyDescent="0.2">
      <c r="A86" s="18"/>
      <c r="B86" s="18"/>
      <c r="C86" s="18" t="s">
        <v>56</v>
      </c>
      <c r="D86" s="21" t="s">
        <v>30</v>
      </c>
      <c r="E86" s="17" t="s">
        <v>56</v>
      </c>
      <c r="F86" s="21" t="s">
        <v>68</v>
      </c>
      <c r="G86" s="21" t="s">
        <v>29</v>
      </c>
      <c r="H86" s="17" t="s">
        <v>91</v>
      </c>
      <c r="I86" s="21" t="s">
        <v>110</v>
      </c>
      <c r="J86" s="19" t="s">
        <v>23</v>
      </c>
      <c r="K86" s="21" t="s">
        <v>137</v>
      </c>
      <c r="L86" s="4">
        <v>1</v>
      </c>
    </row>
    <row r="87" spans="1:12" ht="24.95" customHeight="1" x14ac:dyDescent="0.2">
      <c r="A87" s="18"/>
      <c r="B87" s="18"/>
      <c r="C87" s="18" t="s">
        <v>56</v>
      </c>
      <c r="D87" s="21" t="s">
        <v>119</v>
      </c>
      <c r="E87" s="17" t="s">
        <v>56</v>
      </c>
      <c r="F87" s="21" t="s">
        <v>205</v>
      </c>
      <c r="G87" s="21" t="s">
        <v>348</v>
      </c>
      <c r="H87" s="17" t="s">
        <v>91</v>
      </c>
      <c r="I87" s="21" t="s">
        <v>56</v>
      </c>
      <c r="J87" s="17" t="s">
        <v>23</v>
      </c>
      <c r="K87" s="21" t="s">
        <v>341</v>
      </c>
      <c r="L87" s="4">
        <v>1</v>
      </c>
    </row>
    <row r="88" spans="1:12" ht="24.95" customHeight="1" x14ac:dyDescent="0.2">
      <c r="A88" s="18"/>
      <c r="B88" s="18"/>
      <c r="C88" s="18" t="s">
        <v>56</v>
      </c>
      <c r="D88" s="19" t="s">
        <v>74</v>
      </c>
      <c r="E88" s="17" t="s">
        <v>56</v>
      </c>
      <c r="F88" s="19" t="s">
        <v>90</v>
      </c>
      <c r="G88" s="21" t="s">
        <v>251</v>
      </c>
      <c r="H88" s="17" t="s">
        <v>91</v>
      </c>
      <c r="I88" s="21" t="s">
        <v>250</v>
      </c>
      <c r="J88" s="21" t="s">
        <v>20</v>
      </c>
      <c r="K88" s="21" t="s">
        <v>248</v>
      </c>
      <c r="L88" s="4">
        <v>1</v>
      </c>
    </row>
    <row r="89" spans="1:12" ht="24.95" customHeight="1" x14ac:dyDescent="0.2">
      <c r="A89" s="18"/>
      <c r="B89" s="18"/>
      <c r="C89" s="18" t="s">
        <v>56</v>
      </c>
      <c r="D89" s="18"/>
      <c r="E89" s="18" t="s">
        <v>56</v>
      </c>
      <c r="F89" s="18"/>
      <c r="G89" s="21" t="s">
        <v>580</v>
      </c>
      <c r="H89" s="17" t="s">
        <v>91</v>
      </c>
      <c r="I89" s="19" t="s">
        <v>56</v>
      </c>
      <c r="J89" s="19" t="s">
        <v>23</v>
      </c>
      <c r="K89" s="21" t="s">
        <v>425</v>
      </c>
      <c r="L89" s="4">
        <v>1</v>
      </c>
    </row>
    <row r="90" spans="1:12" ht="24.95" customHeight="1" x14ac:dyDescent="0.2">
      <c r="A90" s="18"/>
      <c r="B90" s="18"/>
      <c r="C90" s="18" t="s">
        <v>56</v>
      </c>
      <c r="D90" s="18"/>
      <c r="E90" s="18" t="s">
        <v>56</v>
      </c>
      <c r="F90" s="21" t="s">
        <v>65</v>
      </c>
      <c r="G90" s="21" t="s">
        <v>154</v>
      </c>
      <c r="H90" s="17" t="s">
        <v>91</v>
      </c>
      <c r="I90" s="17" t="s">
        <v>56</v>
      </c>
      <c r="J90" s="17" t="s">
        <v>23</v>
      </c>
      <c r="K90" s="21" t="s">
        <v>340</v>
      </c>
      <c r="L90" s="4">
        <v>1</v>
      </c>
    </row>
    <row r="91" spans="1:12" ht="24.95" customHeight="1" x14ac:dyDescent="0.2">
      <c r="A91" s="18"/>
      <c r="B91" s="18"/>
      <c r="C91" s="18" t="s">
        <v>56</v>
      </c>
      <c r="D91" s="18"/>
      <c r="E91" s="18" t="s">
        <v>56</v>
      </c>
      <c r="F91" s="19" t="s">
        <v>205</v>
      </c>
      <c r="G91" s="21" t="s">
        <v>383</v>
      </c>
      <c r="H91" s="17" t="s">
        <v>91</v>
      </c>
      <c r="I91" s="21" t="s">
        <v>362</v>
      </c>
      <c r="J91" s="21" t="s">
        <v>20</v>
      </c>
      <c r="K91" s="21" t="s">
        <v>360</v>
      </c>
      <c r="L91" s="4">
        <v>1</v>
      </c>
    </row>
    <row r="92" spans="1:12" ht="24.95" customHeight="1" x14ac:dyDescent="0.2">
      <c r="A92" s="18"/>
      <c r="B92" s="18"/>
      <c r="C92" s="18" t="s">
        <v>56</v>
      </c>
      <c r="D92" s="18"/>
      <c r="E92" s="18" t="s">
        <v>56</v>
      </c>
      <c r="F92" s="18"/>
      <c r="G92" s="21" t="s">
        <v>384</v>
      </c>
      <c r="H92" s="17" t="s">
        <v>91</v>
      </c>
      <c r="I92" s="19" t="s">
        <v>56</v>
      </c>
      <c r="J92" s="21" t="s">
        <v>23</v>
      </c>
      <c r="K92" s="21" t="s">
        <v>364</v>
      </c>
      <c r="L92" s="4">
        <v>1</v>
      </c>
    </row>
    <row r="93" spans="1:12" ht="24.95" customHeight="1" x14ac:dyDescent="0.2">
      <c r="A93" s="18"/>
      <c r="B93" s="18"/>
      <c r="C93" s="18" t="s">
        <v>56</v>
      </c>
      <c r="D93" s="18"/>
      <c r="E93" s="18" t="s">
        <v>56</v>
      </c>
      <c r="F93" s="21" t="s">
        <v>111</v>
      </c>
      <c r="G93" s="21" t="s">
        <v>430</v>
      </c>
      <c r="H93" s="17" t="s">
        <v>91</v>
      </c>
      <c r="I93" s="17" t="s">
        <v>56</v>
      </c>
      <c r="J93" s="21" t="s">
        <v>94</v>
      </c>
      <c r="K93" s="21" t="s">
        <v>431</v>
      </c>
      <c r="L93" s="4">
        <v>1</v>
      </c>
    </row>
    <row r="94" spans="1:12" ht="24.95" customHeight="1" x14ac:dyDescent="0.2">
      <c r="A94" s="18"/>
      <c r="B94" s="18"/>
      <c r="C94" s="18" t="s">
        <v>56</v>
      </c>
      <c r="D94" s="18"/>
      <c r="E94" s="18" t="s">
        <v>56</v>
      </c>
      <c r="F94" s="21" t="s">
        <v>190</v>
      </c>
      <c r="G94" s="21" t="s">
        <v>223</v>
      </c>
      <c r="H94" s="17" t="s">
        <v>91</v>
      </c>
      <c r="I94" s="17" t="s">
        <v>56</v>
      </c>
      <c r="J94" s="21" t="s">
        <v>23</v>
      </c>
      <c r="K94" s="21" t="s">
        <v>211</v>
      </c>
      <c r="L94" s="4">
        <v>1</v>
      </c>
    </row>
    <row r="95" spans="1:12" ht="24.95" customHeight="1" x14ac:dyDescent="0.2">
      <c r="A95" s="18"/>
      <c r="B95" s="18"/>
      <c r="C95" s="18" t="s">
        <v>56</v>
      </c>
      <c r="D95" s="19" t="s">
        <v>25</v>
      </c>
      <c r="E95" s="17" t="s">
        <v>56</v>
      </c>
      <c r="F95" s="21" t="s">
        <v>111</v>
      </c>
      <c r="G95" s="21" t="s">
        <v>109</v>
      </c>
      <c r="H95" s="17" t="s">
        <v>91</v>
      </c>
      <c r="I95" s="21" t="s">
        <v>162</v>
      </c>
      <c r="J95" s="19" t="s">
        <v>20</v>
      </c>
      <c r="K95" s="21" t="s">
        <v>339</v>
      </c>
      <c r="L95" s="4">
        <v>1</v>
      </c>
    </row>
    <row r="96" spans="1:12" ht="24.95" customHeight="1" x14ac:dyDescent="0.2">
      <c r="A96" s="18"/>
      <c r="B96" s="18"/>
      <c r="C96" s="18" t="s">
        <v>56</v>
      </c>
      <c r="D96" s="18"/>
      <c r="E96" s="18" t="s">
        <v>56</v>
      </c>
      <c r="F96" s="21" t="s">
        <v>67</v>
      </c>
      <c r="G96" s="21" t="s">
        <v>27</v>
      </c>
      <c r="H96" s="17" t="s">
        <v>91</v>
      </c>
      <c r="I96" s="21" t="s">
        <v>161</v>
      </c>
      <c r="J96" s="17" t="s">
        <v>20</v>
      </c>
      <c r="K96" s="21" t="s">
        <v>253</v>
      </c>
      <c r="L96" s="4">
        <v>1</v>
      </c>
    </row>
    <row r="97" spans="1:12" ht="24.95" customHeight="1" x14ac:dyDescent="0.2">
      <c r="A97" s="18"/>
      <c r="B97" s="18"/>
      <c r="C97" s="18" t="s">
        <v>56</v>
      </c>
      <c r="D97" s="18"/>
      <c r="E97" s="18" t="s">
        <v>56</v>
      </c>
      <c r="F97" s="21" t="s">
        <v>570</v>
      </c>
      <c r="G97" s="21" t="s">
        <v>424</v>
      </c>
      <c r="H97" s="17" t="s">
        <v>91</v>
      </c>
      <c r="I97" s="21" t="s">
        <v>423</v>
      </c>
      <c r="J97" s="17" t="s">
        <v>20</v>
      </c>
      <c r="K97" s="21" t="s">
        <v>422</v>
      </c>
      <c r="L97" s="4">
        <v>1</v>
      </c>
    </row>
    <row r="98" spans="1:12" ht="24.95" customHeight="1" x14ac:dyDescent="0.2">
      <c r="A98" s="18"/>
      <c r="B98" s="18"/>
      <c r="C98" s="18" t="s">
        <v>56</v>
      </c>
      <c r="D98" s="19" t="s">
        <v>75</v>
      </c>
      <c r="E98" s="17" t="s">
        <v>56</v>
      </c>
      <c r="F98" s="19" t="s">
        <v>63</v>
      </c>
      <c r="G98" s="21" t="s">
        <v>325</v>
      </c>
      <c r="H98" s="17" t="s">
        <v>91</v>
      </c>
      <c r="I98" s="19" t="s">
        <v>56</v>
      </c>
      <c r="J98" s="19" t="s">
        <v>23</v>
      </c>
      <c r="K98" s="21" t="s">
        <v>309</v>
      </c>
      <c r="L98" s="4">
        <v>1</v>
      </c>
    </row>
    <row r="99" spans="1:12" ht="24.95" customHeight="1" x14ac:dyDescent="0.2">
      <c r="A99" s="18"/>
      <c r="B99" s="18"/>
      <c r="C99" s="18" t="s">
        <v>56</v>
      </c>
      <c r="D99" s="18"/>
      <c r="E99" s="18" t="s">
        <v>56</v>
      </c>
      <c r="F99" s="18"/>
      <c r="G99" s="21" t="s">
        <v>326</v>
      </c>
      <c r="H99" s="17" t="s">
        <v>91</v>
      </c>
      <c r="I99" s="17" t="s">
        <v>56</v>
      </c>
      <c r="J99" s="17" t="s">
        <v>23</v>
      </c>
      <c r="K99" s="21" t="s">
        <v>305</v>
      </c>
      <c r="L99" s="4">
        <v>1</v>
      </c>
    </row>
    <row r="100" spans="1:12" ht="24.95" customHeight="1" x14ac:dyDescent="0.2">
      <c r="A100" s="18"/>
      <c r="B100" s="18"/>
      <c r="C100" s="18" t="s">
        <v>56</v>
      </c>
      <c r="D100" s="18"/>
      <c r="E100" s="18" t="s">
        <v>56</v>
      </c>
      <c r="F100" s="18"/>
      <c r="G100" s="21" t="s">
        <v>327</v>
      </c>
      <c r="H100" s="17" t="s">
        <v>91</v>
      </c>
      <c r="I100" s="17" t="s">
        <v>56</v>
      </c>
      <c r="J100" s="17" t="s">
        <v>23</v>
      </c>
      <c r="K100" s="21" t="s">
        <v>307</v>
      </c>
      <c r="L100" s="4">
        <v>1</v>
      </c>
    </row>
    <row r="101" spans="1:12" ht="24.95" customHeight="1" x14ac:dyDescent="0.2">
      <c r="A101" s="18"/>
      <c r="B101" s="18"/>
      <c r="C101" s="18" t="s">
        <v>56</v>
      </c>
      <c r="D101" s="18"/>
      <c r="E101" s="18" t="s">
        <v>56</v>
      </c>
      <c r="F101" s="18"/>
      <c r="G101" s="21" t="s">
        <v>284</v>
      </c>
      <c r="H101" s="17" t="s">
        <v>91</v>
      </c>
      <c r="I101" s="17" t="s">
        <v>56</v>
      </c>
      <c r="J101" s="17" t="s">
        <v>23</v>
      </c>
      <c r="K101" s="21" t="s">
        <v>280</v>
      </c>
      <c r="L101" s="4">
        <v>1</v>
      </c>
    </row>
    <row r="102" spans="1:12" ht="24.95" customHeight="1" x14ac:dyDescent="0.2">
      <c r="A102" s="18"/>
      <c r="B102" s="18"/>
      <c r="C102" s="18" t="s">
        <v>56</v>
      </c>
      <c r="D102" s="18"/>
      <c r="E102" s="18" t="s">
        <v>56</v>
      </c>
      <c r="F102" s="18"/>
      <c r="G102" s="21" t="s">
        <v>328</v>
      </c>
      <c r="H102" s="17" t="s">
        <v>91</v>
      </c>
      <c r="I102" s="17" t="s">
        <v>56</v>
      </c>
      <c r="J102" s="17" t="s">
        <v>23</v>
      </c>
      <c r="K102" s="21" t="s">
        <v>311</v>
      </c>
      <c r="L102" s="4">
        <v>1</v>
      </c>
    </row>
    <row r="103" spans="1:12" ht="24.95" customHeight="1" x14ac:dyDescent="0.2">
      <c r="A103" s="18"/>
      <c r="B103" s="18"/>
      <c r="C103" s="18" t="s">
        <v>56</v>
      </c>
      <c r="D103" s="18"/>
      <c r="E103" s="18" t="s">
        <v>56</v>
      </c>
      <c r="F103" s="21" t="s">
        <v>64</v>
      </c>
      <c r="G103" s="21" t="s">
        <v>349</v>
      </c>
      <c r="H103" s="17" t="s">
        <v>91</v>
      </c>
      <c r="I103" s="17" t="s">
        <v>56</v>
      </c>
      <c r="J103" s="17" t="s">
        <v>23</v>
      </c>
      <c r="K103" s="21" t="s">
        <v>336</v>
      </c>
      <c r="L103" s="4">
        <v>1</v>
      </c>
    </row>
    <row r="104" spans="1:12" ht="24.95" customHeight="1" x14ac:dyDescent="0.2">
      <c r="A104" s="18"/>
      <c r="B104" s="18"/>
      <c r="C104" s="18" t="s">
        <v>56</v>
      </c>
      <c r="D104" s="18"/>
      <c r="E104" s="18" t="s">
        <v>56</v>
      </c>
      <c r="F104" s="21" t="s">
        <v>66</v>
      </c>
      <c r="G104" s="21" t="s">
        <v>385</v>
      </c>
      <c r="H104" s="17" t="s">
        <v>91</v>
      </c>
      <c r="I104" s="17" t="s">
        <v>56</v>
      </c>
      <c r="J104" s="17" t="s">
        <v>23</v>
      </c>
      <c r="K104" s="21" t="s">
        <v>356</v>
      </c>
      <c r="L104" s="4">
        <v>1</v>
      </c>
    </row>
    <row r="105" spans="1:12" ht="24.95" customHeight="1" x14ac:dyDescent="0.2">
      <c r="A105" s="18"/>
      <c r="B105" s="18"/>
      <c r="C105" s="18" t="s">
        <v>56</v>
      </c>
      <c r="D105" s="18"/>
      <c r="E105" s="18" t="s">
        <v>56</v>
      </c>
      <c r="F105" s="19" t="s">
        <v>205</v>
      </c>
      <c r="G105" s="21" t="s">
        <v>207</v>
      </c>
      <c r="H105" s="17" t="s">
        <v>91</v>
      </c>
      <c r="I105" s="17" t="s">
        <v>56</v>
      </c>
      <c r="J105" s="17" t="s">
        <v>23</v>
      </c>
      <c r="K105" s="21" t="s">
        <v>196</v>
      </c>
      <c r="L105" s="4">
        <v>1</v>
      </c>
    </row>
    <row r="106" spans="1:12" ht="24.95" customHeight="1" x14ac:dyDescent="0.2">
      <c r="A106" s="18"/>
      <c r="B106" s="18"/>
      <c r="C106" s="18" t="s">
        <v>56</v>
      </c>
      <c r="D106" s="18"/>
      <c r="E106" s="18" t="s">
        <v>56</v>
      </c>
      <c r="F106" s="18"/>
      <c r="G106" s="21" t="s">
        <v>252</v>
      </c>
      <c r="H106" s="17" t="s">
        <v>91</v>
      </c>
      <c r="I106" s="17" t="s">
        <v>56</v>
      </c>
      <c r="J106" s="17" t="s">
        <v>23</v>
      </c>
      <c r="K106" s="21" t="s">
        <v>278</v>
      </c>
      <c r="L106" s="4">
        <v>1</v>
      </c>
    </row>
    <row r="107" spans="1:12" ht="24.95" customHeight="1" x14ac:dyDescent="0.2">
      <c r="A107" s="18"/>
      <c r="B107" s="18"/>
      <c r="C107" s="18" t="s">
        <v>56</v>
      </c>
      <c r="D107" s="18"/>
      <c r="E107" s="18" t="s">
        <v>56</v>
      </c>
      <c r="F107" s="21" t="s">
        <v>270</v>
      </c>
      <c r="G107" s="21" t="s">
        <v>135</v>
      </c>
      <c r="H107" s="17" t="s">
        <v>91</v>
      </c>
      <c r="I107" s="17" t="s">
        <v>56</v>
      </c>
      <c r="J107" s="17" t="s">
        <v>23</v>
      </c>
      <c r="K107" s="21" t="s">
        <v>359</v>
      </c>
      <c r="L107" s="4">
        <v>1</v>
      </c>
    </row>
    <row r="108" spans="1:12" ht="24.95" customHeight="1" x14ac:dyDescent="0.2">
      <c r="A108" s="18"/>
      <c r="B108" s="18"/>
      <c r="C108" s="18" t="s">
        <v>56</v>
      </c>
      <c r="D108" s="18"/>
      <c r="E108" s="18" t="s">
        <v>56</v>
      </c>
      <c r="F108" s="21" t="s">
        <v>190</v>
      </c>
      <c r="G108" s="21" t="s">
        <v>581</v>
      </c>
      <c r="H108" s="17" t="s">
        <v>91</v>
      </c>
      <c r="I108" s="17" t="s">
        <v>56</v>
      </c>
      <c r="J108" s="17" t="s">
        <v>23</v>
      </c>
      <c r="K108" s="21" t="s">
        <v>420</v>
      </c>
      <c r="L108" s="4">
        <v>1</v>
      </c>
    </row>
    <row r="109" spans="1:12" ht="24.95" customHeight="1" x14ac:dyDescent="0.2">
      <c r="A109" s="18"/>
      <c r="B109" s="18"/>
      <c r="C109" s="18" t="s">
        <v>56</v>
      </c>
      <c r="D109" s="19" t="s">
        <v>69</v>
      </c>
      <c r="E109" s="17" t="s">
        <v>56</v>
      </c>
      <c r="F109" s="21" t="s">
        <v>63</v>
      </c>
      <c r="G109" s="21" t="s">
        <v>329</v>
      </c>
      <c r="H109" s="17" t="s">
        <v>91</v>
      </c>
      <c r="I109" s="17" t="s">
        <v>56</v>
      </c>
      <c r="J109" s="17" t="s">
        <v>23</v>
      </c>
      <c r="K109" s="21" t="s">
        <v>303</v>
      </c>
      <c r="L109" s="4">
        <v>1</v>
      </c>
    </row>
    <row r="110" spans="1:12" ht="24.95" customHeight="1" x14ac:dyDescent="0.2">
      <c r="A110" s="18"/>
      <c r="B110" s="18"/>
      <c r="C110" s="18" t="s">
        <v>56</v>
      </c>
      <c r="D110" s="18"/>
      <c r="E110" s="18" t="s">
        <v>56</v>
      </c>
      <c r="F110" s="19" t="s">
        <v>64</v>
      </c>
      <c r="G110" s="21" t="s">
        <v>209</v>
      </c>
      <c r="H110" s="17" t="s">
        <v>91</v>
      </c>
      <c r="I110" s="17" t="s">
        <v>56</v>
      </c>
      <c r="J110" s="17" t="s">
        <v>23</v>
      </c>
      <c r="K110" s="21" t="s">
        <v>194</v>
      </c>
      <c r="L110" s="4">
        <v>1</v>
      </c>
    </row>
    <row r="111" spans="1:12" ht="24.95" customHeight="1" x14ac:dyDescent="0.2">
      <c r="A111" s="18"/>
      <c r="B111" s="18"/>
      <c r="C111" s="18" t="s">
        <v>56</v>
      </c>
      <c r="D111" s="18"/>
      <c r="E111" s="18" t="s">
        <v>56</v>
      </c>
      <c r="F111" s="18"/>
      <c r="G111" s="21" t="s">
        <v>296</v>
      </c>
      <c r="H111" s="17" t="s">
        <v>91</v>
      </c>
      <c r="I111" s="17" t="s">
        <v>56</v>
      </c>
      <c r="J111" s="17" t="s">
        <v>23</v>
      </c>
      <c r="K111" s="21" t="s">
        <v>287</v>
      </c>
      <c r="L111" s="4">
        <v>1</v>
      </c>
    </row>
    <row r="112" spans="1:12" ht="24.95" customHeight="1" x14ac:dyDescent="0.2">
      <c r="A112" s="18"/>
      <c r="B112" s="18"/>
      <c r="C112" s="18" t="s">
        <v>56</v>
      </c>
      <c r="D112" s="18"/>
      <c r="E112" s="18" t="s">
        <v>56</v>
      </c>
      <c r="F112" s="19" t="s">
        <v>90</v>
      </c>
      <c r="G112" s="21" t="s">
        <v>208</v>
      </c>
      <c r="H112" s="17" t="s">
        <v>91</v>
      </c>
      <c r="I112" s="17" t="s">
        <v>56</v>
      </c>
      <c r="J112" s="17" t="s">
        <v>23</v>
      </c>
      <c r="K112" s="21" t="s">
        <v>191</v>
      </c>
      <c r="L112" s="4">
        <v>1</v>
      </c>
    </row>
    <row r="113" spans="1:12" ht="24.95" customHeight="1" x14ac:dyDescent="0.2">
      <c r="A113" s="18"/>
      <c r="B113" s="18"/>
      <c r="C113" s="18" t="s">
        <v>56</v>
      </c>
      <c r="D113" s="18"/>
      <c r="E113" s="18" t="s">
        <v>56</v>
      </c>
      <c r="F113" s="18"/>
      <c r="G113" s="21" t="s">
        <v>210</v>
      </c>
      <c r="H113" s="17" t="s">
        <v>91</v>
      </c>
      <c r="I113" s="17" t="s">
        <v>56</v>
      </c>
      <c r="J113" s="17" t="s">
        <v>23</v>
      </c>
      <c r="K113" s="21" t="s">
        <v>225</v>
      </c>
      <c r="L113" s="4">
        <v>1</v>
      </c>
    </row>
    <row r="114" spans="1:12" ht="24.95" customHeight="1" x14ac:dyDescent="0.2">
      <c r="A114" s="18"/>
      <c r="B114" s="18"/>
      <c r="C114" s="18" t="s">
        <v>56</v>
      </c>
      <c r="D114" s="18"/>
      <c r="E114" s="18" t="s">
        <v>56</v>
      </c>
      <c r="F114" s="19" t="s">
        <v>66</v>
      </c>
      <c r="G114" s="21" t="s">
        <v>582</v>
      </c>
      <c r="H114" s="17" t="s">
        <v>91</v>
      </c>
      <c r="I114" s="17" t="s">
        <v>56</v>
      </c>
      <c r="J114" s="17" t="s">
        <v>23</v>
      </c>
      <c r="K114" s="21" t="s">
        <v>417</v>
      </c>
      <c r="L114" s="4">
        <v>1</v>
      </c>
    </row>
    <row r="115" spans="1:12" ht="24.95" customHeight="1" x14ac:dyDescent="0.2">
      <c r="A115" s="18"/>
      <c r="B115" s="18"/>
      <c r="C115" s="18" t="s">
        <v>56</v>
      </c>
      <c r="D115" s="18"/>
      <c r="E115" s="18" t="s">
        <v>56</v>
      </c>
      <c r="F115" s="18"/>
      <c r="G115" s="21" t="s">
        <v>386</v>
      </c>
      <c r="H115" s="17" t="s">
        <v>91</v>
      </c>
      <c r="I115" s="17" t="s">
        <v>56</v>
      </c>
      <c r="J115" s="17" t="s">
        <v>23</v>
      </c>
      <c r="K115" s="21" t="s">
        <v>390</v>
      </c>
      <c r="L115" s="4">
        <v>1</v>
      </c>
    </row>
    <row r="116" spans="1:12" ht="24.95" customHeight="1" x14ac:dyDescent="0.2">
      <c r="A116" s="18"/>
      <c r="B116" s="18"/>
      <c r="C116" s="18" t="s">
        <v>56</v>
      </c>
      <c r="D116" s="18"/>
      <c r="E116" s="18" t="s">
        <v>56</v>
      </c>
      <c r="F116" s="21" t="s">
        <v>65</v>
      </c>
      <c r="G116" s="21" t="s">
        <v>71</v>
      </c>
      <c r="H116" s="17" t="s">
        <v>91</v>
      </c>
      <c r="I116" s="21" t="s">
        <v>160</v>
      </c>
      <c r="J116" s="21" t="s">
        <v>20</v>
      </c>
      <c r="K116" s="21" t="s">
        <v>389</v>
      </c>
      <c r="L116" s="4">
        <v>1</v>
      </c>
    </row>
    <row r="117" spans="1:12" ht="24.95" customHeight="1" x14ac:dyDescent="0.2">
      <c r="A117" s="18"/>
      <c r="B117" s="18"/>
      <c r="C117" s="18" t="s">
        <v>56</v>
      </c>
      <c r="D117" s="19" t="s">
        <v>70</v>
      </c>
      <c r="E117" s="17" t="s">
        <v>56</v>
      </c>
      <c r="F117" s="21" t="s">
        <v>63</v>
      </c>
      <c r="G117" s="21" t="s">
        <v>350</v>
      </c>
      <c r="H117" s="17" t="s">
        <v>91</v>
      </c>
      <c r="I117" s="21" t="s">
        <v>56</v>
      </c>
      <c r="J117" s="21" t="s">
        <v>23</v>
      </c>
      <c r="K117" s="21" t="s">
        <v>332</v>
      </c>
      <c r="L117" s="4">
        <v>1</v>
      </c>
    </row>
    <row r="118" spans="1:12" ht="24.95" customHeight="1" x14ac:dyDescent="0.2">
      <c r="A118" s="18"/>
      <c r="B118" s="18"/>
      <c r="C118" s="18" t="s">
        <v>56</v>
      </c>
      <c r="D118" s="18"/>
      <c r="E118" s="18" t="s">
        <v>56</v>
      </c>
      <c r="F118" s="19" t="s">
        <v>65</v>
      </c>
      <c r="G118" s="21" t="s">
        <v>93</v>
      </c>
      <c r="H118" s="17" t="s">
        <v>91</v>
      </c>
      <c r="I118" s="21" t="s">
        <v>159</v>
      </c>
      <c r="J118" s="19" t="s">
        <v>20</v>
      </c>
      <c r="K118" s="21" t="s">
        <v>158</v>
      </c>
      <c r="L118" s="4">
        <v>1</v>
      </c>
    </row>
    <row r="119" spans="1:12" ht="24.95" customHeight="1" x14ac:dyDescent="0.2">
      <c r="A119" s="18"/>
      <c r="B119" s="18"/>
      <c r="C119" s="18" t="s">
        <v>56</v>
      </c>
      <c r="D119" s="18"/>
      <c r="E119" s="18" t="s">
        <v>56</v>
      </c>
      <c r="F119" s="18"/>
      <c r="G119" s="21" t="s">
        <v>115</v>
      </c>
      <c r="H119" s="17" t="s">
        <v>91</v>
      </c>
      <c r="I119" s="21" t="s">
        <v>157</v>
      </c>
      <c r="J119" s="17" t="s">
        <v>20</v>
      </c>
      <c r="K119" s="21" t="s">
        <v>388</v>
      </c>
      <c r="L119" s="4">
        <v>1</v>
      </c>
    </row>
    <row r="120" spans="1:12" ht="24.95" customHeight="1" x14ac:dyDescent="0.2">
      <c r="A120" s="18"/>
      <c r="B120" s="18"/>
      <c r="C120" s="18" t="s">
        <v>56</v>
      </c>
      <c r="D120" s="21" t="s">
        <v>416</v>
      </c>
      <c r="E120" s="17" t="s">
        <v>56</v>
      </c>
      <c r="F120" s="17" t="s">
        <v>65</v>
      </c>
      <c r="G120" s="21" t="s">
        <v>415</v>
      </c>
      <c r="H120" s="17" t="s">
        <v>91</v>
      </c>
      <c r="I120" s="21" t="s">
        <v>414</v>
      </c>
      <c r="J120" s="17" t="s">
        <v>20</v>
      </c>
      <c r="K120" s="21" t="s">
        <v>412</v>
      </c>
      <c r="L120" s="4">
        <v>1</v>
      </c>
    </row>
    <row r="121" spans="1:12" ht="24.95" customHeight="1" x14ac:dyDescent="0.2">
      <c r="A121" s="18"/>
      <c r="B121" s="18"/>
      <c r="C121" s="18" t="s">
        <v>56</v>
      </c>
      <c r="D121" s="19" t="s">
        <v>98</v>
      </c>
      <c r="E121" s="17" t="s">
        <v>56</v>
      </c>
      <c r="F121" s="19" t="s">
        <v>130</v>
      </c>
      <c r="G121" s="21" t="s">
        <v>261</v>
      </c>
      <c r="H121" s="17" t="s">
        <v>91</v>
      </c>
      <c r="I121" s="19" t="s">
        <v>56</v>
      </c>
      <c r="J121" s="19" t="s">
        <v>23</v>
      </c>
      <c r="K121" s="21" t="s">
        <v>254</v>
      </c>
      <c r="L121" s="4">
        <v>1</v>
      </c>
    </row>
    <row r="122" spans="1:12" ht="24.95" customHeight="1" x14ac:dyDescent="0.2">
      <c r="A122" s="18"/>
      <c r="B122" s="18"/>
      <c r="C122" s="18" t="s">
        <v>56</v>
      </c>
      <c r="D122" s="18"/>
      <c r="E122" s="18" t="s">
        <v>56</v>
      </c>
      <c r="F122" s="18"/>
      <c r="G122" s="21" t="s">
        <v>136</v>
      </c>
      <c r="H122" s="17" t="s">
        <v>91</v>
      </c>
      <c r="I122" s="17" t="s">
        <v>56</v>
      </c>
      <c r="J122" s="17" t="s">
        <v>23</v>
      </c>
      <c r="K122" s="21" t="s">
        <v>344</v>
      </c>
      <c r="L122" s="4">
        <v>1</v>
      </c>
    </row>
    <row r="123" spans="1:12" ht="24.95" customHeight="1" x14ac:dyDescent="0.2">
      <c r="A123" s="18"/>
      <c r="B123" s="18"/>
      <c r="C123" s="18" t="s">
        <v>56</v>
      </c>
      <c r="D123" s="21" t="s">
        <v>323</v>
      </c>
      <c r="E123" s="17" t="s">
        <v>56</v>
      </c>
      <c r="F123" s="21" t="s">
        <v>64</v>
      </c>
      <c r="G123" s="21" t="s">
        <v>330</v>
      </c>
      <c r="H123" s="17" t="s">
        <v>91</v>
      </c>
      <c r="I123" s="21" t="s">
        <v>321</v>
      </c>
      <c r="J123" s="21" t="s">
        <v>20</v>
      </c>
      <c r="K123" s="21" t="s">
        <v>319</v>
      </c>
      <c r="L123" s="4">
        <v>1</v>
      </c>
    </row>
    <row r="124" spans="1:12" ht="24.95" customHeight="1" x14ac:dyDescent="0.2">
      <c r="A124" s="18"/>
      <c r="B124" s="18"/>
      <c r="C124" s="18" t="s">
        <v>56</v>
      </c>
      <c r="D124" s="19" t="s">
        <v>234</v>
      </c>
      <c r="E124" s="17" t="s">
        <v>56</v>
      </c>
      <c r="F124" s="19" t="s">
        <v>63</v>
      </c>
      <c r="G124" s="21" t="s">
        <v>285</v>
      </c>
      <c r="H124" s="17" t="s">
        <v>91</v>
      </c>
      <c r="I124" s="19" t="s">
        <v>56</v>
      </c>
      <c r="J124" s="19" t="s">
        <v>23</v>
      </c>
      <c r="K124" s="21" t="s">
        <v>272</v>
      </c>
      <c r="L124" s="4">
        <v>1</v>
      </c>
    </row>
    <row r="125" spans="1:12" ht="24.95" customHeight="1" x14ac:dyDescent="0.2">
      <c r="A125" s="18"/>
      <c r="B125" s="18"/>
      <c r="C125" s="18" t="s">
        <v>56</v>
      </c>
      <c r="D125" s="18"/>
      <c r="E125" s="18" t="s">
        <v>56</v>
      </c>
      <c r="F125" s="18"/>
      <c r="G125" s="21" t="s">
        <v>286</v>
      </c>
      <c r="H125" s="17" t="s">
        <v>91</v>
      </c>
      <c r="I125" s="17" t="s">
        <v>56</v>
      </c>
      <c r="J125" s="17" t="s">
        <v>23</v>
      </c>
      <c r="K125" s="21" t="s">
        <v>275</v>
      </c>
      <c r="L125" s="4">
        <v>1</v>
      </c>
    </row>
    <row r="126" spans="1:12" ht="24.95" customHeight="1" x14ac:dyDescent="0.2">
      <c r="A126" s="18"/>
      <c r="B126" s="18"/>
      <c r="C126" s="18" t="s">
        <v>56</v>
      </c>
      <c r="D126" s="18"/>
      <c r="E126" s="18" t="s">
        <v>56</v>
      </c>
      <c r="F126" s="21" t="s">
        <v>66</v>
      </c>
      <c r="G126" s="21" t="s">
        <v>387</v>
      </c>
      <c r="H126" s="17" t="s">
        <v>91</v>
      </c>
      <c r="I126" s="17" t="s">
        <v>56</v>
      </c>
      <c r="J126" s="17" t="s">
        <v>23</v>
      </c>
      <c r="K126" s="21" t="s">
        <v>351</v>
      </c>
      <c r="L126" s="4">
        <v>1</v>
      </c>
    </row>
    <row r="127" spans="1:12" ht="24.95" customHeight="1" x14ac:dyDescent="0.2">
      <c r="A127" s="18"/>
      <c r="B127" s="18"/>
      <c r="C127" s="18" t="s">
        <v>56</v>
      </c>
      <c r="D127" s="19" t="s">
        <v>242</v>
      </c>
      <c r="E127" s="17" t="s">
        <v>56</v>
      </c>
      <c r="F127" s="19" t="s">
        <v>571</v>
      </c>
      <c r="G127" s="21" t="s">
        <v>583</v>
      </c>
      <c r="H127" s="17" t="s">
        <v>91</v>
      </c>
      <c r="I127" s="21" t="s">
        <v>446</v>
      </c>
      <c r="J127" s="19" t="s">
        <v>20</v>
      </c>
      <c r="K127" s="21" t="s">
        <v>444</v>
      </c>
      <c r="L127" s="4">
        <v>1</v>
      </c>
    </row>
    <row r="128" spans="1:12" ht="24.95" customHeight="1" x14ac:dyDescent="0.2">
      <c r="A128" s="18"/>
      <c r="B128" s="18"/>
      <c r="C128" s="18" t="s">
        <v>56</v>
      </c>
      <c r="D128" s="18"/>
      <c r="E128" s="18" t="s">
        <v>56</v>
      </c>
      <c r="F128" s="18"/>
      <c r="G128" s="21" t="s">
        <v>584</v>
      </c>
      <c r="H128" s="17" t="s">
        <v>91</v>
      </c>
      <c r="I128" s="21" t="s">
        <v>449</v>
      </c>
      <c r="J128" s="17" t="s">
        <v>20</v>
      </c>
      <c r="K128" s="21" t="s">
        <v>448</v>
      </c>
      <c r="L128" s="4">
        <v>1</v>
      </c>
    </row>
    <row r="129" spans="1:12" ht="24.95" customHeight="1" x14ac:dyDescent="0.2">
      <c r="A129" s="18"/>
      <c r="B129" s="18"/>
      <c r="C129" s="18" t="s">
        <v>56</v>
      </c>
      <c r="D129" s="18"/>
      <c r="E129" s="18" t="s">
        <v>56</v>
      </c>
      <c r="F129" s="21" t="s">
        <v>95</v>
      </c>
      <c r="G129" s="21" t="s">
        <v>409</v>
      </c>
      <c r="H129" s="17" t="s">
        <v>91</v>
      </c>
      <c r="I129" s="21" t="s">
        <v>401</v>
      </c>
      <c r="J129" s="21" t="s">
        <v>94</v>
      </c>
      <c r="K129" s="21" t="s">
        <v>399</v>
      </c>
      <c r="L129" s="4">
        <v>1</v>
      </c>
    </row>
    <row r="130" spans="1:12" ht="24.95" customHeight="1" x14ac:dyDescent="0.2">
      <c r="A130" s="18"/>
      <c r="B130" s="18"/>
      <c r="C130" s="18" t="s">
        <v>56</v>
      </c>
      <c r="D130" s="21" t="s">
        <v>316</v>
      </c>
      <c r="E130" s="17" t="s">
        <v>56</v>
      </c>
      <c r="F130" s="21" t="s">
        <v>66</v>
      </c>
      <c r="G130" s="21" t="s">
        <v>331</v>
      </c>
      <c r="H130" s="21" t="s">
        <v>9</v>
      </c>
      <c r="I130" s="19" t="s">
        <v>56</v>
      </c>
      <c r="J130" s="19" t="s">
        <v>23</v>
      </c>
      <c r="K130" s="21" t="s">
        <v>313</v>
      </c>
      <c r="L130" s="4">
        <v>1</v>
      </c>
    </row>
    <row r="131" spans="1:12" ht="24.95" customHeight="1" x14ac:dyDescent="0.2">
      <c r="A131" s="18"/>
      <c r="B131" s="18"/>
      <c r="C131" s="18" t="s">
        <v>56</v>
      </c>
      <c r="D131" s="19" t="s">
        <v>148</v>
      </c>
      <c r="E131" s="17" t="s">
        <v>56</v>
      </c>
      <c r="F131" s="19" t="s">
        <v>64</v>
      </c>
      <c r="G131" s="21" t="s">
        <v>585</v>
      </c>
      <c r="H131" s="19" t="s">
        <v>91</v>
      </c>
      <c r="I131" s="17" t="s">
        <v>56</v>
      </c>
      <c r="J131" s="17" t="s">
        <v>23</v>
      </c>
      <c r="K131" s="21" t="s">
        <v>432</v>
      </c>
      <c r="L131" s="4">
        <v>1</v>
      </c>
    </row>
    <row r="132" spans="1:12" ht="24.95" customHeight="1" x14ac:dyDescent="0.2">
      <c r="A132" s="18"/>
      <c r="B132" s="18"/>
      <c r="C132" s="18" t="s">
        <v>56</v>
      </c>
      <c r="D132" s="18"/>
      <c r="E132" s="18" t="s">
        <v>56</v>
      </c>
      <c r="F132" s="18"/>
      <c r="G132" s="21" t="s">
        <v>586</v>
      </c>
      <c r="H132" s="17" t="s">
        <v>91</v>
      </c>
      <c r="I132" s="17" t="s">
        <v>56</v>
      </c>
      <c r="J132" s="17" t="s">
        <v>23</v>
      </c>
      <c r="K132" s="21" t="s">
        <v>435</v>
      </c>
      <c r="L132" s="4">
        <v>1</v>
      </c>
    </row>
    <row r="133" spans="1:12" ht="24.95" customHeight="1" x14ac:dyDescent="0.2">
      <c r="A133" s="18"/>
      <c r="B133" s="18"/>
      <c r="C133" s="18" t="s">
        <v>56</v>
      </c>
      <c r="D133" s="18"/>
      <c r="E133" s="18" t="s">
        <v>56</v>
      </c>
      <c r="F133" s="19" t="s">
        <v>90</v>
      </c>
      <c r="G133" s="21" t="s">
        <v>155</v>
      </c>
      <c r="H133" s="17" t="s">
        <v>91</v>
      </c>
      <c r="I133" s="17" t="s">
        <v>56</v>
      </c>
      <c r="J133" s="17" t="s">
        <v>23</v>
      </c>
      <c r="K133" s="21" t="s">
        <v>149</v>
      </c>
      <c r="L133" s="4">
        <v>1</v>
      </c>
    </row>
    <row r="134" spans="1:12" ht="24.95" customHeight="1" x14ac:dyDescent="0.2">
      <c r="A134" s="18"/>
      <c r="B134" s="18"/>
      <c r="C134" s="18" t="s">
        <v>56</v>
      </c>
      <c r="D134" s="18"/>
      <c r="E134" s="18" t="s">
        <v>56</v>
      </c>
      <c r="F134" s="18"/>
      <c r="G134" s="21" t="s">
        <v>156</v>
      </c>
      <c r="H134" s="17" t="s">
        <v>91</v>
      </c>
      <c r="I134" s="17" t="s">
        <v>56</v>
      </c>
      <c r="J134" s="17" t="s">
        <v>23</v>
      </c>
      <c r="K134" s="21" t="s">
        <v>151</v>
      </c>
      <c r="L134" s="4">
        <v>1</v>
      </c>
    </row>
    <row r="135" spans="1:12" ht="24.95" customHeight="1" x14ac:dyDescent="0.2">
      <c r="A135" s="18"/>
      <c r="B135" s="18"/>
      <c r="C135" s="18" t="s">
        <v>56</v>
      </c>
      <c r="D135" s="19" t="s">
        <v>268</v>
      </c>
      <c r="E135" s="17" t="s">
        <v>56</v>
      </c>
      <c r="F135" s="21" t="s">
        <v>407</v>
      </c>
      <c r="G135" s="21" t="s">
        <v>410</v>
      </c>
      <c r="H135" s="17" t="s">
        <v>91</v>
      </c>
      <c r="I135" s="17" t="s">
        <v>56</v>
      </c>
      <c r="J135" s="21" t="s">
        <v>94</v>
      </c>
      <c r="K135" s="21" t="s">
        <v>391</v>
      </c>
      <c r="L135" s="4">
        <v>1</v>
      </c>
    </row>
    <row r="136" spans="1:12" ht="24.95" customHeight="1" x14ac:dyDescent="0.2">
      <c r="A136" s="18"/>
      <c r="B136" s="18"/>
      <c r="C136" s="18" t="s">
        <v>56</v>
      </c>
      <c r="D136" s="18"/>
      <c r="E136" s="18" t="s">
        <v>56</v>
      </c>
      <c r="F136" s="21" t="s">
        <v>95</v>
      </c>
      <c r="G136" s="21" t="s">
        <v>587</v>
      </c>
      <c r="H136" s="17" t="s">
        <v>91</v>
      </c>
      <c r="I136" s="17" t="s">
        <v>56</v>
      </c>
      <c r="J136" s="19" t="s">
        <v>23</v>
      </c>
      <c r="K136" s="21" t="s">
        <v>437</v>
      </c>
      <c r="L136" s="4">
        <v>1</v>
      </c>
    </row>
    <row r="137" spans="1:12" ht="24.95" customHeight="1" x14ac:dyDescent="0.2">
      <c r="A137" s="18"/>
      <c r="B137" s="18"/>
      <c r="C137" s="18" t="s">
        <v>56</v>
      </c>
      <c r="D137" s="18"/>
      <c r="E137" s="18" t="s">
        <v>56</v>
      </c>
      <c r="F137" s="21" t="s">
        <v>380</v>
      </c>
      <c r="G137" s="21" t="s">
        <v>411</v>
      </c>
      <c r="H137" s="17" t="s">
        <v>91</v>
      </c>
      <c r="I137" s="17" t="s">
        <v>56</v>
      </c>
      <c r="J137" s="17" t="s">
        <v>23</v>
      </c>
      <c r="K137" s="21" t="s">
        <v>394</v>
      </c>
      <c r="L137" s="4">
        <v>1</v>
      </c>
    </row>
    <row r="138" spans="1:12" ht="24.95" customHeight="1" x14ac:dyDescent="0.2">
      <c r="A138" s="18"/>
      <c r="B138" s="18"/>
      <c r="C138" s="21" t="s">
        <v>45</v>
      </c>
      <c r="D138" s="21" t="s">
        <v>74</v>
      </c>
      <c r="E138" s="17" t="s">
        <v>56</v>
      </c>
      <c r="F138" s="21" t="s">
        <v>111</v>
      </c>
      <c r="G138" s="21" t="s">
        <v>430</v>
      </c>
      <c r="H138" s="17" t="s">
        <v>91</v>
      </c>
      <c r="I138" s="17" t="s">
        <v>56</v>
      </c>
      <c r="J138" s="17" t="s">
        <v>23</v>
      </c>
      <c r="K138" s="21" t="s">
        <v>428</v>
      </c>
      <c r="L138" s="4">
        <v>1</v>
      </c>
    </row>
    <row r="139" spans="1:12" ht="12.75" x14ac:dyDescent="0.2">
      <c r="A139" s="20"/>
      <c r="B139" s="27" t="s">
        <v>87</v>
      </c>
      <c r="C139" s="24"/>
      <c r="D139" s="24"/>
      <c r="E139" s="24"/>
      <c r="F139" s="24"/>
      <c r="G139" s="24"/>
      <c r="H139" s="24"/>
      <c r="I139" s="24"/>
      <c r="J139" s="24"/>
      <c r="K139" s="24"/>
      <c r="L139" s="25">
        <v>64</v>
      </c>
    </row>
    <row r="140" spans="1:12" ht="24.9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5"/>
    </row>
    <row r="141" spans="1:12" ht="24.9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5"/>
    </row>
    <row r="142" spans="1:12" ht="24.9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5"/>
    </row>
    <row r="143" spans="1:12" ht="24.9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5"/>
    </row>
    <row r="144" spans="1:12" ht="24.9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5"/>
    </row>
    <row r="145" spans="1:12" ht="24.9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5"/>
    </row>
    <row r="146" spans="1:12" ht="24.9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5"/>
    </row>
    <row r="147" spans="1:12" ht="24.9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5"/>
    </row>
    <row r="148" spans="1:12" ht="24.9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5"/>
    </row>
    <row r="149" spans="1:12" ht="24.9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5"/>
    </row>
    <row r="150" spans="1:12" ht="24.9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5"/>
    </row>
    <row r="151" spans="1:12" ht="24.9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5"/>
    </row>
    <row r="152" spans="1:12" ht="24.9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5"/>
    </row>
    <row r="153" spans="1:12" ht="24.9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5"/>
    </row>
    <row r="154" spans="1:12" ht="24.9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5"/>
    </row>
    <row r="155" spans="1:12" ht="24.9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5"/>
    </row>
    <row r="156" spans="1:12" ht="24.9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5"/>
    </row>
    <row r="157" spans="1:12" ht="24.9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5"/>
    </row>
    <row r="158" spans="1:12" ht="24.9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5"/>
    </row>
    <row r="159" spans="1:12" ht="24.9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5"/>
    </row>
    <row r="160" spans="1:12" ht="24.9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5"/>
    </row>
    <row r="161" spans="1:12" ht="24.9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5"/>
    </row>
    <row r="162" spans="1:12" ht="24.9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5"/>
    </row>
    <row r="163" spans="1:12" ht="24.9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5"/>
    </row>
    <row r="164" spans="1:12" ht="24.9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5"/>
    </row>
    <row r="165" spans="1:12" ht="24.9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5"/>
    </row>
    <row r="166" spans="1:12" ht="24.9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5"/>
    </row>
    <row r="167" spans="1:12" ht="24.9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5"/>
    </row>
    <row r="168" spans="1:12" ht="24.9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5"/>
    </row>
    <row r="169" spans="1:12" ht="24.9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5"/>
    </row>
    <row r="170" spans="1:12" ht="24.9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5"/>
    </row>
    <row r="171" spans="1:12" ht="24.9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5"/>
    </row>
    <row r="172" spans="1:12" ht="24.9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5"/>
    </row>
    <row r="173" spans="1:12" ht="24.9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5"/>
    </row>
    <row r="174" spans="1:12" ht="24.9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5"/>
    </row>
    <row r="175" spans="1:12" ht="24.9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5"/>
    </row>
    <row r="176" spans="1:12" ht="24.9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5"/>
    </row>
    <row r="177" spans="1:12" ht="24.9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5"/>
    </row>
    <row r="178" spans="1:12" ht="24.9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5"/>
    </row>
    <row r="179" spans="1:12" ht="24.9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5"/>
    </row>
    <row r="180" spans="1:12" ht="24.9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5"/>
    </row>
    <row r="181" spans="1:12" ht="24.9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5"/>
    </row>
    <row r="182" spans="1:12" ht="24.9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5"/>
    </row>
    <row r="183" spans="1:12" ht="24.9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5"/>
    </row>
    <row r="184" spans="1:12" ht="24.9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5"/>
    </row>
    <row r="185" spans="1:12" ht="24.9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5"/>
    </row>
    <row r="186" spans="1:12" ht="24.9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5"/>
    </row>
    <row r="187" spans="1:12" ht="24.9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5"/>
    </row>
    <row r="188" spans="1:12" ht="24.9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5"/>
    </row>
    <row r="189" spans="1:12" ht="24.9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5"/>
    </row>
    <row r="190" spans="1:12" ht="24.9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5"/>
    </row>
    <row r="191" spans="1:12" ht="24.9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5"/>
    </row>
    <row r="192" spans="1:12" ht="24.9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5"/>
    </row>
    <row r="193" spans="1:12" ht="24.9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5"/>
    </row>
    <row r="194" spans="1:12" ht="24.9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5"/>
    </row>
    <row r="195" spans="1:12" ht="24.9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5"/>
    </row>
    <row r="196" spans="1:12" ht="24.9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5"/>
    </row>
    <row r="197" spans="1:12" ht="24.9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5"/>
    </row>
    <row r="198" spans="1:12" ht="24.9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5"/>
    </row>
    <row r="199" spans="1:12" ht="24.9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5"/>
    </row>
    <row r="200" spans="1:12" ht="24.9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5"/>
    </row>
    <row r="201" spans="1:12" ht="24.9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5"/>
    </row>
    <row r="202" spans="1:12" ht="24.9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5"/>
    </row>
    <row r="203" spans="1:12" ht="24.9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5"/>
    </row>
    <row r="204" spans="1:12" ht="24.9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5"/>
    </row>
    <row r="205" spans="1:12" ht="24.9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5"/>
    </row>
    <row r="206" spans="1:12" ht="24.9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5"/>
    </row>
    <row r="207" spans="1:12" ht="24.9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5"/>
    </row>
    <row r="208" spans="1:12" ht="24.9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5"/>
    </row>
    <row r="209" spans="1:12" ht="24.9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5"/>
    </row>
    <row r="210" spans="1:12" ht="24.9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5"/>
    </row>
    <row r="211" spans="1:12" ht="24.9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5"/>
    </row>
    <row r="212" spans="1:12" ht="24.9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5"/>
    </row>
    <row r="213" spans="1:12" ht="24.9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5"/>
    </row>
    <row r="214" spans="1:12" ht="24.9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 s="5"/>
    </row>
    <row r="215" spans="1:12" ht="24.9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 s="5"/>
    </row>
    <row r="216" spans="1:12" ht="24.9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 s="5"/>
    </row>
    <row r="217" spans="1:12" ht="24.9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 s="5"/>
    </row>
    <row r="218" spans="1:12" ht="24.9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 s="5"/>
    </row>
    <row r="219" spans="1:12" ht="24.9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 s="5"/>
    </row>
    <row r="220" spans="1:12" ht="24.9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 s="5"/>
    </row>
    <row r="221" spans="1:12" ht="24.9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 s="5"/>
    </row>
    <row r="222" spans="1:12" ht="24.9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 s="5"/>
    </row>
    <row r="223" spans="1:12" ht="24.95" customHeight="1" x14ac:dyDescent="0.2">
      <c r="A223"/>
      <c r="B223"/>
      <c r="C223"/>
      <c r="D223"/>
      <c r="E223"/>
      <c r="F223"/>
      <c r="G223"/>
      <c r="H223"/>
      <c r="I223"/>
      <c r="J223"/>
      <c r="K223"/>
      <c r="L223" s="5"/>
    </row>
    <row r="224" spans="1:12" ht="24.95" customHeight="1" x14ac:dyDescent="0.2">
      <c r="A224"/>
      <c r="B224"/>
      <c r="C224"/>
      <c r="D224"/>
      <c r="E224"/>
      <c r="F224"/>
      <c r="G224"/>
      <c r="H224"/>
      <c r="I224"/>
      <c r="J224"/>
      <c r="K224"/>
      <c r="L224" s="5"/>
    </row>
    <row r="225" spans="1:12" ht="24.95" customHeight="1" x14ac:dyDescent="0.2">
      <c r="A225"/>
      <c r="B225"/>
      <c r="C225"/>
      <c r="D225"/>
      <c r="E225"/>
      <c r="F225"/>
      <c r="G225"/>
      <c r="H225"/>
      <c r="I225"/>
      <c r="J225"/>
      <c r="K225"/>
      <c r="L225" s="5"/>
    </row>
    <row r="226" spans="1:12" ht="24.95" customHeight="1" x14ac:dyDescent="0.2">
      <c r="A226"/>
      <c r="B226"/>
      <c r="C226"/>
      <c r="D226"/>
      <c r="E226"/>
      <c r="F226"/>
      <c r="G226"/>
      <c r="H226"/>
      <c r="I226"/>
      <c r="J226"/>
      <c r="K226"/>
      <c r="L226" s="5"/>
    </row>
    <row r="227" spans="1:12" ht="24.95" customHeight="1" x14ac:dyDescent="0.2">
      <c r="A227"/>
      <c r="B227"/>
      <c r="C227"/>
      <c r="D227"/>
      <c r="E227"/>
      <c r="F227"/>
      <c r="G227"/>
      <c r="H227"/>
      <c r="I227"/>
      <c r="J227"/>
      <c r="K227"/>
      <c r="L227" s="5"/>
    </row>
    <row r="228" spans="1:12" ht="24.95" customHeight="1" x14ac:dyDescent="0.2">
      <c r="A228"/>
      <c r="B228"/>
      <c r="C228"/>
      <c r="D228"/>
      <c r="E228"/>
      <c r="F228"/>
      <c r="G228"/>
      <c r="H228"/>
      <c r="I228"/>
      <c r="J228"/>
      <c r="K228"/>
      <c r="L228" s="5"/>
    </row>
    <row r="229" spans="1:12" ht="24.95" customHeight="1" x14ac:dyDescent="0.2">
      <c r="A229"/>
      <c r="B229"/>
      <c r="C229"/>
      <c r="D229"/>
      <c r="E229"/>
      <c r="F229"/>
      <c r="G229"/>
      <c r="H229"/>
      <c r="I229"/>
      <c r="J229"/>
      <c r="K229"/>
      <c r="L229" s="5"/>
    </row>
    <row r="230" spans="1:12" ht="24.95" customHeight="1" x14ac:dyDescent="0.2">
      <c r="A230"/>
      <c r="B230"/>
      <c r="C230"/>
      <c r="D230"/>
      <c r="E230"/>
      <c r="F230"/>
      <c r="G230"/>
      <c r="H230"/>
      <c r="I230"/>
      <c r="J230"/>
      <c r="K230"/>
      <c r="L230" s="5"/>
    </row>
    <row r="231" spans="1:12" ht="24.95" customHeight="1" x14ac:dyDescent="0.2">
      <c r="A231"/>
      <c r="B231"/>
      <c r="C231"/>
      <c r="D231"/>
      <c r="E231"/>
      <c r="F231"/>
      <c r="G231"/>
      <c r="H231"/>
      <c r="I231"/>
      <c r="J231"/>
      <c r="K231"/>
      <c r="L231" s="5"/>
    </row>
    <row r="232" spans="1:12" ht="24.95" customHeight="1" x14ac:dyDescent="0.2">
      <c r="A232"/>
      <c r="B232"/>
      <c r="C232"/>
      <c r="D232"/>
      <c r="E232"/>
      <c r="F232"/>
      <c r="G232"/>
      <c r="H232"/>
      <c r="I232"/>
      <c r="J232"/>
      <c r="K232"/>
      <c r="L232" s="5"/>
    </row>
    <row r="233" spans="1:12" ht="24.95" customHeight="1" x14ac:dyDescent="0.2">
      <c r="A233"/>
      <c r="B233"/>
      <c r="C233"/>
      <c r="D233"/>
      <c r="E233"/>
      <c r="F233"/>
      <c r="G233"/>
      <c r="H233"/>
      <c r="I233"/>
      <c r="J233"/>
      <c r="K233"/>
      <c r="L233" s="5"/>
    </row>
    <row r="234" spans="1:12" ht="24.95" customHeight="1" x14ac:dyDescent="0.2">
      <c r="A234"/>
      <c r="B234"/>
      <c r="C234"/>
      <c r="D234"/>
      <c r="E234"/>
      <c r="F234"/>
      <c r="G234"/>
      <c r="H234"/>
      <c r="I234"/>
      <c r="J234"/>
      <c r="K234"/>
      <c r="L234" s="5"/>
    </row>
    <row r="235" spans="1:12" ht="24.95" customHeight="1" x14ac:dyDescent="0.2">
      <c r="A235"/>
      <c r="B235"/>
      <c r="C235"/>
      <c r="D235"/>
      <c r="E235"/>
      <c r="F235"/>
      <c r="G235"/>
      <c r="H235"/>
      <c r="I235"/>
      <c r="J235"/>
      <c r="K235"/>
      <c r="L235" s="5"/>
    </row>
    <row r="236" spans="1:12" ht="24.95" customHeight="1" x14ac:dyDescent="0.2">
      <c r="A236"/>
      <c r="B236"/>
      <c r="C236"/>
      <c r="D236"/>
      <c r="E236"/>
      <c r="F236"/>
      <c r="G236"/>
      <c r="H236"/>
      <c r="I236"/>
      <c r="J236"/>
      <c r="K236"/>
      <c r="L236" s="5"/>
    </row>
    <row r="237" spans="1:12" ht="24.95" customHeight="1" x14ac:dyDescent="0.2">
      <c r="A237"/>
      <c r="B237"/>
      <c r="C237"/>
      <c r="D237"/>
      <c r="E237"/>
      <c r="F237"/>
      <c r="G237"/>
      <c r="H237"/>
      <c r="I237"/>
      <c r="J237"/>
      <c r="K237"/>
      <c r="L237" s="5"/>
    </row>
    <row r="238" spans="1:12" ht="24.95" customHeight="1" x14ac:dyDescent="0.2">
      <c r="A238"/>
      <c r="B238"/>
      <c r="C238"/>
      <c r="D238"/>
      <c r="E238"/>
      <c r="F238"/>
      <c r="G238"/>
      <c r="H238"/>
      <c r="I238"/>
      <c r="J238"/>
      <c r="K238"/>
      <c r="L238" s="5"/>
    </row>
    <row r="239" spans="1:12" ht="24.95" customHeight="1" x14ac:dyDescent="0.2">
      <c r="A239"/>
      <c r="B239"/>
      <c r="C239"/>
      <c r="D239"/>
      <c r="E239"/>
      <c r="F239"/>
      <c r="G239"/>
      <c r="H239"/>
      <c r="I239"/>
      <c r="J239"/>
      <c r="K239"/>
      <c r="L239" s="5"/>
    </row>
    <row r="240" spans="1:12" ht="24.95" customHeight="1" x14ac:dyDescent="0.2">
      <c r="A240"/>
      <c r="B240"/>
      <c r="C240"/>
      <c r="D240"/>
      <c r="E240"/>
      <c r="F240"/>
      <c r="G240"/>
      <c r="H240"/>
      <c r="I240"/>
      <c r="J240"/>
      <c r="K240"/>
      <c r="L240" s="5"/>
    </row>
    <row r="241" spans="1:12" ht="24.95" customHeight="1" x14ac:dyDescent="0.2">
      <c r="A241"/>
      <c r="B241"/>
      <c r="C241"/>
      <c r="D241"/>
      <c r="E241"/>
      <c r="F241"/>
      <c r="G241"/>
      <c r="H241"/>
      <c r="I241"/>
      <c r="J241"/>
      <c r="K241"/>
      <c r="L241" s="5"/>
    </row>
    <row r="242" spans="1:12" ht="24.95" customHeight="1" x14ac:dyDescent="0.2">
      <c r="A242"/>
      <c r="B242"/>
      <c r="C242"/>
      <c r="D242"/>
      <c r="E242"/>
      <c r="F242"/>
      <c r="G242"/>
      <c r="H242"/>
      <c r="I242"/>
      <c r="J242"/>
      <c r="K242"/>
      <c r="L242" s="5"/>
    </row>
    <row r="243" spans="1:12" ht="24.95" customHeight="1" x14ac:dyDescent="0.2">
      <c r="A243"/>
      <c r="B243"/>
      <c r="C243"/>
      <c r="D243"/>
      <c r="E243"/>
      <c r="F243"/>
      <c r="G243"/>
      <c r="H243"/>
      <c r="I243"/>
      <c r="J243"/>
      <c r="K243"/>
      <c r="L243" s="5"/>
    </row>
    <row r="244" spans="1:12" ht="24.95" customHeight="1" x14ac:dyDescent="0.2">
      <c r="A244"/>
      <c r="B244"/>
      <c r="C244"/>
      <c r="D244"/>
      <c r="E244"/>
      <c r="F244"/>
      <c r="G244"/>
      <c r="H244"/>
      <c r="I244"/>
      <c r="J244"/>
      <c r="K244"/>
      <c r="L244" s="5"/>
    </row>
    <row r="245" spans="1:12" ht="24.95" customHeight="1" x14ac:dyDescent="0.2">
      <c r="A245"/>
      <c r="B245"/>
      <c r="C245"/>
      <c r="D245"/>
      <c r="E245"/>
      <c r="F245"/>
      <c r="G245"/>
      <c r="H245"/>
      <c r="I245"/>
      <c r="J245"/>
      <c r="K245"/>
      <c r="L245" s="5"/>
    </row>
    <row r="246" spans="1:12" ht="24.95" customHeight="1" x14ac:dyDescent="0.2">
      <c r="A246"/>
      <c r="B246"/>
      <c r="C246"/>
      <c r="D246"/>
      <c r="E246"/>
      <c r="F246"/>
      <c r="G246"/>
      <c r="H246"/>
      <c r="I246"/>
      <c r="J246"/>
      <c r="K246"/>
      <c r="L246" s="5"/>
    </row>
    <row r="247" spans="1:12" ht="24.95" customHeight="1" x14ac:dyDescent="0.2">
      <c r="A247"/>
      <c r="B247"/>
      <c r="C247"/>
      <c r="D247"/>
      <c r="E247"/>
      <c r="F247"/>
      <c r="G247"/>
      <c r="H247"/>
      <c r="I247"/>
      <c r="J247"/>
      <c r="K247"/>
      <c r="L247" s="5"/>
    </row>
    <row r="248" spans="1:12" ht="24.95" customHeight="1" x14ac:dyDescent="0.2">
      <c r="A248"/>
      <c r="B248"/>
      <c r="C248"/>
      <c r="D248"/>
      <c r="E248"/>
      <c r="F248"/>
      <c r="G248"/>
      <c r="H248"/>
      <c r="I248"/>
      <c r="J248"/>
      <c r="K248"/>
      <c r="L248" s="5"/>
    </row>
    <row r="249" spans="1:12" ht="24.95" customHeight="1" x14ac:dyDescent="0.2">
      <c r="A249"/>
      <c r="B249"/>
      <c r="C249"/>
      <c r="D249"/>
      <c r="E249"/>
      <c r="F249"/>
      <c r="G249"/>
      <c r="H249"/>
      <c r="I249"/>
      <c r="J249"/>
      <c r="K249"/>
      <c r="L249" s="5"/>
    </row>
    <row r="250" spans="1:12" ht="24.95" customHeight="1" x14ac:dyDescent="0.2">
      <c r="A250"/>
      <c r="B250"/>
      <c r="C250"/>
      <c r="D250"/>
      <c r="E250"/>
      <c r="F250"/>
      <c r="G250"/>
      <c r="H250"/>
      <c r="I250"/>
      <c r="J250"/>
      <c r="K250"/>
      <c r="L250" s="5"/>
    </row>
    <row r="251" spans="1:12" ht="24.95" customHeight="1" x14ac:dyDescent="0.2">
      <c r="A251"/>
      <c r="B251"/>
      <c r="C251"/>
      <c r="D251"/>
      <c r="E251"/>
      <c r="F251"/>
      <c r="G251"/>
      <c r="H251"/>
      <c r="I251"/>
      <c r="J251"/>
      <c r="K251"/>
      <c r="L251" s="5"/>
    </row>
    <row r="252" spans="1:12" ht="24.95" customHeight="1" x14ac:dyDescent="0.2">
      <c r="A252"/>
      <c r="B252"/>
      <c r="C252"/>
      <c r="D252"/>
      <c r="E252"/>
      <c r="F252"/>
      <c r="G252"/>
      <c r="H252"/>
      <c r="I252"/>
      <c r="J252"/>
      <c r="K252"/>
      <c r="L252" s="5"/>
    </row>
    <row r="253" spans="1:12" ht="24.95" customHeight="1" x14ac:dyDescent="0.2">
      <c r="A253"/>
      <c r="B253"/>
      <c r="C253"/>
      <c r="D253"/>
      <c r="E253"/>
      <c r="F253"/>
      <c r="G253"/>
      <c r="H253"/>
      <c r="I253"/>
      <c r="J253"/>
      <c r="K253"/>
      <c r="L253" s="5"/>
    </row>
    <row r="254" spans="1:12" ht="24.95" customHeight="1" x14ac:dyDescent="0.2">
      <c r="A254"/>
      <c r="B254"/>
      <c r="C254"/>
      <c r="D254"/>
      <c r="E254"/>
      <c r="F254"/>
      <c r="G254"/>
      <c r="H254"/>
      <c r="I254"/>
      <c r="J254"/>
      <c r="K254"/>
      <c r="L254" s="5"/>
    </row>
    <row r="255" spans="1:12" ht="24.95" customHeight="1" x14ac:dyDescent="0.2">
      <c r="A255"/>
      <c r="B255"/>
      <c r="C255"/>
      <c r="D255"/>
      <c r="E255"/>
      <c r="F255"/>
      <c r="G255"/>
      <c r="H255"/>
      <c r="I255"/>
      <c r="J255"/>
      <c r="K255"/>
      <c r="L255" s="5"/>
    </row>
    <row r="256" spans="1:12" ht="24.95" customHeight="1" x14ac:dyDescent="0.2">
      <c r="A256"/>
      <c r="B256"/>
      <c r="C256"/>
      <c r="D256"/>
      <c r="E256"/>
      <c r="F256"/>
      <c r="G256"/>
      <c r="H256"/>
      <c r="I256"/>
      <c r="J256"/>
      <c r="K256"/>
      <c r="L256" s="5"/>
    </row>
    <row r="257" spans="1:12" ht="24.95" customHeight="1" x14ac:dyDescent="0.2">
      <c r="A257"/>
      <c r="B257"/>
      <c r="C257"/>
      <c r="D257"/>
      <c r="E257"/>
      <c r="F257"/>
      <c r="G257"/>
      <c r="H257"/>
      <c r="I257"/>
      <c r="J257"/>
      <c r="K257"/>
      <c r="L257" s="5"/>
    </row>
    <row r="258" spans="1:12" ht="24.95" customHeight="1" x14ac:dyDescent="0.2">
      <c r="A258"/>
      <c r="B258"/>
      <c r="C258"/>
      <c r="D258"/>
      <c r="E258"/>
      <c r="F258"/>
      <c r="G258"/>
      <c r="H258"/>
      <c r="I258"/>
      <c r="J258"/>
      <c r="K258"/>
      <c r="L258" s="5"/>
    </row>
    <row r="259" spans="1:12" ht="24.95" customHeight="1" x14ac:dyDescent="0.2">
      <c r="A259"/>
      <c r="B259"/>
      <c r="C259"/>
      <c r="D259"/>
      <c r="E259"/>
      <c r="F259"/>
      <c r="G259"/>
      <c r="H259"/>
      <c r="I259"/>
      <c r="J259"/>
      <c r="K259"/>
      <c r="L259" s="5"/>
    </row>
    <row r="260" spans="1:12" ht="24.95" customHeight="1" x14ac:dyDescent="0.2">
      <c r="A260"/>
      <c r="B260"/>
      <c r="C260"/>
      <c r="D260"/>
      <c r="E260"/>
      <c r="F260"/>
      <c r="G260"/>
      <c r="H260"/>
      <c r="I260"/>
      <c r="J260"/>
      <c r="K260"/>
      <c r="L260" s="5"/>
    </row>
    <row r="261" spans="1:12" ht="24.95" customHeight="1" x14ac:dyDescent="0.2">
      <c r="A261"/>
      <c r="B261"/>
      <c r="C261"/>
      <c r="D261"/>
      <c r="E261"/>
      <c r="F261"/>
      <c r="G261"/>
      <c r="H261"/>
      <c r="I261"/>
      <c r="J261"/>
      <c r="K261"/>
      <c r="L261" s="5"/>
    </row>
    <row r="262" spans="1:12" ht="24.95" customHeight="1" x14ac:dyDescent="0.2">
      <c r="A262"/>
      <c r="B262"/>
      <c r="C262"/>
      <c r="D262"/>
      <c r="E262"/>
      <c r="F262"/>
      <c r="G262"/>
      <c r="H262"/>
      <c r="I262"/>
      <c r="J262"/>
      <c r="K262"/>
      <c r="L262" s="5"/>
    </row>
    <row r="263" spans="1:12" ht="24.95" customHeight="1" x14ac:dyDescent="0.2">
      <c r="A263"/>
      <c r="B263"/>
      <c r="C263"/>
      <c r="D263"/>
      <c r="E263"/>
      <c r="F263"/>
      <c r="G263"/>
      <c r="H263"/>
      <c r="I263"/>
      <c r="J263"/>
      <c r="K263"/>
      <c r="L263" s="5"/>
    </row>
    <row r="264" spans="1:12" ht="24.95" customHeight="1" x14ac:dyDescent="0.2">
      <c r="A264"/>
      <c r="B264"/>
      <c r="C264"/>
      <c r="D264"/>
      <c r="E264"/>
      <c r="F264"/>
      <c r="G264"/>
      <c r="H264"/>
      <c r="I264"/>
      <c r="J264"/>
      <c r="K264"/>
      <c r="L264" s="5"/>
    </row>
    <row r="265" spans="1:12" ht="24.95" customHeight="1" x14ac:dyDescent="0.2">
      <c r="A265"/>
      <c r="B265"/>
      <c r="C265"/>
      <c r="D265"/>
      <c r="E265"/>
      <c r="F265"/>
      <c r="G265"/>
      <c r="H265"/>
      <c r="I265"/>
      <c r="J265"/>
      <c r="K265"/>
      <c r="L265" s="5"/>
    </row>
    <row r="266" spans="1:12" ht="24.95" customHeight="1" x14ac:dyDescent="0.2">
      <c r="A266"/>
      <c r="B266"/>
      <c r="C266"/>
      <c r="D266"/>
      <c r="E266"/>
      <c r="F266"/>
      <c r="G266"/>
      <c r="H266"/>
      <c r="I266"/>
      <c r="J266"/>
      <c r="K266"/>
      <c r="L266" s="5"/>
    </row>
    <row r="267" spans="1:12" ht="24.95" customHeight="1" x14ac:dyDescent="0.2">
      <c r="A267"/>
      <c r="B267"/>
      <c r="C267"/>
      <c r="D267"/>
      <c r="E267"/>
      <c r="F267"/>
      <c r="G267"/>
      <c r="H267"/>
      <c r="I267"/>
      <c r="J267"/>
      <c r="K267"/>
      <c r="L267" s="5"/>
    </row>
    <row r="268" spans="1:12" ht="24.95" customHeight="1" x14ac:dyDescent="0.2">
      <c r="A268"/>
      <c r="B268"/>
      <c r="C268"/>
      <c r="D268"/>
      <c r="E268"/>
      <c r="F268"/>
      <c r="G268"/>
      <c r="H268"/>
      <c r="I268"/>
      <c r="J268"/>
      <c r="K268"/>
      <c r="L268" s="5"/>
    </row>
    <row r="269" spans="1:12" ht="24.95" customHeight="1" x14ac:dyDescent="0.2">
      <c r="A269"/>
      <c r="B269"/>
      <c r="C269"/>
      <c r="D269"/>
      <c r="E269"/>
      <c r="F269"/>
      <c r="G269"/>
      <c r="H269"/>
      <c r="I269"/>
      <c r="J269"/>
      <c r="K269"/>
      <c r="L269" s="5"/>
    </row>
    <row r="270" spans="1:12" ht="24.95" customHeight="1" x14ac:dyDescent="0.2">
      <c r="A270"/>
      <c r="B270"/>
      <c r="C270"/>
      <c r="D270"/>
      <c r="E270"/>
      <c r="F270"/>
      <c r="G270"/>
      <c r="H270"/>
      <c r="I270"/>
      <c r="J270"/>
      <c r="K270"/>
      <c r="L270" s="5"/>
    </row>
    <row r="271" spans="1:12" ht="24.95" customHeight="1" x14ac:dyDescent="0.2">
      <c r="A271"/>
      <c r="B271"/>
      <c r="C271"/>
      <c r="D271"/>
      <c r="E271"/>
      <c r="F271"/>
      <c r="G271"/>
      <c r="H271"/>
      <c r="I271"/>
      <c r="J271"/>
      <c r="K271"/>
      <c r="L271" s="5"/>
    </row>
    <row r="272" spans="1:12" ht="24.95" customHeight="1" x14ac:dyDescent="0.2">
      <c r="A272"/>
      <c r="B272"/>
      <c r="C272"/>
      <c r="D272"/>
      <c r="E272"/>
      <c r="F272"/>
      <c r="G272"/>
      <c r="H272"/>
      <c r="I272"/>
      <c r="J272"/>
      <c r="K272"/>
      <c r="L272" s="5"/>
    </row>
    <row r="273" spans="1:12" ht="24.95" customHeight="1" x14ac:dyDescent="0.2">
      <c r="A273"/>
      <c r="B273"/>
      <c r="C273"/>
      <c r="D273"/>
      <c r="E273"/>
      <c r="F273"/>
      <c r="G273"/>
      <c r="H273"/>
      <c r="I273"/>
      <c r="J273"/>
      <c r="K273"/>
      <c r="L273" s="5"/>
    </row>
    <row r="274" spans="1:12" ht="24.95" customHeight="1" x14ac:dyDescent="0.2">
      <c r="A274"/>
      <c r="B274"/>
      <c r="C274"/>
      <c r="D274"/>
      <c r="E274"/>
      <c r="F274"/>
      <c r="G274"/>
      <c r="H274"/>
      <c r="I274"/>
      <c r="J274"/>
      <c r="K274"/>
      <c r="L274" s="5"/>
    </row>
    <row r="275" spans="1:12" ht="24.95" customHeight="1" x14ac:dyDescent="0.2">
      <c r="A275"/>
      <c r="B275"/>
      <c r="C275"/>
      <c r="D275"/>
      <c r="E275"/>
      <c r="F275"/>
      <c r="G275"/>
      <c r="H275"/>
      <c r="I275"/>
      <c r="J275"/>
      <c r="K275"/>
      <c r="L275" s="5"/>
    </row>
    <row r="276" spans="1:12" ht="24.95" customHeight="1" x14ac:dyDescent="0.2">
      <c r="A276"/>
      <c r="B276"/>
      <c r="C276"/>
      <c r="D276"/>
      <c r="E276"/>
      <c r="F276"/>
      <c r="G276"/>
      <c r="H276"/>
      <c r="I276"/>
      <c r="J276"/>
      <c r="K276"/>
      <c r="L276" s="5"/>
    </row>
    <row r="277" spans="1:12" ht="24.95" customHeight="1" x14ac:dyDescent="0.2">
      <c r="A277"/>
      <c r="B277"/>
      <c r="C277"/>
      <c r="D277"/>
      <c r="E277"/>
      <c r="F277"/>
      <c r="G277"/>
      <c r="H277"/>
      <c r="I277"/>
      <c r="J277"/>
      <c r="K277"/>
      <c r="L277" s="5"/>
    </row>
  </sheetData>
  <mergeCells count="145">
    <mergeCell ref="I124:I126"/>
    <mergeCell ref="I130:I138"/>
    <mergeCell ref="J6:J8"/>
    <mergeCell ref="J10:J12"/>
    <mergeCell ref="J16:J18"/>
    <mergeCell ref="J20:J23"/>
    <mergeCell ref="J27:J28"/>
    <mergeCell ref="J30:J36"/>
    <mergeCell ref="J38:J41"/>
    <mergeCell ref="J47:J48"/>
    <mergeCell ref="J70:J73"/>
    <mergeCell ref="J78:J82"/>
    <mergeCell ref="J83:J85"/>
    <mergeCell ref="J86:J87"/>
    <mergeCell ref="J89:J90"/>
    <mergeCell ref="J95:J97"/>
    <mergeCell ref="J98:J115"/>
    <mergeCell ref="J118:J120"/>
    <mergeCell ref="J121:J122"/>
    <mergeCell ref="J124:J126"/>
    <mergeCell ref="J127:J128"/>
    <mergeCell ref="J130:J134"/>
    <mergeCell ref="J136:J138"/>
    <mergeCell ref="I27:I28"/>
    <mergeCell ref="I30:I36"/>
    <mergeCell ref="I38:I41"/>
    <mergeCell ref="I78:I82"/>
    <mergeCell ref="I83:I84"/>
    <mergeCell ref="I89:I90"/>
    <mergeCell ref="I92:I94"/>
    <mergeCell ref="I98:I115"/>
    <mergeCell ref="I121:I122"/>
    <mergeCell ref="F124:F125"/>
    <mergeCell ref="F127:F128"/>
    <mergeCell ref="F131:F132"/>
    <mergeCell ref="F133:F134"/>
    <mergeCell ref="H6:H8"/>
    <mergeCell ref="H10:H12"/>
    <mergeCell ref="H16:H18"/>
    <mergeCell ref="H20:H23"/>
    <mergeCell ref="H27:H28"/>
    <mergeCell ref="H30:H41"/>
    <mergeCell ref="H47:H48"/>
    <mergeCell ref="H70:H73"/>
    <mergeCell ref="H75:H78"/>
    <mergeCell ref="H80:H129"/>
    <mergeCell ref="H131:H138"/>
    <mergeCell ref="D121:D122"/>
    <mergeCell ref="D124:D126"/>
    <mergeCell ref="D127:D129"/>
    <mergeCell ref="D131:D134"/>
    <mergeCell ref="D135:D137"/>
    <mergeCell ref="E6:E8"/>
    <mergeCell ref="E10:E12"/>
    <mergeCell ref="E16:E18"/>
    <mergeCell ref="E20:E23"/>
    <mergeCell ref="E25:E28"/>
    <mergeCell ref="E30:E41"/>
    <mergeCell ref="E47:E48"/>
    <mergeCell ref="E70:E73"/>
    <mergeCell ref="E75:E138"/>
    <mergeCell ref="B139:K139"/>
    <mergeCell ref="C6:C8"/>
    <mergeCell ref="C10:C12"/>
    <mergeCell ref="C16:C18"/>
    <mergeCell ref="C20:C23"/>
    <mergeCell ref="C25:C28"/>
    <mergeCell ref="C30:C41"/>
    <mergeCell ref="C47:C48"/>
    <mergeCell ref="C70:C73"/>
    <mergeCell ref="C75:C137"/>
    <mergeCell ref="D6:D8"/>
    <mergeCell ref="D10:D12"/>
    <mergeCell ref="D16:D18"/>
    <mergeCell ref="D20:D23"/>
    <mergeCell ref="D25:D28"/>
    <mergeCell ref="D30:D35"/>
    <mergeCell ref="D40:D41"/>
    <mergeCell ref="D70:D71"/>
    <mergeCell ref="D76:D80"/>
    <mergeCell ref="D81:D82"/>
    <mergeCell ref="D83:D85"/>
    <mergeCell ref="D88:D94"/>
    <mergeCell ref="D95:D97"/>
    <mergeCell ref="D98:D108"/>
    <mergeCell ref="A2:A3"/>
    <mergeCell ref="A4:A24"/>
    <mergeCell ref="A25:A29"/>
    <mergeCell ref="A30:A42"/>
    <mergeCell ref="A43:A74"/>
    <mergeCell ref="A75:A139"/>
    <mergeCell ref="B3:K3"/>
    <mergeCell ref="B5:K5"/>
    <mergeCell ref="B6:B8"/>
    <mergeCell ref="B9:K9"/>
    <mergeCell ref="B10:B12"/>
    <mergeCell ref="B13:K13"/>
    <mergeCell ref="B15:K15"/>
    <mergeCell ref="B16:B18"/>
    <mergeCell ref="B19:K19"/>
    <mergeCell ref="B20:B23"/>
    <mergeCell ref="B24:K24"/>
    <mergeCell ref="B25:B28"/>
    <mergeCell ref="B29:K29"/>
    <mergeCell ref="B30:B41"/>
    <mergeCell ref="B42:K42"/>
    <mergeCell ref="B44:K44"/>
    <mergeCell ref="B46:K46"/>
    <mergeCell ref="B47:B48"/>
    <mergeCell ref="B49:K49"/>
    <mergeCell ref="B51:K51"/>
    <mergeCell ref="B53:K53"/>
    <mergeCell ref="B55:K55"/>
    <mergeCell ref="B57:K57"/>
    <mergeCell ref="B59:K59"/>
    <mergeCell ref="B61:K61"/>
    <mergeCell ref="B63:K63"/>
    <mergeCell ref="B65:K65"/>
    <mergeCell ref="B67:K67"/>
    <mergeCell ref="B69:K69"/>
    <mergeCell ref="B70:B73"/>
    <mergeCell ref="B74:K74"/>
    <mergeCell ref="B75:B138"/>
    <mergeCell ref="D109:D116"/>
    <mergeCell ref="D117:D119"/>
    <mergeCell ref="F16:F17"/>
    <mergeCell ref="F20:F21"/>
    <mergeCell ref="F22:F23"/>
    <mergeCell ref="F27:F28"/>
    <mergeCell ref="F30:F31"/>
    <mergeCell ref="F33:F34"/>
    <mergeCell ref="F38:F39"/>
    <mergeCell ref="F70:F71"/>
    <mergeCell ref="F72:F73"/>
    <mergeCell ref="F76:F79"/>
    <mergeCell ref="F83:F85"/>
    <mergeCell ref="F88:F89"/>
    <mergeCell ref="F91:F92"/>
    <mergeCell ref="F98:F102"/>
    <mergeCell ref="F105:F106"/>
    <mergeCell ref="F110:F111"/>
    <mergeCell ref="F112:F113"/>
    <mergeCell ref="F114:F115"/>
    <mergeCell ref="F118:F120"/>
    <mergeCell ref="F121:F122"/>
  </mergeCells>
  <conditionalFormatting sqref="E1:E1048576">
    <cfRule type="cellIs" dxfId="118" priority="2" operator="equal">
      <formula>"&gt;DIFIERE&lt;"</formula>
    </cfRule>
  </conditionalFormatting>
  <conditionalFormatting sqref="I1:I1048576">
    <cfRule type="cellIs" dxfId="117" priority="6" operator="equal">
      <formula>"&gt;PENDIENTE&lt;"</formula>
    </cfRule>
  </conditionalFormatting>
  <conditionalFormatting sqref="C1:C1048576">
    <cfRule type="cellIs" dxfId="116" priority="1" operator="equal">
      <formula>"Faltante"</formula>
    </cfRule>
  </conditionalFormatting>
  <conditionalFormatting sqref="H1:H1048576">
    <cfRule type="cellIs" dxfId="115" priority="4" operator="equal">
      <formula>"Color"</formula>
    </cfRule>
  </conditionalFormatting>
  <conditionalFormatting sqref="J1:J1048576">
    <cfRule type="cellIs" dxfId="114" priority="16" operator="equal">
      <formula>"Cuenta Corriente"</formula>
    </cfRule>
  </conditionalFormatting>
  <printOptions horizontalCentered="1"/>
  <pageMargins left="0" right="0.39370078740157483" top="0.59055118110236227" bottom="0.59055118110236227" header="0.19685039370078741" footer="0.19685039370078741"/>
  <pageSetup paperSize="9" scale="92" fitToHeight="0" orientation="landscape" cellComments="atEnd" r:id="rId2"/>
  <headerFooter alignWithMargins="0">
    <oddHeader>&amp;L32 páginas&amp;C114 avisos&amp;Rmartes 27 abril 2021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InputSheet</vt:lpstr>
      <vt:lpstr>Carolina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2021-04-27T12:35:20Z</cp:lastPrinted>
  <dcterms:created xsi:type="dcterms:W3CDTF">2015-10-29T20:42:16Z</dcterms:created>
  <dcterms:modified xsi:type="dcterms:W3CDTF">2021-04-27T13:59:06Z</dcterms:modified>
</cp:coreProperties>
</file>