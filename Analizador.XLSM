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 defaultThemeVersion="124226"/>
  <bookViews>
    <workbookView xWindow="-120" yWindow="-120" windowWidth="20640" windowHeight="11310" activeTab="1"/>
  </bookViews>
  <sheets>
    <sheet name="InputSheet" sheetId="1323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323" l="1"/>
  <c r="F3" i="1323"/>
  <c r="F4" i="1323"/>
  <c r="F5" i="1323"/>
  <c r="F6" i="1323"/>
  <c r="F7" i="1323"/>
  <c r="F8" i="1323"/>
  <c r="F9" i="1323"/>
  <c r="F10" i="1323"/>
  <c r="F11" i="1323"/>
  <c r="F12" i="1323"/>
  <c r="F13" i="1323"/>
  <c r="F14" i="1323"/>
  <c r="F15" i="1323"/>
  <c r="F16" i="1323"/>
  <c r="F17" i="1323"/>
  <c r="F18" i="1323"/>
  <c r="F19" i="1323"/>
  <c r="F20" i="1323"/>
  <c r="F21" i="1323"/>
  <c r="F22" i="1323"/>
  <c r="F23" i="1323"/>
  <c r="F24" i="1323"/>
  <c r="F25" i="1323"/>
  <c r="F26" i="1323"/>
  <c r="F27" i="1323"/>
  <c r="F28" i="1323"/>
  <c r="F29" i="1323"/>
  <c r="F30" i="1323"/>
  <c r="F31" i="1323"/>
  <c r="F32" i="1323"/>
  <c r="F33" i="1323"/>
  <c r="F34" i="1323"/>
  <c r="F35" i="1323"/>
  <c r="F36" i="1323"/>
  <c r="F37" i="1323"/>
  <c r="F38" i="1323"/>
  <c r="F39" i="1323"/>
  <c r="F40" i="1323"/>
  <c r="F41" i="1323"/>
  <c r="F42" i="1323"/>
  <c r="F43" i="1323"/>
  <c r="F44" i="1323"/>
  <c r="F45" i="1323"/>
  <c r="F46" i="1323"/>
  <c r="F47" i="1323"/>
  <c r="F48" i="1323"/>
  <c r="F49" i="1323"/>
  <c r="F50" i="1323"/>
  <c r="F51" i="1323"/>
  <c r="F52" i="1323"/>
  <c r="F53" i="1323"/>
  <c r="F54" i="1323"/>
  <c r="F55" i="1323"/>
  <c r="F56" i="1323"/>
  <c r="F57" i="1323"/>
  <c r="F58" i="1323"/>
  <c r="F59" i="1323"/>
  <c r="F60" i="1323"/>
  <c r="F61" i="1323"/>
  <c r="F62" i="1323"/>
  <c r="F63" i="1323"/>
  <c r="F64" i="1323"/>
  <c r="F65" i="1323"/>
  <c r="F66" i="1323"/>
  <c r="F67" i="1323"/>
  <c r="F68" i="1323"/>
  <c r="F69" i="1323"/>
  <c r="F70" i="1323"/>
  <c r="F71" i="1323"/>
  <c r="F72" i="1323"/>
  <c r="F73" i="1323"/>
  <c r="F74" i="1323"/>
  <c r="F75" i="1323"/>
  <c r="F76" i="1323"/>
  <c r="F77" i="1323"/>
  <c r="F78" i="1323"/>
  <c r="F79" i="1323"/>
  <c r="F80" i="1323"/>
  <c r="F81" i="1323"/>
  <c r="F82" i="1323"/>
  <c r="F83" i="1323"/>
  <c r="F84" i="1323"/>
  <c r="F85" i="1323"/>
  <c r="F86" i="1323"/>
  <c r="F87" i="1323"/>
  <c r="F88" i="1323"/>
  <c r="F89" i="1323"/>
  <c r="F90" i="1323"/>
  <c r="F91" i="1323"/>
  <c r="F92" i="1323"/>
  <c r="F93" i="1323"/>
  <c r="F94" i="1323"/>
  <c r="F95" i="1323"/>
  <c r="F96" i="1323"/>
  <c r="F97" i="1323"/>
  <c r="F98" i="1323"/>
  <c r="F99" i="1323"/>
  <c r="F100" i="1323"/>
  <c r="F101" i="1323"/>
  <c r="F102" i="1323"/>
  <c r="F103" i="1323"/>
  <c r="F104" i="1323"/>
  <c r="F105" i="1323"/>
  <c r="F106" i="1323"/>
  <c r="F107" i="1323"/>
  <c r="F108" i="1323"/>
  <c r="F109" i="1323"/>
  <c r="F110" i="1323"/>
  <c r="F111" i="1323"/>
  <c r="F112" i="1323"/>
  <c r="F113" i="1323"/>
  <c r="F114" i="1323"/>
  <c r="F115" i="1323"/>
  <c r="F116" i="1323"/>
  <c r="F117" i="1323"/>
  <c r="F118" i="1323"/>
  <c r="F119" i="1323"/>
  <c r="F120" i="1323"/>
  <c r="F121" i="1323"/>
  <c r="F122" i="1323"/>
  <c r="R2" i="1323"/>
  <c r="S2" i="1323" s="1"/>
  <c r="R3" i="1323"/>
  <c r="S3" i="1323" s="1"/>
  <c r="R4" i="1323"/>
  <c r="S4" i="1323" s="1"/>
  <c r="R5" i="1323"/>
  <c r="S5" i="1323" s="1"/>
  <c r="R6" i="1323"/>
  <c r="S6" i="1323" s="1"/>
  <c r="R7" i="1323"/>
  <c r="S7" i="1323" s="1"/>
  <c r="R8" i="1323"/>
  <c r="S8" i="1323" s="1"/>
  <c r="R9" i="1323"/>
  <c r="S9" i="1323" s="1"/>
  <c r="R10" i="1323"/>
  <c r="S10" i="1323" s="1"/>
  <c r="R11" i="1323"/>
  <c r="S11" i="1323" s="1"/>
  <c r="R12" i="1323"/>
  <c r="S12" i="1323" s="1"/>
  <c r="R13" i="1323"/>
  <c r="S13" i="1323" s="1"/>
  <c r="R14" i="1323"/>
  <c r="S14" i="1323" s="1"/>
  <c r="R15" i="1323"/>
  <c r="S15" i="1323" s="1"/>
  <c r="R16" i="1323"/>
  <c r="S16" i="1323" s="1"/>
  <c r="R17" i="1323"/>
  <c r="S17" i="1323" s="1"/>
  <c r="R18" i="1323"/>
  <c r="S18" i="1323" s="1"/>
  <c r="R19" i="1323"/>
  <c r="S19" i="1323" s="1"/>
  <c r="R20" i="1323"/>
  <c r="S20" i="1323" s="1"/>
  <c r="R21" i="1323"/>
  <c r="S21" i="1323" s="1"/>
  <c r="R22" i="1323"/>
  <c r="S22" i="1323" s="1"/>
  <c r="R23" i="1323"/>
  <c r="S23" i="1323" s="1"/>
  <c r="R24" i="1323"/>
  <c r="S24" i="1323" s="1"/>
  <c r="R25" i="1323"/>
  <c r="S25" i="1323" s="1"/>
  <c r="R26" i="1323"/>
  <c r="S26" i="1323" s="1"/>
  <c r="R27" i="1323"/>
  <c r="S27" i="1323" s="1"/>
  <c r="R28" i="1323"/>
  <c r="S28" i="1323" s="1"/>
  <c r="R29" i="1323"/>
  <c r="S29" i="1323" s="1"/>
  <c r="R30" i="1323"/>
  <c r="S30" i="1323" s="1"/>
  <c r="R31" i="1323"/>
  <c r="S31" i="1323" s="1"/>
  <c r="R32" i="1323"/>
  <c r="S32" i="1323" s="1"/>
  <c r="R33" i="1323"/>
  <c r="S33" i="1323" s="1"/>
  <c r="R34" i="1323"/>
  <c r="S34" i="1323" s="1"/>
  <c r="R35" i="1323"/>
  <c r="S35" i="1323" s="1"/>
  <c r="R36" i="1323"/>
  <c r="S36" i="1323" s="1"/>
  <c r="R37" i="1323"/>
  <c r="S37" i="1323" s="1"/>
  <c r="R38" i="1323"/>
  <c r="S38" i="1323" s="1"/>
  <c r="R39" i="1323"/>
  <c r="S39" i="1323" s="1"/>
  <c r="R40" i="1323"/>
  <c r="S40" i="1323" s="1"/>
  <c r="R41" i="1323"/>
  <c r="S41" i="1323" s="1"/>
  <c r="R42" i="1323"/>
  <c r="S42" i="1323" s="1"/>
  <c r="R43" i="1323"/>
  <c r="S43" i="1323" s="1"/>
  <c r="R44" i="1323"/>
  <c r="S44" i="1323" s="1"/>
  <c r="R45" i="1323"/>
  <c r="S45" i="1323" s="1"/>
  <c r="R46" i="1323"/>
  <c r="S46" i="1323" s="1"/>
  <c r="R47" i="1323"/>
  <c r="S47" i="1323" s="1"/>
  <c r="R48" i="1323"/>
  <c r="S48" i="1323" s="1"/>
  <c r="R49" i="1323"/>
  <c r="S49" i="1323" s="1"/>
  <c r="R50" i="1323"/>
  <c r="S50" i="1323" s="1"/>
  <c r="R51" i="1323"/>
  <c r="S51" i="1323" s="1"/>
  <c r="R52" i="1323"/>
  <c r="S52" i="1323" s="1"/>
  <c r="R53" i="1323"/>
  <c r="S53" i="1323" s="1"/>
  <c r="R54" i="1323"/>
  <c r="S54" i="1323" s="1"/>
  <c r="R55" i="1323"/>
  <c r="S55" i="1323" s="1"/>
  <c r="R56" i="1323"/>
  <c r="S56" i="1323" s="1"/>
  <c r="R57" i="1323"/>
  <c r="S57" i="1323" s="1"/>
  <c r="R58" i="1323"/>
  <c r="S58" i="1323" s="1"/>
  <c r="R59" i="1323"/>
  <c r="S59" i="1323" s="1"/>
  <c r="R60" i="1323"/>
  <c r="S60" i="1323" s="1"/>
  <c r="R61" i="1323"/>
  <c r="S61" i="1323" s="1"/>
  <c r="R62" i="1323"/>
  <c r="S62" i="1323" s="1"/>
  <c r="R63" i="1323"/>
  <c r="S63" i="1323" s="1"/>
  <c r="R64" i="1323"/>
  <c r="S64" i="1323" s="1"/>
  <c r="R65" i="1323"/>
  <c r="S65" i="1323" s="1"/>
  <c r="R66" i="1323"/>
  <c r="S66" i="1323" s="1"/>
  <c r="R67" i="1323"/>
  <c r="S67" i="1323" s="1"/>
  <c r="R68" i="1323"/>
  <c r="S68" i="1323" s="1"/>
  <c r="R69" i="1323"/>
  <c r="S69" i="1323" s="1"/>
  <c r="R70" i="1323"/>
  <c r="S70" i="1323" s="1"/>
  <c r="R71" i="1323"/>
  <c r="S71" i="1323" s="1"/>
  <c r="R72" i="1323"/>
  <c r="S72" i="1323" s="1"/>
  <c r="R73" i="1323"/>
  <c r="S73" i="1323" s="1"/>
  <c r="R74" i="1323"/>
  <c r="S74" i="1323" s="1"/>
  <c r="R75" i="1323"/>
  <c r="S75" i="1323" s="1"/>
  <c r="R76" i="1323"/>
  <c r="S76" i="1323" s="1"/>
  <c r="R77" i="1323"/>
  <c r="S77" i="1323" s="1"/>
  <c r="R78" i="1323"/>
  <c r="S78" i="1323" s="1"/>
  <c r="R79" i="1323"/>
  <c r="S79" i="1323" s="1"/>
  <c r="R80" i="1323"/>
  <c r="S80" i="1323" s="1"/>
  <c r="R81" i="1323"/>
  <c r="S81" i="1323" s="1"/>
  <c r="R82" i="1323"/>
  <c r="S82" i="1323" s="1"/>
  <c r="R83" i="1323"/>
  <c r="S83" i="1323" s="1"/>
  <c r="R84" i="1323"/>
  <c r="S84" i="1323" s="1"/>
  <c r="R85" i="1323"/>
  <c r="S85" i="1323" s="1"/>
  <c r="R86" i="1323"/>
  <c r="S86" i="1323" s="1"/>
  <c r="R87" i="1323"/>
  <c r="S87" i="1323" s="1"/>
  <c r="R88" i="1323"/>
  <c r="S88" i="1323" s="1"/>
  <c r="R89" i="1323"/>
  <c r="S89" i="1323" s="1"/>
  <c r="R90" i="1323"/>
  <c r="S90" i="1323" s="1"/>
  <c r="R91" i="1323"/>
  <c r="S91" i="1323" s="1"/>
  <c r="R92" i="1323"/>
  <c r="S92" i="1323" s="1"/>
  <c r="R93" i="1323"/>
  <c r="S93" i="1323" s="1"/>
  <c r="R94" i="1323"/>
  <c r="S94" i="1323" s="1"/>
  <c r="R95" i="1323"/>
  <c r="S95" i="1323" s="1"/>
  <c r="R96" i="1323"/>
  <c r="S96" i="1323" s="1"/>
  <c r="R97" i="1323"/>
  <c r="S97" i="1323" s="1"/>
  <c r="R98" i="1323"/>
  <c r="S98" i="1323" s="1"/>
  <c r="R99" i="1323"/>
  <c r="S99" i="1323" s="1"/>
  <c r="R100" i="1323"/>
  <c r="S100" i="1323" s="1"/>
  <c r="R101" i="1323"/>
  <c r="S101" i="1323" s="1"/>
  <c r="R102" i="1323"/>
  <c r="S102" i="1323" s="1"/>
  <c r="R103" i="1323"/>
  <c r="S103" i="1323" s="1"/>
  <c r="R104" i="1323"/>
  <c r="S104" i="1323" s="1"/>
  <c r="R105" i="1323"/>
  <c r="S105" i="1323" s="1"/>
  <c r="R106" i="1323"/>
  <c r="S106" i="1323" s="1"/>
  <c r="R107" i="1323"/>
  <c r="S107" i="1323" s="1"/>
  <c r="R108" i="1323"/>
  <c r="S108" i="1323" s="1"/>
  <c r="R109" i="1323"/>
  <c r="S109" i="1323" s="1"/>
  <c r="R110" i="1323"/>
  <c r="S110" i="1323" s="1"/>
  <c r="R111" i="1323"/>
  <c r="S111" i="1323" s="1"/>
  <c r="R112" i="1323"/>
  <c r="S112" i="1323" s="1"/>
  <c r="R113" i="1323"/>
  <c r="S113" i="1323" s="1"/>
  <c r="R114" i="1323"/>
  <c r="S114" i="1323" s="1"/>
  <c r="R115" i="1323"/>
  <c r="S115" i="1323" s="1"/>
  <c r="R116" i="1323"/>
  <c r="S116" i="1323" s="1"/>
  <c r="R117" i="1323"/>
  <c r="S117" i="1323" s="1"/>
  <c r="R118" i="1323"/>
  <c r="S118" i="1323" s="1"/>
  <c r="R119" i="1323"/>
  <c r="S119" i="1323" s="1"/>
  <c r="R120" i="1323"/>
  <c r="S120" i="1323" s="1"/>
  <c r="R121" i="1323"/>
  <c r="S121" i="1323" s="1"/>
  <c r="R122" i="1323"/>
  <c r="S122" i="1323" s="1"/>
  <c r="Q2" i="1323"/>
  <c r="Q4" i="1323"/>
  <c r="Q6" i="1323"/>
  <c r="Q8" i="1323"/>
  <c r="Q10" i="1323"/>
  <c r="Q12" i="1323"/>
  <c r="Q14" i="1323"/>
  <c r="Q16" i="1323"/>
  <c r="Q18" i="1323"/>
  <c r="Q20" i="1323"/>
  <c r="Q22" i="1323"/>
  <c r="Q24" i="1323"/>
  <c r="Q26" i="1323"/>
  <c r="Q28" i="1323"/>
  <c r="Q30" i="1323"/>
  <c r="Q32" i="1323"/>
  <c r="Q34" i="1323"/>
  <c r="Q36" i="1323"/>
  <c r="Q38" i="1323"/>
  <c r="Q40" i="1323"/>
  <c r="Q42" i="1323"/>
  <c r="Q44" i="1323"/>
  <c r="Q46" i="1323"/>
  <c r="Q48" i="1323"/>
  <c r="Q50" i="1323"/>
  <c r="Q52" i="1323"/>
  <c r="Q54" i="1323"/>
  <c r="Q56" i="1323"/>
  <c r="Q58" i="1323"/>
  <c r="Q60" i="1323"/>
  <c r="Q62" i="1323"/>
  <c r="Q64" i="1323"/>
  <c r="Q66" i="1323"/>
  <c r="Q68" i="1323"/>
  <c r="Q70" i="1323"/>
  <c r="Q72" i="1323"/>
  <c r="Q74" i="1323"/>
  <c r="Q76" i="1323"/>
  <c r="Q78" i="1323"/>
  <c r="Q80" i="1323"/>
  <c r="Q82" i="1323"/>
  <c r="Q84" i="1323"/>
  <c r="Q86" i="1323"/>
  <c r="Q88" i="1323"/>
  <c r="Q90" i="1323"/>
  <c r="Q92" i="1323"/>
  <c r="Q94" i="1323"/>
  <c r="Q96" i="1323"/>
  <c r="Q98" i="1323"/>
  <c r="Q100" i="1323"/>
  <c r="Q102" i="1323"/>
  <c r="Q104" i="1323"/>
  <c r="Q108" i="1323"/>
  <c r="Q112" i="1323"/>
  <c r="Q116" i="1323"/>
  <c r="Q120" i="1323"/>
  <c r="Q3" i="1323"/>
  <c r="Q5" i="1323"/>
  <c r="Q7" i="1323"/>
  <c r="Q9" i="1323"/>
  <c r="Q11" i="1323"/>
  <c r="Q13" i="1323"/>
  <c r="Q15" i="1323"/>
  <c r="Q17" i="1323"/>
  <c r="Q19" i="1323"/>
  <c r="Q21" i="1323"/>
  <c r="Q23" i="1323"/>
  <c r="Q25" i="1323"/>
  <c r="Q27" i="1323"/>
  <c r="Q29" i="1323"/>
  <c r="Q31" i="1323"/>
  <c r="Q33" i="1323"/>
  <c r="Q35" i="1323"/>
  <c r="Q37" i="1323"/>
  <c r="Q39" i="1323"/>
  <c r="Q41" i="1323"/>
  <c r="Q43" i="1323"/>
  <c r="Q45" i="1323"/>
  <c r="Q47" i="1323"/>
  <c r="Q49" i="1323"/>
  <c r="Q51" i="1323"/>
  <c r="Q53" i="1323"/>
  <c r="Q55" i="1323"/>
  <c r="Q57" i="1323"/>
  <c r="Q59" i="1323"/>
  <c r="Q61" i="1323"/>
  <c r="Q63" i="1323"/>
  <c r="Q65" i="1323"/>
  <c r="Q67" i="1323"/>
  <c r="Q69" i="1323"/>
  <c r="Q71" i="1323"/>
  <c r="Q73" i="1323"/>
  <c r="Q75" i="1323"/>
  <c r="Q77" i="1323"/>
  <c r="Q79" i="1323"/>
  <c r="Q81" i="1323"/>
  <c r="Q83" i="1323"/>
  <c r="Q85" i="1323"/>
  <c r="Q87" i="1323"/>
  <c r="Q89" i="1323"/>
  <c r="Q91" i="1323"/>
  <c r="Q93" i="1323"/>
  <c r="Q95" i="1323"/>
  <c r="Q97" i="1323"/>
  <c r="Q99" i="1323"/>
  <c r="Q101" i="1323"/>
  <c r="Q103" i="1323"/>
  <c r="Q105" i="1323"/>
  <c r="Q107" i="1323"/>
  <c r="Q109" i="1323"/>
  <c r="Q111" i="1323"/>
  <c r="Q113" i="1323"/>
  <c r="Q115" i="1323"/>
  <c r="Q117" i="1323"/>
  <c r="Q119" i="1323"/>
  <c r="Q121" i="1323"/>
  <c r="Q106" i="1323"/>
  <c r="Q110" i="1323"/>
  <c r="Q114" i="1323"/>
  <c r="Q118" i="1323"/>
  <c r="Q122" i="1323"/>
</calcChain>
</file>

<file path=xl/sharedStrings.xml><?xml version="1.0" encoding="utf-8"?>
<sst xmlns="http://schemas.openxmlformats.org/spreadsheetml/2006/main" count="2273" uniqueCount="620">
  <si>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</si>
  <si>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</si>
  <si>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</si>
  <si>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</si>
  <si>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</si>
  <si>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</si>
  <si>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</si>
  <si>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</si>
  <si>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</si>
  <si>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</si>
  <si>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</si>
  <si>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</si>
  <si>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</si>
  <si>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</si>
  <si>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</si>
  <si>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</si>
  <si>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</si>
  <si>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</si>
  <si>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</si>
  <si>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</si>
  <si>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</si>
  <si>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</si>
  <si>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</si>
  <si>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</si>
  <si>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</si>
  <si>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</si>
  <si>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</si>
  <si>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</si>
  <si>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</si>
  <si>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</si>
  <si>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</si>
  <si>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</si>
  <si>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</si>
  <si>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</si>
  <si>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</si>
  <si>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</si>
  <si>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</si>
  <si>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</si>
  <si>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</si>
  <si>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</si>
  <si>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</si>
  <si>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</si>
  <si>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</si>
  <si>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</si>
  <si>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</si>
  <si>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</si>
  <si>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</si>
  <si>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</si>
  <si>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</si>
  <si>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</si>
  <si>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</si>
  <si>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</si>
  <si>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</si>
  <si>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</si>
  <si>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</si>
  <si>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</si>
  <si>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</si>
  <si>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</si>
  <si>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</si>
  <si>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</si>
  <si>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</si>
  <si>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</si>
  <si>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</si>
  <si>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</si>
  <si>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</si>
  <si>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</si>
  <si>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</si>
  <si>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</si>
  <si>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</si>
  <si>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</si>
  <si>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</si>
  <si>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</si>
  <si>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</si>
  <si>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</si>
  <si>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</si>
  <si>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</si>
  <si>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</si>
  <si>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</si>
  <si>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</si>
  <si>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</si>
  <si>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</si>
  <si>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</si>
  <si>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2x04</t>
  </si>
  <si>
    <t>Ads</t>
  </si>
  <si>
    <t>PagE</t>
  </si>
  <si>
    <t>EvaLoc</t>
  </si>
  <si>
    <t>¿Color?</t>
  </si>
  <si>
    <t>Modalidad</t>
  </si>
  <si>
    <t>Total 0</t>
  </si>
  <si>
    <t>Vilar Cristian Leandro</t>
  </si>
  <si>
    <t>Dergam Srl</t>
  </si>
  <si>
    <t>1x04</t>
  </si>
  <si>
    <t>B&amp;N</t>
  </si>
  <si>
    <t>VALDIVIEZO LILA FERNANDA</t>
  </si>
  <si>
    <t>NORTE GNC</t>
  </si>
  <si>
    <t>Promocionales</t>
  </si>
  <si>
    <t>2x10</t>
  </si>
  <si>
    <t>Salazar  Hugo</t>
  </si>
  <si>
    <t>Asamblea Cm- Jujuy</t>
  </si>
  <si>
    <t>JASAMB</t>
  </si>
  <si>
    <t>Notables - Jujuy +1 Col</t>
  </si>
  <si>
    <t>JAGRUP</t>
  </si>
  <si>
    <t>Copa Alejandro Daniel</t>
  </si>
  <si>
    <t>2x05</t>
  </si>
  <si>
    <t>LOPEZ PIERRE - FARMACIA</t>
  </si>
  <si>
    <t>LOPEZ PIERRE FARMACIA</t>
  </si>
  <si>
    <t>JGESTET</t>
  </si>
  <si>
    <t>Juarez Meneses Dolores</t>
  </si>
  <si>
    <t>JGPSICPE</t>
  </si>
  <si>
    <t>ARMELLA CESAR DANIEL</t>
  </si>
  <si>
    <t>Editora Sociedad Anonima</t>
  </si>
  <si>
    <t>1-1450027-4</t>
  </si>
  <si>
    <t>Carvajal Juan Carlos</t>
  </si>
  <si>
    <t>FERRETERIA CARBAJAL</t>
  </si>
  <si>
    <t>28085</t>
  </si>
  <si>
    <t>1x10</t>
  </si>
  <si>
    <t>HORMIGONERA -VENTA DE HORMIGON EN MIXER</t>
  </si>
  <si>
    <t>HORMIGONERA  JUJUY S.R.L. VENTA DE ARIDOS: PIEDRA, ARENA, RIIO.  RELLENO DE TERRENO 4259148 - 4259548 ALTE BROW8 4259148</t>
  </si>
  <si>
    <t>TASADOR   CRISTIAN L. VILAR Tel 388-4311517 / 1550112208 4311517</t>
  </si>
  <si>
    <t>PSICOPEDAGOGIA  Lic. DOLORES JUAREZ MENESES * PROBLEMAS DE A FASCIO-Av. Fascio 748 Solicitud de Turnos:(0388) 18    0388</t>
  </si>
  <si>
    <t>1-1451875-2</t>
  </si>
  <si>
    <t>CRUZ DIEGO FERNANDO</t>
  </si>
  <si>
    <t>LIC. DIEGO CRUZ QUIROPRAXIA</t>
  </si>
  <si>
    <t>Dr. Alejandro Daniel Copa Dra. Vanesa Alejandra Bravo Abogad1er Piso Of 4 Cel. 3886853895  (Consultas online - whatsapp)</t>
  </si>
  <si>
    <t>1-1451862-1</t>
  </si>
  <si>
    <t>Orce Remis Esteban</t>
  </si>
  <si>
    <t xml:space="preserve"> TERRAZAS Y ORCE REMIS ESTUDIO JURÍDICO  CONTABLE  ASESORAMIs y Judiciales.  Nuevo Domicilio  Argañaraz 141 Tel8 4988746</t>
  </si>
  <si>
    <t>279379</t>
  </si>
  <si>
    <t>GNC MYN GRAN PROMOCION...</t>
  </si>
  <si>
    <t>1-1452257-2</t>
  </si>
  <si>
    <t>Lopez Salgado Guillermo</t>
  </si>
  <si>
    <t xml:space="preserve"> ESTUDIO JURIDICO LOPEZ SALGADO  &amp; Asoc.  Dres. Guillermo y  Penal   Coronel Puch 432- Tel. Fijo 4236414 Cel.388 4236414</t>
  </si>
  <si>
    <t>279386</t>
  </si>
  <si>
    <t>279382</t>
  </si>
  <si>
    <t>Cañas  Carlos Alberto</t>
  </si>
  <si>
    <t>CAÑAS VENTA *Excluisiva propiedad Hotel Alojamiento 30 habitSarmiento Tel 388-4227132 - 4233776 canasinmuebles@8 4227132</t>
  </si>
  <si>
    <t>279385</t>
  </si>
  <si>
    <t>279333</t>
  </si>
  <si>
    <t>1-1452379-1</t>
  </si>
  <si>
    <t>277350 12</t>
  </si>
  <si>
    <t>1-1452380-1</t>
  </si>
  <si>
    <t>279752 1232</t>
  </si>
  <si>
    <t>279751 456</t>
  </si>
  <si>
    <t>1-1452201-1</t>
  </si>
  <si>
    <t>279384</t>
  </si>
  <si>
    <t>1-1452376-1</t>
  </si>
  <si>
    <t>279331</t>
  </si>
  <si>
    <t>1-1452202-1</t>
  </si>
  <si>
    <t>279380</t>
  </si>
  <si>
    <t>1-1452375-1</t>
  </si>
  <si>
    <t>279330</t>
  </si>
  <si>
    <t>1-1450457-1</t>
  </si>
  <si>
    <t>1-1452140-2</t>
  </si>
  <si>
    <t>279381</t>
  </si>
  <si>
    <t>1-1452528-1</t>
  </si>
  <si>
    <t>Servicios Sociales Futuro S R L</t>
  </si>
  <si>
    <t>90902</t>
  </si>
  <si>
    <t>SERIVICIO SOCIALES FUTURO...</t>
  </si>
  <si>
    <t>151120M2</t>
  </si>
  <si>
    <t>FM SOL</t>
  </si>
  <si>
    <t>IDC</t>
  </si>
  <si>
    <t>3x13</t>
  </si>
  <si>
    <t>2x24</t>
  </si>
  <si>
    <t>JOFREC</t>
  </si>
  <si>
    <t>13-1452997-2</t>
  </si>
  <si>
    <t>Ovejero Marcela</t>
  </si>
  <si>
    <t>VENDO KTM DUKE 200  MOD 2016. IMPECABLE!  Cel. 3884686055 - 38868214948   24200</t>
  </si>
  <si>
    <t>JMOTOS</t>
  </si>
  <si>
    <t>1-1452341-1</t>
  </si>
  <si>
    <t>Palavecino Rodriguez Jose Miguel</t>
  </si>
  <si>
    <t>PROBLEMAS DE COLUMNA Y EXTREMIDADES                 QUIROPRAM. Palavecino  M.P. 1899 Independencia 518 - Cel. 155090998.</t>
  </si>
  <si>
    <t>1x08</t>
  </si>
  <si>
    <t>1-1450848-2</t>
  </si>
  <si>
    <t>Pastore  Ana Laura</t>
  </si>
  <si>
    <t>////LOGO///// DERECHO DE FAMILIA: Alimentos-Divorcio-Cuidadoitud de turnos: Cel. 388-5073068 .  Argañaraz Nº 298 5073068</t>
  </si>
  <si>
    <t>1-1451781-2</t>
  </si>
  <si>
    <t>JVEN07</t>
  </si>
  <si>
    <t>Montoya  Irma</t>
  </si>
  <si>
    <t>Cine Teatro Alfa S.R.L.</t>
  </si>
  <si>
    <t>1235</t>
  </si>
  <si>
    <t>CINE ALFA...</t>
  </si>
  <si>
    <t>Sup Especial</t>
  </si>
  <si>
    <t>5x13</t>
  </si>
  <si>
    <t>NISSAN FRONTIER 2.5 4x4 cuero-Caja 6ta-2012. Cubiertas Micheintura en Perfecto estado Rec. menor valor. Cel. 3885282445.</t>
  </si>
  <si>
    <t>1-1452139-5</t>
  </si>
  <si>
    <t>Navarro  Iris</t>
  </si>
  <si>
    <t>VENDO TERRENO  15x40, DIQUE La Cienaga,  El Carmen. Zona Com8 4696265(solo llamadas) / 388 4673133 (llamadas y whatsapp)</t>
  </si>
  <si>
    <t>San Juan S.R.L.</t>
  </si>
  <si>
    <t>Total 31</t>
  </si>
  <si>
    <t>1-1453267-4</t>
  </si>
  <si>
    <t>1-1453335-5</t>
  </si>
  <si>
    <t>1-1453406-2</t>
  </si>
  <si>
    <t>El Cañadon S.R.L.</t>
  </si>
  <si>
    <t>VENDEDOR IMPORTANTE EMPRESA DEL MEDIO SELECCIONARA VENDEDOR cia comprobable en VENTAS en empresa comercial. (excluyente)</t>
  </si>
  <si>
    <t>El Trebol S.r.l.</t>
  </si>
  <si>
    <t>OFICIAL ½ OFICIAL Empresa constructora necesita: oficiales yen Los Quebrachales Nº 920 de Lunes a viernes de 08 a 12 hs.</t>
  </si>
  <si>
    <t>EMPRESA CONSTRUCTORA NECESITA ARQUITECTO Para jefe de obra, ración pretendida a recursoshumanos@eltrebolconstructora.com</t>
  </si>
  <si>
    <t>IMPORTANTE EMPRESA CONSTRUCTORA NECESITA:   Responsable paraalmente en LOS QUEBRACHALES Nº920 Bº CHIJRA DE 08:00 A 12:00</t>
  </si>
  <si>
    <t>12-1453477-2</t>
  </si>
  <si>
    <t>Jairo Montes</t>
  </si>
  <si>
    <t>COSEJERO y HECHICERO JAIRO  Nuevo numero de Cel. 0388154648931154648931</t>
  </si>
  <si>
    <t>1-1453457-2</t>
  </si>
  <si>
    <t>Cruz  Valentina</t>
  </si>
  <si>
    <t>CONSULTORIO DE PODOLOGIA GABRIEL ROMERO Uñas encarnadas- MicALVEAR 730 PLATA ALTA RECIBIMOS TARJETAS DE CRÉDITO Y DEBITO</t>
  </si>
  <si>
    <t>JGPODOL</t>
  </si>
  <si>
    <t>3x05</t>
  </si>
  <si>
    <t>1-1452192-4</t>
  </si>
  <si>
    <t>1-1453599-2</t>
  </si>
  <si>
    <t xml:space="preserve"> E J E S A (EJESA)</t>
  </si>
  <si>
    <t>1-1453689-1</t>
  </si>
  <si>
    <t>Carlos Carrillo.</t>
  </si>
  <si>
    <t>DUEÑO VENDE DUPLEX a estrenar, 2 dorm, 2 baños, calefacción,arma. Alto La Viña, excelente ubicación. Tratar: 3884689890.</t>
  </si>
  <si>
    <t>INMOBILIARIA LA RED S.R.L.</t>
  </si>
  <si>
    <t>Lopez  Jose Rafael Martin</t>
  </si>
  <si>
    <t>Total 2</t>
  </si>
  <si>
    <t>////LOGO///// DERECHO DE FAMILIA</t>
  </si>
  <si>
    <t>Dr. Alejandro Daniel Copa Dra. V</t>
  </si>
  <si>
    <t xml:space="preserve"> TERRAZAS Y ORCE REMIS ESTUDIO J</t>
  </si>
  <si>
    <t xml:space="preserve"> ESTUDIO JURIDICO LOPEZ SALGADO </t>
  </si>
  <si>
    <t>PROBLEMAS DE COLUMNA Y EXTREMIDA</t>
  </si>
  <si>
    <t>PSICOPEDAGOGIA  Lic. DOLORES JUA</t>
  </si>
  <si>
    <t>CONSULTORIO DE PODOLOGIA GABRIEL</t>
  </si>
  <si>
    <t xml:space="preserve">TASADOR   CRISTIAN L. VILAR Tel </t>
  </si>
  <si>
    <t>HORMIGONERA -VENTA DE HORMIGON E</t>
  </si>
  <si>
    <t xml:space="preserve">HORMIGONERA  JUJUY S.R.L. VENTA </t>
  </si>
  <si>
    <t>JUBILACIONES - PENSION por falle</t>
  </si>
  <si>
    <t xml:space="preserve">VENDEDOR IMPORTANTE EMPRESA DEL </t>
  </si>
  <si>
    <t>OFICIAL ½ OFICIAL Empresa constr</t>
  </si>
  <si>
    <t>EMPRESA CONSTRUCTORA NECESITA AR</t>
  </si>
  <si>
    <t>CAÑAS VENTA *Excluisiva propieda</t>
  </si>
  <si>
    <t>DUEÑO VENDE DUPLEX a estrenar, 2</t>
  </si>
  <si>
    <t>VENDO TERRENO  15x40, DIQUE La C</t>
  </si>
  <si>
    <t xml:space="preserve">IMPORTANTE EMPRESA CONSTRUCTORA </t>
  </si>
  <si>
    <t>COSEJERO y HECHICERO JAIRO  Nuev</t>
  </si>
  <si>
    <t>NISSAN FRONTIER 2.5 4x4 cuero-Ca</t>
  </si>
  <si>
    <t>VENDO KTM DUKE 200  MOD 2016. IM</t>
  </si>
  <si>
    <t>Obituarios</t>
  </si>
  <si>
    <t>Obituario Modulo - Jujuy</t>
  </si>
  <si>
    <t>OBIMOD</t>
  </si>
  <si>
    <t>Total 3</t>
  </si>
  <si>
    <t>Total 4</t>
  </si>
  <si>
    <t>1x15</t>
  </si>
  <si>
    <t>1-1451458-2</t>
  </si>
  <si>
    <t>Arnedo  Martha Fabiana</t>
  </si>
  <si>
    <t>ARNEDO INMOBILIARIA  VENDE 2 Dptos. céntricos calle Lavalle ales - Local Céntrico calle Belgrano 3884162167 / 3886855889</t>
  </si>
  <si>
    <t>1-1452193-6</t>
  </si>
  <si>
    <t>1-1453897-3</t>
  </si>
  <si>
    <t>ZALAZAR REINALDI DOMINGO ESTEBAN</t>
  </si>
  <si>
    <t>RECEPCIONISTA  PARA CONSULTORIO MEDICO ENVIAR CV CON  PRETENCIONES ECONOMICAS A: biogrupo10@gmail.com</t>
  </si>
  <si>
    <t>1-1453928-2</t>
  </si>
  <si>
    <t>Vargas  Rodolfo Armando</t>
  </si>
  <si>
    <t>BUSCO CAMIONES, SEMIACOPLADOS-CAMIONETAS  para formar parte estra flota  logistica. Tel. 3885251775 mining123f@gmail.com</t>
  </si>
  <si>
    <t>1-1453930-2</t>
  </si>
  <si>
    <t>SE NECESITA SECRETARIA  CON EXPERIENCIA EN  WORD-EXCEL-POWER POINT Marketing. Enviat CV. A:  mining123f@gmail.com</t>
  </si>
  <si>
    <t>1-1453943-2</t>
  </si>
  <si>
    <t>279534</t>
  </si>
  <si>
    <t>EMP DE BEBIDAS SOMMELIER</t>
  </si>
  <si>
    <t>1-1453944-2</t>
  </si>
  <si>
    <t>279533</t>
  </si>
  <si>
    <t>EMP DEL MEDIO - PREVENTISTAS</t>
  </si>
  <si>
    <t>1-1453927-2</t>
  </si>
  <si>
    <t>BUSCO CASA O LOCAL COMERCIAL  CON LOTE Y DEPOSITO Bº Gorriti-Moreno-Chijra y Alte BrownCel 388 5251775</t>
  </si>
  <si>
    <t>JALP01</t>
  </si>
  <si>
    <t>5x10</t>
  </si>
  <si>
    <t>Total 9</t>
  </si>
  <si>
    <t>Total 26</t>
  </si>
  <si>
    <t xml:space="preserve">RECEPCIONISTA  PARA CONSULTORIO </t>
  </si>
  <si>
    <t>BUSCO CAMIONES, SEMIACOPLADOS-CA</t>
  </si>
  <si>
    <t>SE NECESITA SECRETARIA  CON EXPE</t>
  </si>
  <si>
    <t>ARNEDO INMOBILIARIA  VENDE 2 Dpt</t>
  </si>
  <si>
    <t>BUSCO CASA O LOCAL COMERCIAL  CO</t>
  </si>
  <si>
    <t>1-1452195-7</t>
  </si>
  <si>
    <t>1-1454072-2</t>
  </si>
  <si>
    <t>Ortiz  Eduardo</t>
  </si>
  <si>
    <t>GESPO INMOBILIARIA  ALQUILERES -Consultorios medicos centro  3 dorm-1 Monoam. Salta Nº1031-Tel. 3885203654 / 388    1031</t>
  </si>
  <si>
    <t>1-1429658-17</t>
  </si>
  <si>
    <t>1-1454071-2</t>
  </si>
  <si>
    <t>TASACIONES CASAS- TERRENOS- FINCAS. Martillero HUGO SALAZAR Cel.0388-154078693</t>
  </si>
  <si>
    <t>1-1454089-4</t>
  </si>
  <si>
    <t>Bianco  Claudia</t>
  </si>
  <si>
    <t>Dra. Claudia M. Bianco OTORRINOLARINGOLOGA ADULTOS Independencia N° 1008 Turnos solo por teléfono 0388-4833107 8   01008</t>
  </si>
  <si>
    <t>JGOTRPRO</t>
  </si>
  <si>
    <t>1-1452816-7</t>
  </si>
  <si>
    <t>Total 5</t>
  </si>
  <si>
    <t>Total 8</t>
  </si>
  <si>
    <t>5x06</t>
  </si>
  <si>
    <t>Dra. Claudia M. Bianco OTORRINOL</t>
  </si>
  <si>
    <t>TASACIONES CASAS- TERRENOS- FINC</t>
  </si>
  <si>
    <t>GESPO INMOBILIARIA  ALQUILERES -</t>
  </si>
  <si>
    <t>1-1454173-2</t>
  </si>
  <si>
    <t>Ortega  Alejandro</t>
  </si>
  <si>
    <t>TOYOTA HILUX SRV 2013 3.0 full, 65.000km,  auxilio sin rodaripada, c/accesorios.  Financio. Cel 388 4088475  Fotos  WAPP</t>
  </si>
  <si>
    <t>1-1454098-2</t>
  </si>
  <si>
    <t>19 marzo arquitect</t>
  </si>
  <si>
    <t>1-1454101-2</t>
  </si>
  <si>
    <t>19 marzo albañil</t>
  </si>
  <si>
    <t>1-1454137-3</t>
  </si>
  <si>
    <t>Diaverum Argentina S.A.</t>
  </si>
  <si>
    <t>SE  BUSCA MEDICO /A para turno de Diálisis. Valor de la guardia x 5 hs. $2.500 Llamar de 8 a 12 al cel 388-50318 5031101</t>
  </si>
  <si>
    <t>1-1454201-4</t>
  </si>
  <si>
    <t>279152</t>
  </si>
  <si>
    <t>Buscamos ASESOR DE VENTAS con Experiencia, Disponibilidad Ho, Trabajo en Equipo enviar CV:  rrhh.inmoconstruye@gmail.com</t>
  </si>
  <si>
    <t>1-1454097-2</t>
  </si>
  <si>
    <t>19 marzo resp carpint.</t>
  </si>
  <si>
    <t>1-1454100-2</t>
  </si>
  <si>
    <t>mecanico 19 marzo</t>
  </si>
  <si>
    <t>EMPRESA CONSTRUCURA SOLICITA : MECANICO GENERAL PARA EQUIPOSalmente en LOS QUEBRACHALES Nº920 Bº CHIJRA DE 08:00 A 12:00</t>
  </si>
  <si>
    <t>1-1454151-4</t>
  </si>
  <si>
    <t>2653</t>
  </si>
  <si>
    <t>EJESA CONVOCATORIA ASAMBLEA ORDINARIA....</t>
  </si>
  <si>
    <t>1-1454153-3</t>
  </si>
  <si>
    <t>Ejsed Sa.</t>
  </si>
  <si>
    <t>26505</t>
  </si>
  <si>
    <t>EDJESA  CONVOCATORIA ASAMBLEA ORDINARIA....</t>
  </si>
  <si>
    <t>Labarta Maria Gabriela</t>
  </si>
  <si>
    <t>MARIA GABRIELA LABARTA        ABOGADA M.P. 3997 TE BRINDA ASJujuy. Dias y Hs. Martes, Miercoles y Viernes 17.308 4783953</t>
  </si>
  <si>
    <t>Total 6</t>
  </si>
  <si>
    <t>Total 30</t>
  </si>
  <si>
    <t>MARIA GABRIELA LABARTA        AB</t>
  </si>
  <si>
    <t>EJESA CONVOCATORIA ASAMBLEA ORDI</t>
  </si>
  <si>
    <t>EDJESA  CONVOCATORIA ASAMBLEA OR</t>
  </si>
  <si>
    <t>SE  BUSCA MEDICO /A para turno d</t>
  </si>
  <si>
    <t>Buscamos ASESOR DE VENTAS con Ex</t>
  </si>
  <si>
    <t>EMPRESA CONSTRUCURA SOLICITA : M</t>
  </si>
  <si>
    <t xml:space="preserve">TOYOTA HILUX SRV 2013 3.0 full, </t>
  </si>
  <si>
    <t>1-1454264-2</t>
  </si>
  <si>
    <t>Chazarreta Ricardo Ruben</t>
  </si>
  <si>
    <t>TOYOTA SW4 full,  mod/2016, 76.000km, impecable.  Cel. 3884615879.</t>
  </si>
  <si>
    <t>1-1454268-2</t>
  </si>
  <si>
    <t>Alderete  Daniel Alejandro</t>
  </si>
  <si>
    <t>IMPORTANTE EMPRESA ONSTRUCTORA    NECESITA MAQUINISTAS MANEJ10 años (excluyente) Enviar CV a: info@norsur-consulting.com</t>
  </si>
  <si>
    <t>1-1454283-2</t>
  </si>
  <si>
    <t>N.G.A. Construcciones SRL.</t>
  </si>
  <si>
    <t>279156</t>
  </si>
  <si>
    <t>CONSTRUCTORA BUSCA OFICIAL ALBAÑIL</t>
  </si>
  <si>
    <t>Luis  Cabrera</t>
  </si>
  <si>
    <t>/////////////////JESUS TAROT////////</t>
  </si>
  <si>
    <t>1-1454282-2</t>
  </si>
  <si>
    <t>279155</t>
  </si>
  <si>
    <t>EMP DEL MEDIO .- PROMOTORAS</t>
  </si>
  <si>
    <t>PAC</t>
  </si>
  <si>
    <t>2x07</t>
  </si>
  <si>
    <t>CONSTRUCTORA BUSCA OFICIAL ALBAÑ</t>
  </si>
  <si>
    <t xml:space="preserve">IMPORTANTE EMPRESA ONSTRUCTORA  </t>
  </si>
  <si>
    <t>/////////////////JESUS TAROT////</t>
  </si>
  <si>
    <t>TOYOTA SW4 full,  mod/2016, 76.0</t>
  </si>
  <si>
    <t>Garrido Ahirini Isabel</t>
  </si>
  <si>
    <t>Yañez Edgardo Jesus</t>
  </si>
  <si>
    <t>Mecatecnica S.r.l.</t>
  </si>
  <si>
    <t>BIO GNC ENERGIA “Siempre más GAS” En TU ESTACION amiga. -------------------------------------------------------8   10620</t>
  </si>
  <si>
    <t>12-1451759-3</t>
  </si>
  <si>
    <t>LOPEZ DELGADO CLAUDIA TATIANA</t>
  </si>
  <si>
    <t>IMPORTANTE  TERRENO *ESQUINA* 1.400 m2 de Superficie total Clles  -detrás boliche Ibiza- Alto Comedero  Cel. 388 4084933</t>
  </si>
  <si>
    <t>12-1451760-4</t>
  </si>
  <si>
    <t>PERICO  VENDO 2 TERRENOS juntos 10x27 c/u. Bº Municipal. Recibo camioneta C/D. 4x4  Cel. 388 154084933154084933</t>
  </si>
  <si>
    <t>Reyna  Zulema Lucia</t>
  </si>
  <si>
    <t>12-1454054-5</t>
  </si>
  <si>
    <t>SEVERINO  VENDO  100 HAS PERICO  ALQUILO * LOCAL Comercial AMunicipal. Ofic. 23 de Agosto Nº 295 Perico Cel. 388   24100</t>
  </si>
  <si>
    <t>1-1454383-2</t>
  </si>
  <si>
    <t>JUBILACIONES - PENSION por fallecimiento - Jubilacion Servic consultas online Whatsapp Lic. López Martin.  388-155007477</t>
  </si>
  <si>
    <t>1-1452381-3</t>
  </si>
  <si>
    <t>Remates/Edictos Cm- Jujuy</t>
  </si>
  <si>
    <t>JEDICT</t>
  </si>
  <si>
    <t>1-1454357-2</t>
  </si>
  <si>
    <t>Valverdi Gustavo Adolfo</t>
  </si>
  <si>
    <t>VALVERDI PROPIEDADES VENTA - ALQUILERES - TASACIONES - ADMINITAMOS PROPIEDAD VENTA Y ALQUILERES Tel. 155812419-154799016</t>
  </si>
  <si>
    <t>12-1454251-1</t>
  </si>
  <si>
    <t>1-1454363-1</t>
  </si>
  <si>
    <t>Pagan  Miguel Angel</t>
  </si>
  <si>
    <t>BRUJA PACTADA “DEYSY”   Especialista en realizar magia hindúl cementerio   PACTO CON EL DIABLO  CONSULTAS AL 3884089665.</t>
  </si>
  <si>
    <t>5x35</t>
  </si>
  <si>
    <t>3x10</t>
  </si>
  <si>
    <t>Total 7</t>
  </si>
  <si>
    <t>Total 17</t>
  </si>
  <si>
    <t>Total 27</t>
  </si>
  <si>
    <t>1x07</t>
  </si>
  <si>
    <t>1x13</t>
  </si>
  <si>
    <t>VALVERDI PROPIEDADES VENTA - ALQ</t>
  </si>
  <si>
    <t xml:space="preserve">SEVERINO  VENDO  100 HAS PERICO </t>
  </si>
  <si>
    <t>IMPORTANTE  TERRENO *ESQUINA* 1.</t>
  </si>
  <si>
    <t xml:space="preserve">PERICO  VENDO 2 TERRENOS juntos </t>
  </si>
  <si>
    <t>BIO GNC ENERGIA “Siempre más GAS</t>
  </si>
  <si>
    <t>BRUJA PACTADA “DEYSY”   Especial</t>
  </si>
  <si>
    <t>10-1454404-6</t>
  </si>
  <si>
    <t>1-1454388-2</t>
  </si>
  <si>
    <t>1-1452367-6</t>
  </si>
  <si>
    <t>1-1454152-2</t>
  </si>
  <si>
    <t>Cazon Eusebio</t>
  </si>
  <si>
    <t>EDICTO DRA. NORMA BEATRIZ ISSA, Pte. de Trámite, en la Vocal de trámite  Ante mi María Florencia Rivas - PRO SE8    5486</t>
  </si>
  <si>
    <t>1-1454163-3</t>
  </si>
  <si>
    <t>Quero  Valentin</t>
  </si>
  <si>
    <t>EDICTO SUCESORIO -  -  -  JUZGADO  DE  PRIMERA   INSTANCIA  e 2020.- -  -  -  PROSECRETARÍA: DRA.  NATACHA BULI8  114295</t>
  </si>
  <si>
    <t>1-1454164-2</t>
  </si>
  <si>
    <t>EDICTO SUCESORIO .-.-.-.-JUZGADO DE PRIMERA INSTANCIA EN LO etario: Dra. Sandra M. Torres- Secretaria Habilitad8  163840</t>
  </si>
  <si>
    <t>1-1454190-2</t>
  </si>
  <si>
    <t>Scardigli  Gonzalo Esteban</t>
  </si>
  <si>
    <t>EDICTO-- --------EN EL EXPTE. N° D-022849/2018, caratulado: TE MI: DRA. NATALIA A. SOLETTA- SECRETARIA --------8  022849</t>
  </si>
  <si>
    <t>1-1454191-2</t>
  </si>
  <si>
    <t>EDICTO- -------------JUZGADO DE PRIMERA INSTANCIA EN LO CIVIecretaria.          San Pedro de Jujuy, 15 de Marzo8   35193</t>
  </si>
  <si>
    <t>12-1454177-3</t>
  </si>
  <si>
    <t>Centro de Jubilads y Pensionados Pasos Firmes</t>
  </si>
  <si>
    <t>ASAMBLEA GENERAL ORDINARIA La Comisión Directiva de “Asociacentados de conformidad para lo acordado en el orden8    7201</t>
  </si>
  <si>
    <t>1-1454385-2</t>
  </si>
  <si>
    <t>Asoc. Coop. Ing. Mario Romano Esc. E.e.t. N°1- Escolástico Zegada</t>
  </si>
  <si>
    <t>CONVOCATORIA San Salvador de Jujuy, 19 de Marzo de 2021, siela reunión, siendo las 21:25 horas.-  ÇLA COMISION 8   01143</t>
  </si>
  <si>
    <t>032021</t>
  </si>
  <si>
    <t>Lenarduzzi Marcelo Daniel</t>
  </si>
  <si>
    <t>LENARDUZZI AUTOMOTORES</t>
  </si>
  <si>
    <t>3x14</t>
  </si>
  <si>
    <t>3x15</t>
  </si>
  <si>
    <t>ASAMBLEA GENERAL ORDINARIA La Co</t>
  </si>
  <si>
    <t>CONVOCATORIA San Salvador de Juj</t>
  </si>
  <si>
    <t xml:space="preserve">                                </t>
  </si>
  <si>
    <t xml:space="preserve">EDICTO DRA. NORMA BEATRIZ ISSA, </t>
  </si>
  <si>
    <t>EDICTO SUCESORIO -  -  -  JUZGAD</t>
  </si>
  <si>
    <t>EDICTO SUCESORIO .-.-.-.-JUZGADO</t>
  </si>
  <si>
    <t>EDICTO-- --------EN EL EXPTE. N°</t>
  </si>
  <si>
    <t xml:space="preserve">EDICTO- -------------JUZGADO DE </t>
  </si>
  <si>
    <t>1-1450130-8</t>
  </si>
  <si>
    <t>Obachi Gabriela Cecilia</t>
  </si>
  <si>
    <t>277347</t>
  </si>
  <si>
    <t>Gabiota Sport</t>
  </si>
  <si>
    <t>JVEN08</t>
  </si>
  <si>
    <t>1-1452368-1</t>
  </si>
  <si>
    <t>BOSIO CRISTIAN HUMBERTO</t>
  </si>
  <si>
    <t>279334</t>
  </si>
  <si>
    <t>LCB POLARIZADOS ...</t>
  </si>
  <si>
    <t>10-1454510-1</t>
  </si>
  <si>
    <t>VARGAS JAVIER FABIAN</t>
  </si>
  <si>
    <t>DÑO. VDE. LOTE. PALPALÁ. B° Virgen del Valle. 16 x 40 m2. Coitura. $ 1.200.000 Con efectivo en mano. Cel. 388- 154495376</t>
  </si>
  <si>
    <t>1-1452200-8</t>
  </si>
  <si>
    <t>279383</t>
  </si>
  <si>
    <t>DERGAM</t>
  </si>
  <si>
    <t>1-1454481-2</t>
  </si>
  <si>
    <t>Rodriguez Roxana</t>
  </si>
  <si>
    <t>¡¡¡URGENTE BUSCAMOS A VALENTINA!!! Perrita Salchicha extravis. $$$RECOMPENSARE $$$ (FOTO CARP. 23-03 Tel. 0388-8    2303</t>
  </si>
  <si>
    <t>JEXTRA</t>
  </si>
  <si>
    <t>1-1453910-2</t>
  </si>
  <si>
    <t>Pons  Vanesa</t>
  </si>
  <si>
    <t>JUZGADO DE PRIMERA INSTANCIA EN LO CIVIL Y COMERCIAL Nº2 DE r de Jujuy,      25        de        febrero       8  171083</t>
  </si>
  <si>
    <t>1-1454473-2</t>
  </si>
  <si>
    <t>Erazo  Daniel</t>
  </si>
  <si>
    <t xml:space="preserve">                                                            o del 2021, a cargo del Dr. Mauro R. Di PIETRO  Sec8  149006</t>
  </si>
  <si>
    <t>1-1454484-3</t>
  </si>
  <si>
    <t>Lopez  Ana Ramona</t>
  </si>
  <si>
    <t xml:space="preserve">  EDICTO --- Juzgado de Primera Instancia en lo Civil y Comeecretaria---- ---San Pedro de Jujuy, 17 de febrero de 2021.-</t>
  </si>
  <si>
    <t>1-1454490-2</t>
  </si>
  <si>
    <t>Adriana Karina Nassr</t>
  </si>
  <si>
    <t>---EDICTO SUCESORIO--  ---JUZGADO DE PRIMERA INSTANCIA EN LOernández.-   ---San Salvador de Jujuy, 04 de marzo 896172219</t>
  </si>
  <si>
    <t>1-1454494-2</t>
  </si>
  <si>
    <t>Gabriela Sandy</t>
  </si>
  <si>
    <t>EDICTO SUCESORIO  = = = El JUZGADO DE PRIMERA INSTANCIA EN Lo de 2.021.- = = = Firma Habilitada: Dr. FABIAN CAR8  164235</t>
  </si>
  <si>
    <t>1-1454492-2</t>
  </si>
  <si>
    <t>FEIJOO CARLOS MARTIN</t>
  </si>
  <si>
    <t>22MARZO 2021</t>
  </si>
  <si>
    <t>EFECTIVO EN 1 MINUTO...</t>
  </si>
  <si>
    <t>JDINER</t>
  </si>
  <si>
    <t>1-1452378-1</t>
  </si>
  <si>
    <t>PANERO JULIO CESAR</t>
  </si>
  <si>
    <t>277348 12</t>
  </si>
  <si>
    <t>JULIO PANERO</t>
  </si>
  <si>
    <t>1-1454456-3</t>
  </si>
  <si>
    <t>Coop. Vivienda y Consumo Sin Fronteras Ltda.</t>
  </si>
  <si>
    <t>COOPERATIVA SIN FRONTERAS CONVOCATORIA Y NOTIFICACION  EL COnalizado el 31 de diciembre del año 2020. Comisión 8   56796</t>
  </si>
  <si>
    <t>1-1454482-2</t>
  </si>
  <si>
    <t>Zamora Karen</t>
  </si>
  <si>
    <t>CONVOCATORIA  La Comisión Reorganizadora designada tal conf.protocolos recomendados por el COE.  COMISION REORG8   08821</t>
  </si>
  <si>
    <t>1-1454461-1</t>
  </si>
  <si>
    <t>Rosenbluth  Fernando</t>
  </si>
  <si>
    <t>ALQUILO DPTO  de categoría 1 dorm solo o con cochera o patio.  Ituzaingo 428 Ciudad de Nieva. Cel. 3885181765.</t>
  </si>
  <si>
    <t>1-1454364-2</t>
  </si>
  <si>
    <t>Suarez Zegarra  Carlos</t>
  </si>
  <si>
    <t>AMOS-BRUJOS- SEÑORES DE LOS AMANTES     CRISTIAN DE LOS SANToholismo y Drogadicción  RESERVAS  3884656251- JUJUY- CENTRO</t>
  </si>
  <si>
    <t>1-1454448-2</t>
  </si>
  <si>
    <t>Rios  Patricia Bibiana</t>
  </si>
  <si>
    <t>ESTUDIE ITALIANO ASOC. DANTE ALIGHIERI Cursos para adultos.  18:30 a 20:00 hs Avda. Fascio 1078- 2º Piso (Soc. 8    1078</t>
  </si>
  <si>
    <t>1-1452204-3</t>
  </si>
  <si>
    <t>HUANUCO</t>
  </si>
  <si>
    <t>MAS LUZ - JUJUY FM</t>
  </si>
  <si>
    <t>1-1454469-2</t>
  </si>
  <si>
    <t>Gordillo Raul</t>
  </si>
  <si>
    <t>TILCARA NUEVO PROFESIONAL Dr. GERMAN RAUL GORDILLO          su familia le desean mucho éxito  en su carrera profesional.</t>
  </si>
  <si>
    <t>1-1454516-2</t>
  </si>
  <si>
    <t xml:space="preserve"> SECRETARIA DE INFRAESTRUCTURA EDUCATIVA</t>
  </si>
  <si>
    <t>89</t>
  </si>
  <si>
    <t>+ GIMENEZ, PABLO (q.e.p.d.) Fallecio el dia 21 d e marzo de  Ing. Yecora, arq. Brandan, Ing. Muriloo, C.P.N. Quispe.....</t>
  </si>
  <si>
    <t>1-1452501-3</t>
  </si>
  <si>
    <t xml:space="preserve"> FUNDACION PRACTICAS PARA LA CAPACITACION Y TRABAJO</t>
  </si>
  <si>
    <t>279397</t>
  </si>
  <si>
    <t>INSTRUMENTACION QUIRURIGA M.C. - PROP. EDUCT</t>
  </si>
  <si>
    <t>PES</t>
  </si>
  <si>
    <t>1-1454464-3</t>
  </si>
  <si>
    <t>MORENO JOSE MARIA</t>
  </si>
  <si>
    <t>1303</t>
  </si>
  <si>
    <t>IITA - PROPUESTA EDUCATIVA</t>
  </si>
  <si>
    <t>1-1452684-2</t>
  </si>
  <si>
    <t>SCOPEL SERGIO RAFAEL - ADICEM</t>
  </si>
  <si>
    <t>279347</t>
  </si>
  <si>
    <t>ADICEM ....</t>
  </si>
  <si>
    <t>1-1452377-1</t>
  </si>
  <si>
    <t>Segura Ana</t>
  </si>
  <si>
    <t>279332</t>
  </si>
  <si>
    <t>Norte Servicios Sociales</t>
  </si>
  <si>
    <t>OBI</t>
  </si>
  <si>
    <t>1-1452690-19</t>
  </si>
  <si>
    <t>1-1453365-6</t>
  </si>
  <si>
    <t>Banco Macro Sociedad Anónima</t>
  </si>
  <si>
    <t>032021 Imp</t>
  </si>
  <si>
    <t>BANCO MACRO  PEDIDO: 45000102879 HES: 1000206139</t>
  </si>
  <si>
    <t>1-1454488-3</t>
  </si>
  <si>
    <t>1542</t>
  </si>
  <si>
    <t>PJ JUJUY - RIVAROLA</t>
  </si>
  <si>
    <t>1-1454495-2</t>
  </si>
  <si>
    <t>Club Atletico Gimnasia y Esgrima</t>
  </si>
  <si>
    <t>4964</t>
  </si>
  <si>
    <t>BINGO LOBO...</t>
  </si>
  <si>
    <t>1-1454499-2</t>
  </si>
  <si>
    <t>EJESA CORTE...</t>
  </si>
  <si>
    <t>1-1454500-2</t>
  </si>
  <si>
    <t>Direccion De Prensa Y Medios De Comunicacion</t>
  </si>
  <si>
    <t>GOBIERNO CALL CENTER 0800-...</t>
  </si>
  <si>
    <t>1-1454536-1</t>
  </si>
  <si>
    <t>GOBIERNO SOLICITADA....</t>
  </si>
  <si>
    <t>1-1454519-3</t>
  </si>
  <si>
    <t>Jumi S.R.L.</t>
  </si>
  <si>
    <t>2303020</t>
  </si>
  <si>
    <t>ANIVERSARIO GINMASIA ING. ULLOA</t>
  </si>
  <si>
    <t>DEP</t>
  </si>
  <si>
    <t>1-1454170-5</t>
  </si>
  <si>
    <t>12-1453217-3</t>
  </si>
  <si>
    <t>Sepelios San Jose SRL.</t>
  </si>
  <si>
    <t>SEPELIOS SAN JOSE S.R.L. SERVICIOS SOCIALES</t>
  </si>
  <si>
    <t>Sup Automotor</t>
  </si>
  <si>
    <t>1-1451971-2</t>
  </si>
  <si>
    <t>Duran Jorge Rafael</t>
  </si>
  <si>
    <t>279371</t>
  </si>
  <si>
    <t>CENTRO VOLKSWAGEN-SUP. AUTOMOTOR</t>
  </si>
  <si>
    <t>1-1452137-2</t>
  </si>
  <si>
    <t>Gentile Sergio Radames</t>
  </si>
  <si>
    <t>279377</t>
  </si>
  <si>
    <t>HAFID</t>
  </si>
  <si>
    <t>1-1452138-2</t>
  </si>
  <si>
    <t>Escalera Elías Alejandro</t>
  </si>
  <si>
    <t>279378</t>
  </si>
  <si>
    <t>CENTRO AUTOMOTOR</t>
  </si>
  <si>
    <t>1-1452145-2</t>
  </si>
  <si>
    <t>Salaberry Alejandro Esteban</t>
  </si>
  <si>
    <t>279390</t>
  </si>
  <si>
    <t>LUBRINOR</t>
  </si>
  <si>
    <t>1-1452269-2</t>
  </si>
  <si>
    <t>Eichenberger Daniel Alberto Ramón</t>
  </si>
  <si>
    <t>279320</t>
  </si>
  <si>
    <t>DFD Repuestos</t>
  </si>
  <si>
    <t>1-1452270-2</t>
  </si>
  <si>
    <t>279321</t>
  </si>
  <si>
    <t>Xtreme Neumáticos</t>
  </si>
  <si>
    <t>1-1452271-2</t>
  </si>
  <si>
    <t>Quispe Amante Julio Cesar</t>
  </si>
  <si>
    <t>279322</t>
  </si>
  <si>
    <t>El Lobito Repuestos</t>
  </si>
  <si>
    <t>1-1452272-2</t>
  </si>
  <si>
    <t>Neumatone Srl</t>
  </si>
  <si>
    <t>279323</t>
  </si>
  <si>
    <t>Neumatone</t>
  </si>
  <si>
    <t>1-1452273-2</t>
  </si>
  <si>
    <t>Motonoa S.R.L.</t>
  </si>
  <si>
    <t>279324</t>
  </si>
  <si>
    <t>Motonoa</t>
  </si>
  <si>
    <t>1-1452274-2</t>
  </si>
  <si>
    <t>Toyojuy-Chevrojuy S.R.L</t>
  </si>
  <si>
    <t>279325</t>
  </si>
  <si>
    <t>Toyojuy-Chevrojuy</t>
  </si>
  <si>
    <t>1-1452275-2</t>
  </si>
  <si>
    <t>Warnes Repuestos Noa S.A.</t>
  </si>
  <si>
    <t>279326</t>
  </si>
  <si>
    <t>Warnes Repuestos</t>
  </si>
  <si>
    <t>1-1452276-5</t>
  </si>
  <si>
    <t>ORTEGA JUAN CARLOS</t>
  </si>
  <si>
    <t>279327</t>
  </si>
  <si>
    <t>Ortega Automotores</t>
  </si>
  <si>
    <t>1-1452277-2</t>
  </si>
  <si>
    <t>279328</t>
  </si>
  <si>
    <t>Produgas GNC-Nafta</t>
  </si>
  <si>
    <t>1-1452278-4</t>
  </si>
  <si>
    <t>Bejarano Alborta Mario Alvaro</t>
  </si>
  <si>
    <t>279329</t>
  </si>
  <si>
    <t>CAR PRO</t>
  </si>
  <si>
    <t>1-1453814-3</t>
  </si>
  <si>
    <t>Melli Automotores S.R.L.</t>
  </si>
  <si>
    <t>m2021</t>
  </si>
  <si>
    <t>MELLI AUTOMOTORES</t>
  </si>
  <si>
    <t>1-1454493-3</t>
  </si>
  <si>
    <t>mar2303</t>
  </si>
  <si>
    <t>2x13</t>
  </si>
  <si>
    <t>2x06</t>
  </si>
  <si>
    <t>4x06</t>
  </si>
  <si>
    <t>1x17</t>
  </si>
  <si>
    <t>3x06</t>
  </si>
  <si>
    <t>4x21</t>
  </si>
  <si>
    <t>Total 15</t>
  </si>
  <si>
    <t>Total 23</t>
  </si>
  <si>
    <t>Total 24</t>
  </si>
  <si>
    <t>Total 32</t>
  </si>
  <si>
    <t>2x18</t>
  </si>
  <si>
    <t>SEPELIOS SAN JOSE S.R.L. SERVICI</t>
  </si>
  <si>
    <t>BANCO MACRO  PEDIDO: 45000102879</t>
  </si>
  <si>
    <t>TILCARA NUEVO PROFESIONAL Dr. GE</t>
  </si>
  <si>
    <t>INSTRUMENTACION QUIRURIGA M.C. -</t>
  </si>
  <si>
    <t>+ GIMENEZ, PABLO (q.e.p.d.) Fall</t>
  </si>
  <si>
    <t>ALQUILO DPTO  de categoría 1 dor</t>
  </si>
  <si>
    <t>AMOS-BRUJOS- SEÑORES DE LOS AMAN</t>
  </si>
  <si>
    <t>ESTUDIE ITALIANO ASOC. DANTE ALI</t>
  </si>
  <si>
    <t>COOPERATIVA SIN FRONTERAS CONVOC</t>
  </si>
  <si>
    <t>CONVOCATORIA  La Comisión Reorga</t>
  </si>
  <si>
    <t xml:space="preserve">JUZGADO DE PRIMERA INSTANCIA EN </t>
  </si>
  <si>
    <t xml:space="preserve">  EDICTO --- Juzgado de Primera </t>
  </si>
  <si>
    <t>---EDICTO SUCESORIO--  ---JUZGAD</t>
  </si>
  <si>
    <t>EDICTO SUCESORIO  = = = El JUZGA</t>
  </si>
  <si>
    <t>¡¡¡URGENTE BUSCAMOS A VALENTINA!</t>
  </si>
  <si>
    <t>DÑO. VDE. LOTE. PALPALÁ. B° Virg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</si>
</sst>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color indexed="8"/>
      <name val="Verdana"/>
      <family val="2"/>
    </font>
    <font>
      <sz val="10"/>
      <color indexed="8"/>
      <name val="Verdana"/>
    </font>
    <font>
      <b/>
      <sz val="10"/>
      <name val="Verdana"/>
      <family val="2"/>
    </font>
    <font>
      <sz val="10"/>
      <name val="Verdana"/>
      <family val="2"/>
    </font>
    <font>
      <sz val="10"/>
      <color theme="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3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5" fillId="0" borderId="2" xfId="0" pivotButton="1" applyFont="1" applyBorder="1" applyAlignment="1">
      <alignment horizontal="center" vertical="top"/>
    </xf>
    <xf numFmtId="0" fontId="6" fillId="0" borderId="3" xfId="0" applyNumberFormat="1" applyFont="1" applyBorder="1" applyAlignment="1">
      <alignment horizontal="center" vertical="top"/>
    </xf>
    <xf numFmtId="0" fontId="6" fillId="0" borderId="9" xfId="0" applyNumberFormat="1" applyFont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0" fontId="6" fillId="0" borderId="7" xfId="0" applyFont="1" applyBorder="1" applyAlignment="1">
      <alignment horizontal="right" vertical="center" wrapText="1"/>
    </xf>
    <xf numFmtId="0" fontId="6" fillId="0" borderId="8" xfId="0" applyFont="1" applyBorder="1" applyAlignment="1">
      <alignment horizontal="right" vertical="top"/>
    </xf>
    <xf numFmtId="0" fontId="5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right" vertical="center" wrapText="1"/>
    </xf>
    <xf numFmtId="0" fontId="6" fillId="0" borderId="5" xfId="0" applyFont="1" applyBorder="1" applyAlignment="1">
      <alignment horizontal="right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396"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numFmt numFmtId="0" formatCode="General"/>
    </dxf>
    <dxf>
      <alignment horizontal="center" readingOrder="0"/>
    </dxf>
    <dxf>
      <alignment horizontal="center" readingOrder="0"/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/>
        <i/>
        <strike val="0"/>
        <color auto="1"/>
      </font>
      <fill>
        <patternFill patternType="solid">
          <fgColor auto="1"/>
          <bgColor theme="0" tint="-0.2499465926084170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78.393384490744" createdVersion="4" refreshedVersion="4" minRefreshableVersion="3" recordCount="121">
  <cacheSource type="worksheet">
    <worksheetSource name="InputData"/>
  </cacheSource>
  <cacheFields count="19">
    <cacheField name="Section" numFmtId="0">
      <sharedItems count="15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50130-8"/>
        <s v="1-1453267-4"/>
        <s v="1-1454173-2"/>
        <s v="1-1454264-2"/>
        <s v="1-1452139-5"/>
        <s v="1-1452192-4"/>
        <s v="1-1452368-1"/>
        <s v="10-1454404-6"/>
        <s v="12-1451759-3"/>
        <s v="12-1451760-4"/>
        <s v="1-1452195-7"/>
        <s v="1-1453335-5"/>
        <s v="10-1454510-1"/>
        <s v="1-1451458-2"/>
        <s v="1-1453689-1"/>
        <s v="12-1454054-5"/>
        <s v="1-1454072-2"/>
        <s v="1-1454388-2"/>
        <s v="1-1452193-6"/>
        <s v="1-1452200-8"/>
        <s v="1-1452367-6"/>
        <s v="1-1453406-2"/>
        <s v="1-1453897-3"/>
        <s v="1-1453928-2"/>
        <s v="1-1453930-2"/>
        <s v="1-1453943-2"/>
        <s v="1-1453944-2"/>
        <s v="1-1454098-2"/>
        <s v="1-1454101-2"/>
        <s v="1-1454137-3"/>
        <s v="1-1454201-4"/>
        <s v="1-1454268-2"/>
        <s v="1-1454283-2"/>
        <s v="1-1454383-2"/>
        <s v="13-1452997-2"/>
        <s v="1-1429658-17"/>
        <s v="1-1454481-2"/>
        <s v="1-1452379-1"/>
        <s v="1-1452380-1"/>
        <s v="1-1452381-3"/>
        <s v="1-1453910-2"/>
        <s v="1-1454152-2"/>
        <s v="1-1454163-3"/>
        <s v="1-1454164-2"/>
        <s v="1-1454190-2"/>
        <s v="1-1454191-2"/>
        <s v="1-1454473-2"/>
        <s v="1-1454484-3"/>
        <s v="1-1454490-2"/>
        <s v="1-1454494-2"/>
        <s v="1-1454492-2"/>
        <s v="1-1452378-1"/>
        <s v="1-1453599-2"/>
        <s v="1-1454071-2"/>
        <s v="1-1454357-2"/>
        <s v="12-1454177-3"/>
        <s v="1-1454385-2"/>
        <s v="1-1454456-3"/>
        <s v="1-1454482-2"/>
        <s v="1-1453927-2"/>
        <s v="1-1452201-1"/>
        <s v="1-1454461-1"/>
        <s v="12-1453477-2"/>
        <s v="1-1454097-2"/>
        <s v="1-1454100-2"/>
        <s v="12-1454251-1"/>
        <s v="1-1454282-2"/>
        <s v="1-1454363-1"/>
        <s v="1-1454364-2"/>
        <s v="1-1454448-2"/>
        <s v="1-1452204-3"/>
        <s v="1-1454469-2"/>
        <s v="1-1454516-2"/>
        <s v="1-1452376-1"/>
        <s v="1-1452202-1"/>
        <s v="1-1452375-1"/>
        <s v="1-1452528-1"/>
        <s v="1-1452501-3"/>
        <s v="1-1454464-3"/>
        <s v="1-1452684-2"/>
        <s v="1-1452377-1"/>
        <s v="1-1452690-19"/>
        <s v="1-1450457-1"/>
        <s v="1-1453365-6"/>
        <s v="1-1454151-4"/>
        <s v="1-1454153-3"/>
        <s v="1-1454488-3"/>
        <s v="1-1454495-2"/>
        <s v="1-1454499-2"/>
        <s v="1-1454500-2"/>
        <s v="1-1454536-1"/>
        <s v="1-1454519-3"/>
        <s v="1-1450027-4"/>
        <s v="1-1453457-2"/>
        <s v="1-1454089-4"/>
        <s v="1-1451875-2"/>
        <s v="1-1452341-1"/>
        <s v="1-1452140-2"/>
        <s v="1-1450848-2"/>
        <s v="1-1451781-2"/>
        <s v="1-1451862-1"/>
        <s v="1-1452257-2"/>
        <s v="1-1454170-5"/>
        <s v="12-1453217-3"/>
        <s v="1-1451971-2"/>
        <s v="1-1452137-2"/>
        <s v="1-1452138-2"/>
        <s v="1-1452145-2"/>
        <s v="1-1452269-2"/>
        <s v="1-1452270-2"/>
        <s v="1-1452271-2"/>
        <s v="1-1452272-2"/>
        <s v="1-1452273-2"/>
        <s v="1-1452274-2"/>
        <s v="1-1452275-2"/>
        <s v="1-1452276-5"/>
        <s v="1-1452277-2"/>
        <s v="1-1452278-4"/>
        <s v="1-1453814-3"/>
        <s v="1-1454493-3"/>
        <s v="1-1452816-7"/>
        <s v="1-1447761-2" u="1"/>
        <s v="1-1447945-2" u="1"/>
        <s v="10-1446878-5" u="1"/>
        <s v="10-1433334-4" u="1"/>
        <s v="10-1453641-2" u="1"/>
        <s v="1-1435561-3" u="1"/>
        <s v="1-1435653-3" u="1"/>
        <s v="1-1451827-3" u="1"/>
        <s v="1-1451843-2" u="1"/>
        <s v="10-1441001-2" u="1"/>
        <s v="12-1431970-24" u="1"/>
        <s v="1-1433237-2" u="1"/>
        <s v="1-1437246-2" u="1"/>
        <s v="1-1453236-2" u="1"/>
        <s v="1-1443697-14" u="1"/>
        <s v="1-1421237-2" u="1"/>
        <s v="1-1425338-2" u="1"/>
        <s v="1-1441236-2" u="1"/>
        <s v="1-1445137-3" u="1"/>
        <s v="1-1445245-2" u="1"/>
        <s v="1-1449038-4" u="1"/>
        <s v="1-1449438-2" u="1"/>
        <s v="10-1435746-2" u="1"/>
        <s v="1-1435845-3" u="1"/>
        <s v="1-1439870-2" u="1"/>
        <s v="1-1439962-2" u="1"/>
        <s v="1-1429728-10" u="1"/>
        <s v="1-1433061-2" u="1"/>
        <s v="1-1433429-2" u="1"/>
        <s v="1-1437070-2" u="1"/>
        <s v="1-1447961-2" u="1"/>
        <s v="12-1435918-6" u="1"/>
        <s v="1-1445437-2" u="1"/>
        <s v="1-1449154-3" u="1"/>
        <s v="1-1449354-2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53528-2" u="1"/>
        <s v="1-1433944-7" u="1"/>
        <s v="1-1449038-5" u="1"/>
        <s v="1-1435861-3" u="1"/>
        <s v="1-1433537-2" u="1"/>
        <s v="1-1437270-2" u="1"/>
        <s v="1-1437454-2" u="1"/>
        <s v="1-1453060-3" u="1"/>
        <s v="1-1453336-3" u="1"/>
        <s v="1-1453444-2" u="1"/>
        <s v="1-1453628-2" u="1"/>
        <s v="1-1425270-2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546-3" u="1"/>
        <s v="1-1437638-3" u="1"/>
        <s v="1-1453460-2" u="1"/>
        <s v="1-1453828-2" u="1"/>
        <s v="1-1431029-2" u="1"/>
        <s v="1-1431045-1" u="1"/>
        <s v="1-1429755-2" u="1"/>
        <s v="1-1429939-2" u="1"/>
        <s v="1-1441736-2" u="1"/>
        <s v="1-1445837-2" u="1"/>
        <s v="1-1445929-2" u="1"/>
        <s v="1-1449462-3" u="1"/>
        <s v="1-1449570-2" u="1"/>
        <s v="1-1449862-1" u="1"/>
        <s v="1-1447138-2" u="1"/>
        <s v="11-1436437-2" u="1"/>
        <s v="1-1433561-2" u="1"/>
        <s v="1-1433637-3" u="1"/>
        <s v="1-1433929-2" u="1"/>
        <s v="1-1437846-2" u="1"/>
        <s v="1-1453836-2" u="1"/>
        <s v="1-1431037-2" u="1"/>
        <s v="1-1429839-3" u="1"/>
        <s v="1-1441836-2" u="1"/>
        <s v="1-1445661-2" u="1"/>
        <s v="1-1445845-2" u="1"/>
        <s v="1-1445937-2" u="1"/>
        <s v="1-1443029-3" u="1"/>
        <s v="1-1450299-6" u="1"/>
        <s v="12-1444480-2" u="1"/>
        <s v="13-1452995-2" u="1"/>
        <s v="1-1437654-3" u="1"/>
        <s v="1-1437762-2" u="1"/>
        <s v="1-1437854-2" u="1"/>
        <s v="1-1453336-5" u="1"/>
        <s v="1-1423937-6" u="1"/>
        <s v="1-1436415-15" u="1"/>
        <s v="1-1429939-3" u="1"/>
        <s v="1-1429955-2" u="1"/>
        <s v="1-1441660-2" u="1"/>
        <s v="1-1441752-2" u="1"/>
        <s v="1-1445745-3" u="1"/>
        <s v="1-1445761-2" u="1"/>
        <s v="1-1445945-2" u="1"/>
        <s v="1-1449954-2" u="1"/>
        <s v="1-1439770-6" u="1"/>
        <s v="1-1440689-10" u="1"/>
        <s v="10-1435665-2" u="1"/>
        <s v="1-1433637-4" u="1"/>
        <s v="1-1437754-3" u="1"/>
        <s v="1-1431037-3" u="1"/>
        <s v="1-1435138-3" u="1"/>
        <s v="1-1439163-2" u="1"/>
        <s v="1-1439347-2" u="1"/>
        <s v="1-1441760-2" u="1"/>
        <s v="1-1445861-2" u="1"/>
        <s v="1-1449038-8" u="1"/>
        <s v="1-1449670-3" u="1"/>
        <s v="1-1447254-2" u="1"/>
        <s v="1-1450299-7" u="1"/>
        <s v="10-1434917-2" u="1"/>
        <s v="11-1439437-2" u="1"/>
        <s v="1-1433861-2" u="1"/>
        <s v="1-1437654-4" u="1"/>
        <s v="1-1453336-6" u="1"/>
        <s v="1-1437655-17" u="1"/>
        <s v="11-1453275-2" u="1"/>
        <s v="1-1431061-2" u="1"/>
        <s v="1-1435162-2" u="1"/>
        <s v="1-1435438-2" u="1"/>
        <s v="1-1441552-4" u="1"/>
        <s v="1-1441860-2" u="1"/>
        <s v="1-1449570-4" u="1"/>
        <s v="1-1443237-3" u="1"/>
        <s v="1-1443637-1" u="1"/>
        <s v="1-1443729-1" u="1"/>
        <s v="1-1447354-2" u="1"/>
        <s v="1-1437862-3" u="1"/>
        <s v="1-1437970-2" u="1"/>
        <s v="1-1453960-2" u="1"/>
        <s v="11-1433356-2" u="1"/>
        <s v="1-1431037-4" u="1"/>
        <s v="1-1431437-2" u="1"/>
        <s v="1-1435170-2" u="1"/>
        <s v="1-1429763-4" u="1"/>
        <s v="1-1429871-3" u="1"/>
        <s v="1-1445845-4" u="1"/>
        <s v="1-1443445-2" u="1"/>
        <s v="1-1443537-2" u="1"/>
        <s v="1-1443645-1" u="1"/>
        <s v="1-1437654-5" u="1"/>
        <s v="12-1443699-2" u="1"/>
        <s v="1-1431245-3" u="1"/>
        <s v="1-1435454-2" u="1"/>
        <s v="1-1435470-1" u="1"/>
        <s v="1-1439447-3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47470-2" u="1"/>
        <s v="1-1437654-6" u="1"/>
        <s v="10-1430932-1" u="1"/>
        <s v="1-1431645-2" u="1"/>
        <s v="1-1435562-2" u="1"/>
        <s v="1-1439447-4" u="1"/>
        <s v="1-1433038-2" u="1"/>
        <s v="1-1437047-2" u="1"/>
        <s v="1-1438264-13" u="1"/>
        <s v="1-1447938-2" u="1"/>
        <s v="1-1433637-7" u="1"/>
        <s v="1-1449147-2" u="1"/>
        <s v="13-1447171-2" u="1"/>
        <s v="1-1431929-2" u="1"/>
        <s v="1-1435554-3" u="1"/>
        <s v="1-1435570-2" u="1"/>
        <s v="1-1435662-2" u="1"/>
        <s v="1-1435738-3" u="1"/>
        <s v="1-1435754-2" u="1"/>
        <s v="1-1451328-5" u="1"/>
        <s v="1-1451344-4" u="1"/>
        <s v="1-1429529-10" u="1"/>
        <s v="11-1431379-2" u="1"/>
        <s v="1-1445845-6" u="1"/>
        <s v="1-1453229-2" u="1"/>
        <s v="1-1443829-3" u="1"/>
        <s v="1-1447762-2" u="1"/>
        <s v="1-1429048-3" u="1"/>
        <s v="1-1437654-7" u="1"/>
        <s v="1-1445054-2" u="1"/>
        <s v="1-1449263-1" u="1"/>
        <s v="1-1435562-3" u="1"/>
        <s v="1-1435670-2" u="1"/>
        <s v="1-1439863-2" u="1"/>
        <s v="1-1451828-3" u="1"/>
        <s v="12-1454046-2" u="1"/>
        <s v="1-1437447-1" u="1"/>
        <s v="1-1443853-2" u="1"/>
        <s v="1-1447770-2" u="1"/>
        <s v="1-1425155-2" u="1"/>
        <s v="1-1449163-2" u="1"/>
        <s v="10-1435664-2" u="1"/>
        <s v="1-1435554-4" u="1"/>
        <s v="1-1439963-2" u="1"/>
        <s v="1-1451544-4" u="1"/>
        <s v="11-1433379-2" u="1"/>
        <s v="1-1433338-2" u="1"/>
        <s v="1-1437347-2" u="1"/>
        <s v="1-1445845-7" u="1"/>
        <s v="1-1447870-2" u="1"/>
        <s v="1-1429048-4" u="1"/>
        <s v="1-1437654-8" u="1"/>
        <s v="1-1441337-2" u="1"/>
        <s v="1-1445254-2" u="1"/>
        <s v="1-1449063-3" u="1"/>
        <s v="10-1435636-3" u="1"/>
        <s v="1-1439863-3" u="1"/>
        <s v="1-1451860-2" u="1"/>
        <s v="1-1433070-2" u="1"/>
        <s v="1-1433162-2" u="1"/>
        <s v="1-1437355-2" u="1"/>
        <s v="1-1453529-2" u="1"/>
        <s v="1-1447970-2" u="1"/>
        <s v="12-1451578-7" u="1"/>
        <s v="12-1451994-4" u="1"/>
        <s v="1-1433262-2" u="1"/>
        <s v="1-1433338-3" u="1"/>
        <s v="1-1445845-8" u="1"/>
        <s v="1-1453629-2" u="1"/>
        <s v="1-1453737-1" u="1"/>
        <s v="12-1438144-11" u="1"/>
        <s v="1-1429048-5" u="1"/>
        <s v="1-1437654-9" u="1"/>
        <s v="1-1441137-4" u="1"/>
        <s v="1-1441461-1" u="1"/>
        <s v="1-1433454-2" u="1"/>
        <s v="1-1433638-2" u="1"/>
        <s v="1-1453161-3" u="1"/>
        <s v="1-1453637-2" u="1"/>
        <s v="1-1429656-2" u="1"/>
        <s v="1-1441453-2" u="1"/>
        <s v="1-1437747-2" u="1"/>
        <s v="1-1453829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33470-2" u="1"/>
        <s v="1-1437847-2" u="1"/>
        <s v="1-1453653-2" u="1"/>
        <s v="1-1453837-2" u="1"/>
        <s v="1-1429656-3" u="1"/>
        <s v="1-1429856-2" u="1"/>
        <s v="1-1445938-2" u="1"/>
        <s v="1-1445954-1" u="1"/>
        <s v="1-1449563-3" u="1"/>
        <s v="1-1449671-2" u="1"/>
        <s v="1-1447239-2" u="1"/>
        <s v="11-1436435-2" u="1"/>
        <s v="12-1441606-4" u="1"/>
        <s v="1-1433770-1" u="1"/>
        <s v="1-1433938-2" u="1"/>
        <s v="1-1437655-3" u="1"/>
        <s v="1-1437747-3" u="1"/>
        <s v="10-1441114-2" u="1"/>
        <s v="1-1439448-1" u="1"/>
        <s v="1-1432379-21" u="1"/>
        <s v="1-1429048-7" u="1"/>
        <s v="1-1445654-3" u="1"/>
        <s v="1-1445946-2" u="1"/>
        <s v="1-1449755-3" u="1"/>
        <s v="1-1449863-2" u="1"/>
        <s v="1-1435562-7" u="1"/>
        <s v="1-1435870-5" u="1"/>
        <s v="1-1433638-4" u="1"/>
        <s v="1-1433854-2" u="1"/>
        <s v="1-1437863-2" u="1"/>
        <s v="1-1453653-3" u="1"/>
        <s v="1-1436464-13" u="1"/>
        <s v="1-1429764-3" u="1"/>
        <s v="1-1429780-2" u="1"/>
        <s v="1-1441853-2" u="1"/>
        <s v="1-1445862-2" u="1"/>
        <s v="1-1445954-2" u="1"/>
        <s v="1-1449471-4" u="1"/>
        <s v="1-1447347-2" u="1"/>
        <s v="10-1435663-2" u="1"/>
        <s v="11-1442766-4" u="1"/>
        <s v="1-1433770-2" u="1"/>
        <s v="1-1453861-2" u="1"/>
        <s v="1-1431062-2" u="1"/>
        <s v="1-1431246-2" u="1"/>
        <s v="1-1435147-3" u="1"/>
        <s v="1-1435547-1" u="1"/>
        <s v="1-1439172-2" u="1"/>
        <s v="1-1439356-2" u="1"/>
        <s v="1-1429956-3" u="1"/>
        <s v="1-1438000-2" u="1"/>
        <s v="1-1441661-3" u="1"/>
        <s v="1-1445962-2" u="1"/>
        <s v="1-1449971-2" u="1"/>
        <s v="1-1435544-10" u="1"/>
        <s v="1-1435562-8" u="1"/>
        <s v="1-1443254-2" u="1"/>
        <s v="1-1428797-11" u="1"/>
        <s v="10-1435635-3" u="1"/>
        <s v="10-1436939-2" u="1"/>
        <s v="12-1430794-5" u="1"/>
        <s v="1-1433838-4" u="1"/>
        <s v="1-1453761-3" u="1"/>
        <s v="1-1453961-2" u="1"/>
        <s v="1-1431254-2" u="1"/>
        <s v="1-1435171-2" u="1"/>
        <s v="1-1435447-2" u="1"/>
        <s v="1-1436464-23" u="1"/>
        <s v="1-1438100-2" u="1"/>
        <s v="1-1441961-2" u="1"/>
        <s v="12-1438983-4" u="1"/>
        <s v="1-1443154-3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1538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-1433870-3" u="1"/>
        <s v="10-1451673-2" u="1"/>
        <s v="11-1433342-2" u="1"/>
        <s v="1-1431546-2" u="1"/>
        <s v="1-1431638-2" u="1"/>
        <s v="1-1435371-2" u="1"/>
        <s v="1-1435571-1" u="1"/>
        <s v="1-1439656-2" u="1"/>
        <s v="1-1452690-12" u="1"/>
        <s v="1-1429656-6" u="1"/>
        <s v="12-1439955-5" u="1"/>
        <s v="1-1443462-2" u="1"/>
        <s v="1-1443646-2" u="1"/>
        <s v="1-1447471-2" u="1"/>
        <s v="1-1447747-2" u="1"/>
        <s v="1-1444791-12" u="1"/>
        <s v="12-1431970-4" u="1"/>
        <s v="1-1437655-6" u="1"/>
        <s v="1-1445039-2" u="1"/>
        <s v="1-1432379-19" u="1"/>
        <s v="10-1451845-2" u="1"/>
        <s v="11-1433406-3" u="1"/>
        <s v="11-1433422-2" u="1"/>
        <s v="12-1443777-2" u="1"/>
        <s v="1-1435563-2" u="1"/>
        <s v="1-1435747-2" u="1"/>
        <s v="1-1439280-3" u="1"/>
        <s v="1-1439648-3" u="1"/>
        <s v="1-1451461-2" u="1"/>
        <s v="1-1451645-2" u="1"/>
        <s v="1-1437048-2" u="1"/>
        <s v="1-1443162-4" u="1"/>
        <s v="1-1447571-2" u="1"/>
        <s v="1-1447739-3" u="1"/>
        <s v="1-1447939-2" u="1"/>
        <s v="1-1445139-2" u="1"/>
        <s v="1-1449148-2" u="1"/>
        <s v="1-1431362-3" u="1"/>
        <s v="1-1431838-2" u="1"/>
        <s v="1-1435371-3" u="1"/>
        <s v="1-1435571-2" u="1"/>
        <s v="1-1435847-2" u="1"/>
        <s v="1-1451929-2" u="1"/>
        <s v="1-1429162-10" u="1"/>
        <s v="1-1435376-16" u="1"/>
        <s v="1-1433047-2" u="1"/>
        <s v="1-1443462-3" u="1"/>
        <s v="1-1443646-3" u="1"/>
        <s v="1-1443846-2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-1451753-2" u="1"/>
        <s v="1-1433055-2" u="1"/>
        <s v="1-1447771-2" u="1"/>
        <s v="1-1447971-1" u="1"/>
        <s v="1-1420999-30" u="1"/>
        <s v="1-1449072-2" u="1"/>
        <s v="10-1434938-2" u="1"/>
        <s v="12-1445473-3" u="1"/>
        <s v="1-1431454-4" u="1"/>
        <s v="1-1431854-2" u="1"/>
        <s v="1-1435263-5" u="1"/>
        <s v="1-1435371-4" u="1"/>
        <s v="1-1435755-3" u="1"/>
        <s v="1-1435771-2" u="1"/>
        <s v="1-1451853-2" u="1"/>
        <s v="1-1451362-17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-1451861-2" u="1"/>
        <s v="1-1451953-2" u="1"/>
        <s v="11-1432365-2" u="1"/>
        <s v="11-1433377-2" u="1"/>
        <s v="1-1433255-2" u="1"/>
        <s v="1-1433439-2" u="1"/>
        <s v="1-1453254-2" u="1"/>
        <s v="1-1447755-4" u="1"/>
        <s v="10-1435742-2" u="1"/>
        <s v="1-1431962-2" u="1"/>
        <s v="1-1435371-5" u="1"/>
        <s v="1-1448300-1" u="1"/>
        <s v="1-1451961-2" u="1"/>
        <s v="1-1429522-12" u="1"/>
        <s v="1-1429656-9" u="1"/>
        <s v="1-1433047-4" u="1"/>
        <s v="1-1433171-2" u="1"/>
        <s v="1-1437256-3" u="1"/>
        <s v="1-1453446-2" u="1"/>
        <s v="1-1453538-2" u="1"/>
        <s v="1-1443462-5" u="1"/>
        <s v="1-1443646-5" u="1"/>
        <s v="1-1429049-5" u="1"/>
        <s v="1-1437655-9" u="1"/>
        <s v="1-1437747-9" u="1"/>
        <s v="1-1441354-2" u="1"/>
        <s v="1-1445271-2" u="1"/>
        <s v="1-1449172-3" u="1"/>
        <s v="1-1449648-2" u="1"/>
        <s v="1-1439880-3" u="1"/>
        <s v="1-1443039-1" u="1"/>
        <s v="1-1448200-2" u="1"/>
        <s v="10-1432697-2" u="1"/>
        <s v="11-1452524-2" u="1"/>
        <s v="1-1433255-3" u="1"/>
        <s v="1-1433455-2" u="1"/>
        <s v="1-1453270-2" u="1"/>
        <s v="1-1453346-3" u="1"/>
        <s v="1-1453546-2" u="1"/>
        <s v="1-1453638-2" u="1"/>
        <s v="12-1430148-2" u="1"/>
        <s v="1-1425280-2" u="1"/>
        <s v="1-1441070-3" u="1"/>
        <s v="1-1449380-2" u="1"/>
        <s v="1-1449564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53370-2" u="1"/>
        <s v="1-1453554-2" u="1"/>
        <s v="1-1436300-2" u="1"/>
        <s v="1-1443462-6" u="1"/>
        <s v="1-1443646-6" u="1"/>
        <s v="1-1429049-6" u="1"/>
        <s v="1-1429849-2" u="1"/>
        <s v="1-1445655-2" u="1"/>
        <s v="1-1445947-1" u="1"/>
        <s v="10-1438650-2" u="1"/>
        <s v="13-1437977-3" u="1"/>
        <s v="1-1435671-5" u="1"/>
        <s v="1-1435871-4" u="1"/>
        <s v="1-1447048-2" u="1"/>
        <s v="1-1448400-2" u="1"/>
        <s v="1-1448409-15" u="1"/>
        <s v="11-1437469-2" u="1"/>
        <s v="1-1433255-4" u="1"/>
        <s v="1-1433471-2" u="1"/>
        <s v="1-1433671-1" u="1"/>
        <s v="1-1437664-2" u="1"/>
        <s v="1-1437848-2" u="1"/>
        <s v="1-1453346-4" u="1"/>
        <s v="1-1453470-2" u="1"/>
        <s v="1-1453654-2" u="1"/>
        <s v="1-1453838-2" u="1"/>
        <s v="1-1435048-2" u="1"/>
        <s v="1-1441362-3" u="1"/>
        <s v="1-1445939-2" u="1"/>
        <s v="1-1449472-3" u="1"/>
        <s v="1-1449580-2" u="1"/>
        <s v="1-1449672-2" u="1"/>
        <s v="1-1449764-2" u="1"/>
        <s v="1-1431362-7" u="1"/>
        <s v="1-1433339-5" u="1"/>
        <s v="1-1433555-3" u="1"/>
        <s v="1-1433847-2" u="1"/>
        <s v="1-1433939-2" u="1"/>
        <s v="10-1442228-2" u="1"/>
        <s v="1-1431047-2" u="1"/>
        <s v="1-1439065-2" u="1"/>
        <s v="1-1443462-7" u="1"/>
        <s v="1-1429049-7" u="1"/>
        <s v="1-1429973-1" u="1"/>
        <s v="1-1449864-2" u="1"/>
        <s v="1-1435671-6" u="1"/>
        <s v="1-1443239-2" u="1"/>
        <s v="1-1443255-1" u="1"/>
        <s v="1-1433255-5" u="1"/>
        <s v="1-1433839-3" u="1"/>
        <s v="1-1433947-2" u="1"/>
        <s v="1-1437864-2" u="1"/>
        <s v="1-1453346-5" u="1"/>
        <s v="1-1453946-2" u="1"/>
        <s v="1-1431055-2" u="1"/>
        <s v="1-1451038-3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53370-4" u="1"/>
        <s v="1-1435148-3" u="1"/>
        <s v="1-1439265-2" u="1"/>
        <s v="1-1429865-3" u="1"/>
        <s v="1-1429881-2" u="1"/>
        <s v="1-1441770-2" u="1"/>
        <s v="1-1435709-11" u="1"/>
        <s v="1-1443347-2" u="1"/>
        <s v="10-1433805-3" u="1"/>
        <s v="1-1433255-6" u="1"/>
        <s v="1-1433671-3" u="1"/>
        <s v="1-1433855-3" u="1"/>
        <s v="10-1442300-1" u="1"/>
        <s v="1-1431439-2" u="1"/>
        <s v="1-1435172-2" u="1"/>
        <s v="1-1439273-2" u="1"/>
        <s v="1-1439457-2" u="1"/>
        <s v="1-1451038-4" u="1"/>
        <s v="1-1449038-10" u="1"/>
        <s v="1-1441470-4" u="1"/>
        <s v="1-1441762-3" u="1"/>
        <s v="1-1441962-2" u="1"/>
        <s v="1-1443139-4" u="1"/>
        <s v="1-1443463-1" u="1"/>
        <s v="1-1448700-3" u="1"/>
        <s v="12-1445540-3" u="1"/>
        <s v="1-1446189-11" u="1"/>
        <s v="13-1445295-2" u="1"/>
        <s v="1-1431171-2" u="1"/>
        <s v="1-1431339-3" u="1"/>
        <s v="1-1431539-2" u="1"/>
        <s v="1-1435548-2" u="1"/>
        <s v="1-1439173-3" u="1"/>
        <s v="1-1451170-2" u="1"/>
        <s v="1-1429049-9" u="1"/>
        <s v="1-1443347-3" u="1"/>
        <s v="1-1443471-1" u="1"/>
        <s v="1-1447264-3" u="1"/>
        <s v="10-1438565-3" u="1"/>
        <s v="1-1433255-7" u="1"/>
        <s v="12-1441867-2" u="1"/>
        <s v="1-1435264-3" u="1"/>
        <s v="1-1435372-2" u="1"/>
        <s v="1-1451270-2" u="1"/>
        <s v="1-1451546-2" u="1"/>
        <s v="12-1430147-2" u="1"/>
        <s v="1-1445955-4" u="1"/>
        <s v="1-1443647-2" u="1"/>
        <s v="1-1443739-2" u="1"/>
        <s v="1-1447164-4" u="1"/>
        <s v="1-1447472-2" u="1"/>
        <s v="1-1447764-1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51646-2" u="1"/>
        <s v="1-1443347-4" u="1"/>
        <s v="1-1447848-2" u="1"/>
        <s v="12-1450415-9" u="1"/>
        <s v="1-1446200-3" u="1"/>
        <s v="1-1446400-2" u="1"/>
        <s v="11-1436364-2" u="1"/>
        <s v="11-1436456-2" u="1"/>
        <s v="1-1431455-3" u="1"/>
        <s v="1-1431471-2" u="1"/>
        <s v="1-1431839-2" u="1"/>
        <s v="1-1435372-3" u="1"/>
        <s v="1-1435448-4" u="1"/>
        <s v="1-1435648-3" u="1"/>
        <s v="1-1451546-3" u="1"/>
        <s v="1-1434400-2" u="1"/>
        <s v="1-1437057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0-1453639-4" u="1"/>
        <s v="11-1436352-2" u="1"/>
        <s v="1-1435748-3" u="1"/>
        <s v="1-1435764-2" u="1"/>
        <s v="1-1451570-2" u="1"/>
        <s v="1-1451846-2" u="1"/>
        <s v="11-1431387-2" u="1"/>
        <s v="12-1454066-2" u="1"/>
        <s v="1-1453239-2" u="1"/>
        <s v="1-1443347-5" u="1"/>
        <s v="1-1443947-2" u="1"/>
        <s v="1-1441239-2" u="1"/>
        <s v="1-1426518-15" u="1"/>
        <s v="1-1431947-2" u="1"/>
        <s v="1-1435572-3" u="1"/>
        <s v="1-1435648-4" u="1"/>
        <s v="1-1451854-2" u="1"/>
        <s v="1-1441470-7" u="1"/>
        <s v="1-1445955-6" u="1"/>
        <s v="1-1453139-3" u="1"/>
        <s v="1-1453171-1" u="1"/>
        <s v="1-1425073-2" u="1"/>
        <s v="1-1441339-2" u="1"/>
        <s v="1-1445256-2" u="1"/>
        <s v="1-1449265-2" u="1"/>
        <s v="10-1433924-2" u="1"/>
        <s v="1-1435672-3" u="1"/>
        <s v="1-1435748-4" u="1"/>
        <s v="1-1443347-6" u="1"/>
        <s v="1-1447880-2" u="1"/>
        <s v="1-1443696-15" u="1"/>
        <s v="1-1443788-15" u="1"/>
        <s v="1-1441271-1" u="1"/>
        <s v="1-1449181-2" u="1"/>
        <s v="1-1431747-4" u="1"/>
        <s v="1-1435572-4" u="1"/>
        <s v="1-1435648-5" u="1"/>
        <s v="1-1435864-3" u="1"/>
        <s v="11-1452562-1" u="1"/>
        <s v="1-1433080-2" u="1"/>
        <s v="1-1433172-2" u="1"/>
        <s v="1-1437365-2" u="1"/>
        <s v="1-1453263-2" u="1"/>
        <s v="1-1453447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0-1452598-3" u="1"/>
        <s v="1-1437373-2" u="1"/>
        <s v="1-1453347-3" u="1"/>
        <s v="1-1443347-7" u="1"/>
        <s v="1-1429166-4" u="1"/>
        <s v="1-1429566-2" u="1"/>
        <s v="1-1441363-2" u="1"/>
        <s v="1-1441747-1" u="1"/>
        <s v="1-1445464-2" u="1"/>
        <s v="10-1437752-2" u="1"/>
        <s v="1-1435648-6" u="1"/>
        <s v="12-1438147-2" u="1"/>
        <s v="1-1453539-3" u="1"/>
        <s v="12-1438144-20" u="1"/>
        <s v="1-1443647-6" u="1"/>
        <s v="1-1437654-20" u="1"/>
        <s v="1-1429190-3" u="1"/>
        <s v="1-1429758-2" u="1"/>
        <s v="1-1441463-2" u="1"/>
        <s v="1-1445856-1" u="1"/>
        <s v="1-1449281-3" u="1"/>
        <s v="1-1449481-2" u="1"/>
        <s v="1-1435672-5" u="1"/>
        <s v="1-1433472-2" u="1"/>
        <s v="1-1433564-2" u="1"/>
        <s v="1-1433672-1" u="1"/>
        <s v="1-1433948-1" u="1"/>
        <s v="1-1437373-3" u="1"/>
        <s v="1-1453271-3" u="1"/>
        <s v="1-1453839-2" u="1"/>
        <s v="1-1432100-3" u="1"/>
        <s v="1-1429166-5" u="1"/>
        <s v="1-1429858-2" u="1"/>
        <s v="1-1445756-2" u="1"/>
        <s v="1-1449581-2" u="1"/>
        <s v="1-1449857-2" u="1"/>
        <s v="1-1435572-6" u="1"/>
        <s v="1-1448301-3" u="1"/>
        <s v="1-1448501-2" u="1"/>
        <s v="1-1433464-3" u="1"/>
        <s v="1-1433480-2" u="1"/>
        <s v="1-1437857-2" u="1"/>
        <s v="1-1453663-2" u="1"/>
        <s v="1-1443647-7" u="1"/>
        <s v="12-1434071-11" u="1"/>
        <s v="1-1429190-4" u="1"/>
        <s v="1-1429666-3" u="1"/>
        <s v="1-1429866-2" u="1"/>
        <s v="1-1441663-2" u="1"/>
        <s v="1-1441847-2" u="1"/>
        <s v="1-1449865-2" u="1"/>
        <s v="1-1435672-6" u="1"/>
        <s v="1-1447065-2" u="1"/>
        <s v="12-1440202-6" u="1"/>
        <s v="1-1433948-2" u="1"/>
        <s v="1-1433964-1" u="1"/>
        <s v="1-1437373-4" u="1"/>
        <s v="1-1437773-2" u="1"/>
        <s v="1-1453271-4" u="1"/>
        <s v="1-1453947-2" u="1"/>
        <s v="12-1431306-2" u="1"/>
        <s v="12-1454049-3" u="1"/>
        <s v="1-1432500-2" u="1"/>
        <s v="1-1451255-1" u="1"/>
        <s v="1-1432141-15" u="1"/>
        <s v="1-1429290-4" u="1"/>
        <s v="1-1429782-2" u="1"/>
        <s v="1-1429966-2" u="1"/>
        <s v="1-1441471-3" u="1"/>
        <s v="1-1441671-2" u="1"/>
        <s v="1-1441763-2" u="1"/>
        <s v="1-1445864-2" u="1"/>
        <s v="1-1445956-2" u="1"/>
        <s v="1-1445972-1" u="1"/>
        <s v="12-1434071-9" u="1"/>
        <s v="1-1435572-7" u="1"/>
        <s v="1-1443156-2" u="1"/>
        <s v="1-1447349-2" u="1"/>
        <s v="1-1448701-2" u="1"/>
        <s v="1-1448506-16" u="1"/>
        <s v="10-1451510-4" u="1"/>
        <s v="1-1437873-2" u="1"/>
        <s v="1-1435165-2" u="1"/>
        <s v="1-1435457-1" u="1"/>
        <s v="1-1439358-2" u="1"/>
        <s v="1-1443647-8" u="1"/>
        <s v="1-1429790-2" u="1"/>
        <s v="1-1438002-2" u="1"/>
        <s v="1-1445672-3" u="1"/>
        <s v="1-1449865-3" u="1"/>
        <s v="1-1449881-2" u="1"/>
        <s v="1-1443164-2" u="1"/>
        <s v="1-1443256-2" u="1"/>
        <s v="1-1447049-4" u="1"/>
        <s v="1-1447265-2" u="1"/>
        <s v="12-1445746-3" u="1"/>
        <s v="1-1433948-3" u="1"/>
        <s v="1-1437373-5" u="1"/>
        <s v="1-1437973-2" u="1"/>
        <s v="1-1431072-2" u="1"/>
        <s v="1-1435173-2" u="1"/>
        <s v="1-1439258-3" u="1"/>
        <s v="1-1439458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51539-2" u="1"/>
        <s v="1-1429990-2" u="1"/>
        <s v="1-1438110-2" u="1"/>
        <s v="1-1435562-10" u="1"/>
        <s v="10-1435815-3" u="1"/>
        <s v="1-1433948-4" u="1"/>
        <s v="1-1433980-2" u="1"/>
        <s v="1-1446201-2" u="1"/>
        <s v="1-1431548-2" u="1"/>
        <s v="1-1432900-2" u="1"/>
        <s v="1-1435265-3" u="1"/>
        <s v="1-1435281-2" u="1"/>
        <s v="1-1451363-2" u="1"/>
        <s v="1-1451547-2" u="1"/>
        <s v="1-1429290-6" u="1"/>
        <s v="1-1434201-2" u="1"/>
        <s v="1-1441471-5" u="1"/>
        <s v="1-1454200-2" u="1"/>
        <s v="1-1447565-2" u="1"/>
        <s v="1-1447749-2" u="1"/>
        <s v="1-1447765-1" u="1"/>
        <s v="1-1433848-5" u="1"/>
        <s v="1-1446301-2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9758-2" u="1"/>
        <s v="1-1451647-2" u="1"/>
        <s v="12-1431970-18" u="1"/>
        <s v="1-1429990-3" u="1"/>
        <s v="1-1430209-15" u="1"/>
        <s v="1-1447265-4" u="1"/>
        <s v="1-1447849-2" u="1"/>
        <s v="1-1433672-5" u="1"/>
        <s v="1-1446206-16" u="1"/>
        <s v="12-1442265-5" u="1"/>
        <s v="1-1431072-4" u="1"/>
        <s v="1-1432900-3" u="1"/>
        <s v="1-1435757-2" u="1"/>
        <s v="1-1435957-1" u="1"/>
        <s v="1-1429290-7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43564-3" u="1"/>
        <s v="1-1445065-2" u="1"/>
        <s v="1-1445157-2" u="1"/>
        <s v="1-1445249-2" u="1"/>
        <s v="1-1431856-2" u="1"/>
        <s v="1-1432900-4" u="1"/>
        <s v="1-1435573-3" u="1"/>
        <s v="1-1451655-3" u="1"/>
        <s v="1-1451763-2" u="1"/>
        <s v="1-1451855-2" u="1"/>
        <s v="11-1431369-3" u="1"/>
        <s v="1-1429290-8" u="1"/>
        <s v="1-1429658-8" u="1"/>
        <s v="1-1433065-2" u="1"/>
        <s v="1-1433157-2" u="1"/>
        <s v="1-1434601-2" u="1"/>
        <s v="1-1450568-12" u="1"/>
        <s v="1-1436010-1" u="1"/>
        <s v="1-1443772-2" u="1"/>
        <s v="10-1446878-6" u="1"/>
        <s v="1-1446701-2" u="1"/>
        <s v="1-1449190-1" u="1"/>
        <s v="1-1449358-2" u="1"/>
        <s v="12-1441601-4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201-2" u="1"/>
        <s v="11-1431373-2" u="1"/>
        <s v="11-1432477-2" u="1"/>
        <s v="1-1429990-5" u="1"/>
        <s v="1-1437174-2" u="1"/>
        <s v="1-1437358-2" u="1"/>
        <s v="1-1453148-3" u="1"/>
        <s v="1-1447881-2" u="1"/>
        <s v="1-1429475-1" u="1"/>
        <s v="1-1441456-1" u="1"/>
        <s v="1-1445449-2" u="1"/>
        <s v="1-1435573-4" u="1"/>
        <s v="1-1439658-5" u="1"/>
        <s v="1-1439982-2" u="1"/>
        <s v="1-1429290-9" u="1"/>
        <s v="1-1433081-2" u="1"/>
        <s v="1-1438610-3" u="1"/>
        <s v="1-1453356-2" u="1"/>
        <s v="1-1443972-2" u="1"/>
        <s v="1-1437655-10" u="1"/>
        <s v="1-1437747-10" u="1"/>
        <s v="12-1435918-7" u="1"/>
        <s v="1-1446501-4" u="1"/>
        <s v="1-1449282-2" u="1"/>
        <s v="12-1448785-2" u="1"/>
        <s v="1-1435257-7" u="1"/>
        <s v="1-1435365-6" u="1"/>
        <s v="1-1435673-4" u="1"/>
        <s v="1-1448202-2" u="1"/>
        <s v="1-1435562-18" u="1"/>
        <s v="1-1440029-14" u="1"/>
        <s v="10-1430969-2" u="1"/>
        <s v="1-1429990-6" u="1"/>
        <s v="1-1453348-3" u="1"/>
        <s v="1-1432101-2" u="1"/>
        <s v="1-1441364-2" u="1"/>
        <s v="1-1446601-4" u="1"/>
        <s v="1-1449290-2" u="1"/>
        <s v="1-1449474-2" u="1"/>
        <s v="1-1448302-2" u="1"/>
        <s v="1-1429656-20" u="1"/>
        <s v="1-1437490-1" u="1"/>
        <s v="1-1431049-1" u="1"/>
        <s v="1-1432201-2" u="1"/>
        <s v="1-1447981-3" u="1"/>
        <s v="1-1452200-2" u="1"/>
        <s v="1-1437655-20" u="1"/>
        <s v="1-1437747-20" u="1"/>
        <s v="1-1429759-2" u="1"/>
        <s v="1-1445181-3" u="1"/>
        <s v="1-1445365-3" u="1"/>
        <s v="1-1445857-1" u="1"/>
        <s v="1-1445949-1" u="1"/>
        <s v="1-1449574-2" u="1"/>
        <s v="1-1435673-5" u="1"/>
        <s v="1-1440200-2" u="1"/>
        <s v="1-1448310-2" u="1"/>
        <s v="11-1452520-2" u="1"/>
        <s v="1-1429990-7" u="1"/>
        <s v="1-1453656-2" u="1"/>
        <s v="1-1431149-1" u="1"/>
        <s v="1-1432301-2" u="1"/>
        <s v="1-1436202-3" u="1"/>
        <s v="1-1441764-1" u="1"/>
        <s v="1-1445757-2" u="1"/>
        <s v="1-1445849-2" u="1"/>
        <s v="1-1446601-5" u="1"/>
        <s v="1-1449490-2" u="1"/>
        <s v="1-1443249-1" u="1"/>
        <s v="1-1444401-2" u="1"/>
        <s v="11-1436465-2" u="1"/>
        <s v="1-1433449-4" u="1"/>
        <s v="1-1433465-3" u="1"/>
        <s v="1-1433681-1" u="1"/>
        <s v="1-1433865-1" u="1"/>
        <s v="1-1437382-3" u="1"/>
        <s v="1-1437658-3" u="1"/>
        <s v="1-1437858-2" u="1"/>
        <s v="1-1453480-2" u="1"/>
        <s v="12-1432064-2" u="1"/>
        <s v="1-1439067-2" u="1"/>
        <s v="1-1452200-3" u="1"/>
        <s v="1-1429575-3" u="1"/>
        <s v="1-1429975-1" u="1"/>
        <s v="1-1441464-3" u="1"/>
        <s v="1-1441480-2" u="1"/>
        <s v="1-1441864-1" u="1"/>
        <s v="1-1445381-3" u="1"/>
        <s v="1-1449482-3" u="1"/>
        <s v="1-1449590-2" u="1"/>
        <s v="1-1449958-2" u="1"/>
        <s v="1-1447158-2" u="1"/>
        <s v="12-1438213-2" u="1"/>
        <s v="1-1429990-8" u="1"/>
        <s v="1-1453948-2" u="1"/>
        <s v="1-1431057-2" u="1"/>
        <s v="1-1439075-2" u="1"/>
        <s v="1-1439167-2" u="1"/>
        <s v="1-1429691-2" u="1"/>
        <s v="1-1429783-2" u="1"/>
        <s v="1-1441472-3" u="1"/>
        <s v="1-1445865-2" u="1"/>
        <s v="1-1445957-2" u="1"/>
        <s v="1-1446601-6" u="1"/>
        <s v="1-1439658-8" u="1"/>
        <s v="1-1440700-1" u="1"/>
        <s v="1-1443049-3" u="1"/>
        <s v="1-1443157-2" u="1"/>
        <s v="1-1444401-3" u="1"/>
        <s v="1-1447090-1" u="1"/>
        <s v="1-1448702-2" u="1"/>
        <s v="12-1444880-1" u="1"/>
        <s v="1-1433481-3" u="1"/>
        <s v="1-1437658-4" u="1"/>
        <s v="1-1446102-1" u="1"/>
        <s v="1-1453480-3" u="1"/>
        <s v="11-1431384-2" u="1"/>
        <s v="1-1452200-4" u="1"/>
        <s v="1-1452600-2" u="1"/>
        <s v="1-1429791-2" u="1"/>
        <s v="1-1429991-1" u="1"/>
        <s v="1-1441372-4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-1453780-2" u="1"/>
        <s v="1-1453964-2" u="1"/>
        <s v="10-1443224-2" u="1"/>
        <s v="1-1431457-1" u="1"/>
        <s v="1-1436802-2" u="1"/>
        <s v="1-1429983-2" u="1"/>
        <s v="1-1441380-4" u="1"/>
        <s v="1-1441472-4" u="1"/>
        <s v="1-1446601-7" u="1"/>
        <s v="1-1449890-2" u="1"/>
        <s v="1-1443449-2" u="1"/>
        <s v="1-1443465-1" u="1"/>
        <s v="1-1447274-2" u="1"/>
        <s v="1-1447290-1" u="1"/>
        <s v="1-1448902-2" u="1"/>
        <s v="1-1433849-4" u="1"/>
        <s v="1-1437658-5" u="1"/>
        <s v="1-1437890-2" u="1"/>
        <s v="1-1446210-1" u="1"/>
        <s v="1-1453680-3" u="1"/>
        <s v="1-1437655-18" u="1"/>
        <s v="1-1437747-18" u="1"/>
        <s v="1-1431157-3" u="1"/>
        <s v="1-1435258-3" u="1"/>
        <s v="1-1436810-2" u="1"/>
        <s v="1-1439267-3" u="1"/>
        <s v="1-1452200-5" u="1"/>
        <s v="1-1452800-2" u="1"/>
        <s v="1-1429049-10" u="1"/>
        <s v="12-1450086-2" u="1"/>
        <s v="1-1445781-3" u="1"/>
        <s v="1-1449882-3" u="1"/>
        <s v="1-1424902-2" u="1"/>
        <s v="1-1440800-2" u="1"/>
        <s v="1-1448910-2" u="1"/>
        <s v="1-1437990-2" u="1"/>
        <s v="1-1446202-2" u="1"/>
        <s v="1-1453780-3" u="1"/>
        <s v="1-1453980-2" u="1"/>
        <s v="10-1430968-2" u="1"/>
        <s v="10-1446236-2" u="1"/>
        <s v="12-1441795-2" u="1"/>
        <s v="1-1431549-2" u="1"/>
        <s v="1-1432901-2" u="1"/>
        <s v="1-1435282-2" u="1"/>
        <s v="1-1436802-3" u="1"/>
        <s v="10-1441179-2" u="1"/>
        <s v="1-1434110-2" u="1"/>
        <s v="1-1434202-2" u="1"/>
        <s v="1-1441472-5" u="1"/>
        <s v="1-1445957-4" u="1"/>
        <s v="1-1449490-5" u="1"/>
        <s v="1-1440900-2" u="1"/>
        <s v="1-1443081-3" u="1"/>
        <s v="1-1443373-2" u="1"/>
        <s v="1-1447274-3" u="1"/>
        <s v="1-1433557-6" u="1"/>
        <s v="1-1437658-6" u="1"/>
        <s v="1-1437890-3" u="1"/>
        <s v="10-1451967-2" u="1"/>
        <s v="1-1431649-2" u="1"/>
        <s v="1-1435258-4" u="1"/>
        <s v="1-1452200-6" u="1"/>
        <s v="1-1434302-2" u="1"/>
        <s v="1-1438003-4" u="1"/>
        <s v="1-1443749-2" u="1"/>
        <s v="1-1443949-1" u="1"/>
        <s v="1-1444901-3" u="1"/>
        <s v="1-1447590-1" u="1"/>
        <s v="10-1436921-2" u="1"/>
        <s v="10-1439865-2" u="1"/>
        <s v="12-1429957-2" u="1"/>
        <s v="1-1433965-4" u="1"/>
        <s v="1-1446202-3" u="1"/>
        <s v="13-1447579-2" u="1"/>
        <s v="1-1431857-1" u="1"/>
        <s v="1-1435390-2" u="1"/>
        <s v="1-1435590-1" u="1"/>
        <s v="1-1435758-2" u="1"/>
        <s v="1-1436802-4" u="1"/>
        <s v="1-1439567-3" u="1"/>
        <s v="1-1449490-6" u="1"/>
        <s v="1-1449890-4" u="1"/>
        <s v="1-1450300-2" u="1"/>
        <s v="1-1443481-2" u="1"/>
        <s v="1-1443757-2" u="1"/>
        <s v="1-1447766-2" u="1"/>
        <s v="1-1433339-10" u="1"/>
        <s v="1-1437658-7" u="1"/>
        <s v="1-1445074-1" u="1"/>
        <s v="1-1446502-2" u="1"/>
        <s v="10-1447304-2" u="1"/>
        <s v="12-1442571-3" u="1"/>
        <s v="1-1431849-2" u="1"/>
        <s v="1-1435258-5" u="1"/>
        <s v="1-1435290-3" u="1"/>
        <s v="1-1451480-2" u="1"/>
        <s v="1-1451848-2" u="1"/>
        <s v="1-1452200-7" u="1"/>
        <s v="10-1442139-3" u="1"/>
        <s v="12-1433167-2" u="1"/>
        <s v="1-1430401-2" u="1"/>
        <s v="1-1438203-4" u="1"/>
        <s v="1-1441464-7" u="1"/>
        <s v="1-1453257-1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967-2" u="1"/>
        <s v="1-1451856-2" u="1"/>
        <s v="1-1434602-2" u="1"/>
        <s v="1-1449490-7" u="1"/>
        <s v="1-1453157-2" u="1"/>
        <s v="1-1447874-2" u="1"/>
        <s v="1-1447966-2" u="1"/>
        <s v="1-1433557-8" u="1"/>
        <s v="1-1441249-2" u="1"/>
        <s v="1-1431865-2" u="1"/>
        <s v="1-1435258-6" u="1"/>
        <s v="1-1435674-3" u="1"/>
        <s v="1-1439775-3" u="1"/>
        <s v="1-1451680-2" u="1"/>
        <s v="11-1431383-2" u="1"/>
        <s v="12-1452222-2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9275-2" u="1"/>
        <s v="1-1451780-2" u="1"/>
        <s v="1-1451948-3" u="1"/>
        <s v="11-1431371-2" u="1"/>
        <s v="1-1430701-2" u="1"/>
        <s v="1-1433082-2" u="1"/>
        <s v="1-1433174-2" u="1"/>
        <s v="1-1437075-3" u="1"/>
        <s v="1-1437183-2" u="1"/>
        <s v="1-1437367-2" u="1"/>
        <s v="1-1450700-2" u="1"/>
        <s v="12-1438144-13" u="1"/>
        <s v="1-1443481-4" u="1"/>
        <s v="1-1444801-6" u="1"/>
        <s v="1-1433557-9" u="1"/>
        <s v="1-1442801-2" u="1"/>
        <s v="1-1445274-2" u="1"/>
        <s v="1-1446902-2" u="1"/>
        <s v="1-1449175-3" u="1"/>
        <s v="1-1444302-1" u="1"/>
        <s v="1-1448003-3" u="1"/>
        <s v="1-1448203-2" u="1"/>
        <s v="1-1451880-2" u="1"/>
        <s v="1-1433258-3" u="1"/>
        <s v="1-1433274-2" u="1"/>
        <s v="1-1433458-2" u="1"/>
        <s v="1-1437083-3" u="1"/>
        <s v="1-1438203-6" u="1"/>
        <s v="1-1453257-3" u="1"/>
        <s v="1-1453273-2" u="1"/>
        <s v="1-1453349-3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2901-2" u="1"/>
        <s v="1-1445282-2" u="1"/>
        <s v="1-1446710-3" u="1"/>
        <s v="1-1449475-2" u="1"/>
        <s v="1-1449567-2" u="1"/>
        <s v="10-1435640-3" u="1"/>
        <s v="1-1431949-4" u="1"/>
        <s v="1-1440301-1" u="1"/>
        <s v="1-1444202-2" u="1"/>
        <s v="1-1448303-2" u="1"/>
        <s v="1-1451964-3" u="1"/>
        <s v="13-1441622-2" u="1"/>
        <s v="1-1433282-2" u="1"/>
        <s v="1-1433358-3" u="1"/>
        <s v="1-1437183-3" u="1"/>
        <s v="1-1437367-3" u="1"/>
        <s v="12-1438144-21" u="1"/>
        <s v="1-1432110-2" u="1"/>
        <s v="1-1444801-7" u="1"/>
        <s v="1-1445274-3" u="1"/>
        <s v="1-1449175-4" u="1"/>
        <s v="1-1431881-3" u="1"/>
        <s v="1-1440201-2" u="1"/>
        <s v="1-1447067-1" u="1"/>
        <s v="1-1448311-2" u="1"/>
        <s v="12-1422979-2" u="1"/>
        <s v="1-1433290-2" u="1"/>
        <s v="1-1433658-2" u="1"/>
        <s v="1-1437375-3" u="1"/>
        <s v="1-1453473-2" u="1"/>
        <s v="1-1453673-1" u="1"/>
        <s v="12-1430154-2" u="1"/>
        <s v="12-1432086-2" u="1"/>
        <s v="1-1432010-3" u="1"/>
        <s v="1-1435159-1" u="1"/>
        <s v="1-1441473-2" u="1"/>
        <s v="1-1445482-2" u="1"/>
        <s v="1-1449275-4" u="1"/>
        <s v="1-1449767-2" u="1"/>
        <s v="1-1448503-2" u="1"/>
        <s v="10-1451770-2" u="1"/>
        <s v="1-1433374-3" u="1"/>
        <s v="1-1433482-2" u="1"/>
        <s v="1-1434710-4" u="1"/>
        <s v="1-1437183-4" u="1"/>
        <s v="1-1437367-4" u="1"/>
        <s v="1-1450700-4" u="1"/>
        <s v="1-1435059-2" u="1"/>
        <s v="1-1432139-24" u="1"/>
        <s v="1-1432379-12" u="1"/>
        <s v="12-1434071-12" u="1"/>
        <s v="1-1441373-3" u="1"/>
        <s v="1-1441849-2" u="1"/>
        <s v="1-1449175-5" u="1"/>
        <s v="1-1449959-2" u="1"/>
        <s v="12-1449851-2" u="1"/>
        <s v="10-1447303-2" u="1"/>
        <s v="1-1433258-5" u="1"/>
        <s v="1-1433382-3" u="1"/>
        <s v="1-1433490-2" u="1"/>
        <s v="1-1437375-4" u="1"/>
        <s v="1-1453349-5" u="1"/>
        <s v="1-1432010-4" u="1"/>
        <s v="1-1432410-2" u="1"/>
        <s v="1-1439368-1" u="1"/>
        <s v="1-1429968-2" u="1"/>
        <s v="1-1433965-9" u="1"/>
        <s v="1-1445482-3" u="1"/>
        <s v="1-1445882-1" u="1"/>
        <s v="1-1449967-2" u="1"/>
        <s v="12-1428920-2" u="1"/>
        <s v="1-1440501-2" u="1"/>
        <s v="1-1440701-1" u="1"/>
        <s v="1-1447167-2" u="1"/>
        <s v="1-1448411-3" u="1"/>
        <s v="1-1448611-2" u="1"/>
        <s v="1-1451580-6" u="1"/>
        <s v="13-1448366-3" u="1"/>
        <s v="1-1433374-4" u="1"/>
        <s v="1-1433590-2" u="1"/>
        <s v="1-1433682-2" u="1"/>
        <s v="1-1437183-5" u="1"/>
        <s v="1-1437367-5" u="1"/>
        <s v="1-1450700-5" u="1"/>
        <s v="1-1453681-2" u="1"/>
        <s v="1-1453773-2" u="1"/>
        <s v="1-1453849-3" u="1"/>
        <s v="11-1431378-3" u="1"/>
        <s v="1-1432379-22" u="1"/>
        <s v="1-1429792-2" u="1"/>
        <s v="1-1429976-2" u="1"/>
        <s v="1-1441773-2" u="1"/>
        <s v="1-1445274-5" u="1"/>
        <s v="1-1445874-2" u="1"/>
        <s v="1-1449591-3" u="1"/>
        <s v="1-1443166-2" u="1"/>
        <s v="1-1447467-1" u="1"/>
        <s v="1-1433258-6" u="1"/>
        <s v="1-1433290-4" u="1"/>
        <s v="1-1433382-4" u="1"/>
        <s v="1-1433782-2" u="1"/>
        <s v="1-1433858-3" u="1"/>
        <s v="1-1437375-5" u="1"/>
        <s v="1-1453873-2" u="1"/>
        <s v="1-1453949-3" u="1"/>
        <s v="1-1432010-5" u="1"/>
        <s v="1-1432610-2" u="1"/>
        <s v="1-1435267-2" u="1"/>
        <s v="1-1435467-1" u="1"/>
        <s v="1-1439092-2" u="1"/>
        <s v="1-1429876-3" u="1"/>
        <s v="1-1429968-3" u="1"/>
        <s v="1-1445482-4" u="1"/>
        <s v="1-1451362-10" u="1"/>
        <s v="1-1428812-2" u="1"/>
        <s v="1-1443174-2" u="1"/>
        <s v="1-1447075-3" u="1"/>
        <s v="1-1447259-3" u="1"/>
        <s v="1-1447291-1" u="1"/>
        <s v="1-1447459-2" u="1"/>
        <s v="1-1448903-2" u="1"/>
        <s v="12-1443222-6" u="1"/>
        <s v="1-1433682-3" u="1"/>
        <s v="1-1450700-6" u="1"/>
        <s v="1-1443647-10" u="1"/>
        <s v="11-1433378-3" u="1"/>
        <s v="1-1435259-3" u="1"/>
        <s v="1-1435367-2" u="1"/>
        <s v="1-1436903-2" u="1"/>
        <s v="1-1439176-3" u="1"/>
        <s v="1-1439192-2" u="1"/>
        <s v="1-1429976-3" u="1"/>
        <s v="1-1454102-2" u="1"/>
        <s v="1-1440801-2" u="1"/>
        <s v="1-1447375-2" u="1"/>
        <s v="10-1435743-3" u="1"/>
        <s v="12-1445942-2" u="1"/>
        <s v="1-1433258-7" u="1"/>
        <s v="1-1433290-5" u="1"/>
        <s v="1-1433382-5" u="1"/>
        <s v="1-1433982-2" u="1"/>
        <s v="1-1446111-2" u="1"/>
        <s v="1-1453981-2" u="1"/>
        <s v="13-1439018-2" u="1"/>
        <s v="1-1432010-6" u="1"/>
        <s v="1-1435175-3" u="1"/>
        <s v="1-1439492-1" u="1"/>
        <s v="1-1436464-24" u="1"/>
        <s v="1-1429892-3" u="1"/>
        <s v="1-1445482-5" u="1"/>
        <s v="1-1449891-3" u="1"/>
        <s v="1-1450301-1" u="1"/>
        <s v="1-1443666-1" u="1"/>
        <s v="1-1444802-3" u="1"/>
        <s v="1-1447567-2" u="1"/>
        <s v="1-1447767-1" u="1"/>
        <s v="1-1451580-8" u="1"/>
        <s v="10-1436943-2" u="1"/>
        <s v="1-1433682-4" u="1"/>
        <s v="1-1445059-1" u="1"/>
        <s v="10-1451977-2" u="1"/>
        <s v="1-1431466-2" u="1"/>
        <s v="1-1432910-2" u="1"/>
        <s v="1-1435259-4" u="1"/>
        <s v="1-1435859-1" u="1"/>
        <s v="12-1431970-19" u="1"/>
        <s v="1-1429976-4" u="1"/>
        <s v="1-1430202-2" u="1"/>
        <s v="1-1434211-2" u="1"/>
        <s v="1-1438220-2" u="1"/>
        <s v="1-1450201-2" u="1"/>
        <s v="1-1454210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0-1430938-3" u="1"/>
        <s v="10-1432686-3" u="1"/>
        <s v="12-1441381-4" u="1"/>
        <s v="1-1435267-4" u="1"/>
        <s v="1-1435559-3" u="1"/>
        <s v="1-1435575-2" u="1"/>
        <s v="1-1439568-3" u="1"/>
        <s v="1-1452690-13" u="1"/>
        <s v="1-1454110-3" u="1"/>
        <s v="1-1454310-2" u="1"/>
        <s v="1-1443466-3" u="1"/>
        <s v="1-1444802-4" u="1"/>
        <s v="1-1451580-9" u="1"/>
        <s v="12-1431970-5" u="1"/>
        <s v="1-1433682-5" u="1"/>
        <s v="1-1442402-2" u="1"/>
        <s v="1-1445075-1" u="1"/>
        <s v="10-1446010-3" u="1"/>
        <s v="10-1451845-3" u="1"/>
        <s v="1-1435259-5" u="1"/>
        <s v="1-1435567-3" u="1"/>
        <s v="1-1439776-2" u="1"/>
        <s v="1-1439792-1" u="1"/>
        <s v="1-1451849-2" u="1"/>
        <s v="10-1440233-2" u="1"/>
        <s v="12-1430141-2" u="1"/>
        <s v="1-1429976-5" u="1"/>
        <s v="1-1434503-2" u="1"/>
        <s v="1-1444902-4" u="1"/>
        <s v="1-1447867-2" u="1"/>
        <s v="1-1447959-2" u="1"/>
        <s v="1-1442302-3" u="1"/>
        <s v="1-1435267-5" u="1"/>
        <s v="1-1435391-3" u="1"/>
        <s v="1-1435667-3" u="1"/>
        <s v="1-1439968-2" u="1"/>
        <s v="1-1451549-4" u="1"/>
        <s v="1-1429162-11" u="1"/>
        <s v="1-1435376-17" u="1"/>
        <s v="1-1430302-3" u="1"/>
        <s v="1-1433067-2" u="1"/>
        <s v="1-1433267-1" u="1"/>
        <s v="1-1434603-2" u="1"/>
        <s v="1-1443466-4" u="1"/>
        <s v="1-1444802-5" u="1"/>
        <s v="1-1447875-2" u="1"/>
        <s v="1-1433682-6" u="1"/>
        <s v="1-1442402-3" u="1"/>
        <s v="1-1449084-2" u="1"/>
        <s v="1-1435567-4" u="1"/>
        <s v="1-1435675-3" u="1"/>
        <s v="1-1439868-3" u="1"/>
        <s v="1-1451773-2" u="1"/>
        <s v="10-1441113-3" u="1"/>
        <s v="11-1431577-2" u="1"/>
        <s v="1-1434703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29290-10" u="1"/>
        <s v="1-1429658-10" u="1"/>
        <s v="1-1451362-18" u="1"/>
        <s v="11-1431381-2" u="1"/>
        <s v="1-1421290-8" u="1"/>
        <s v="1-1437368-2" u="1"/>
        <s v="1-1438612-3" u="1"/>
        <s v="1-1443466-5" u="1"/>
        <s v="1-1444802-6" u="1"/>
        <s v="1-1447891-2" u="1"/>
        <s v="1-1441174-2" u="1"/>
        <s v="1-1445259-3" u="1"/>
        <s v="1-1446811-2" u="1"/>
        <s v="1-1449192-2" u="1"/>
        <s v="1-1435567-5" u="1"/>
        <s v="1-1439868-4" u="1"/>
        <s v="1-1448020-2" u="1"/>
        <s v="1-1448204-2" u="1"/>
        <s v="1-1451373-5" u="1"/>
        <s v="1-1451881-2" u="1"/>
        <s v="11-1431737-2" u="1"/>
        <s v="12-1435429-2" u="1"/>
        <s v="1-1433259-3" u="1"/>
        <s v="1-1434611-3" u="1"/>
        <s v="1-1437068-4" u="1"/>
        <s v="1-1432011-2" u="1"/>
        <s v="1-1442902-2" u="1"/>
        <s v="1-1445559-2" u="1"/>
        <s v="1-1446511-4" u="1"/>
        <s v="12-1445941-2" u="1"/>
        <s v="1-1431982-2" u="1"/>
        <s v="1-1435267-7" u="1"/>
        <s v="1-1440102-2" u="1"/>
        <s v="1-1448212-2" u="1"/>
        <s v="1-1451981-2" u="1"/>
        <s v="1-1429522-13" u="1"/>
        <s v="10-1430977-2" u="1"/>
        <s v="10-1446429-2" u="1"/>
        <s v="1-1432111-2" u="1"/>
        <s v="1-1436012-3" u="1"/>
        <s v="1-1443466-6" u="1"/>
        <s v="1-1444802-7" u="1"/>
        <s v="1-1425076-4" u="1"/>
        <s v="1-1441282-2" u="1"/>
        <s v="1-1441466-2" u="1"/>
        <s v="1-1445475-2" u="1"/>
        <s v="1-1431866-4" u="1"/>
        <s v="1-1435259-8" u="1"/>
        <s v="1-1435567-6" u="1"/>
        <s v="1-1439868-5" u="1"/>
        <s v="1-1448312-2" u="1"/>
        <s v="1-1451373-6" u="1"/>
        <s v="1-1433567-2" u="1"/>
        <s v="1-1433859-1" u="1"/>
        <s v="1-1450601-4" u="1"/>
        <s v="1-1453090-3" u="1"/>
        <s v="1-1453290-2" u="1"/>
        <s v="1-1436204-3" u="1"/>
        <s v="1-1445391-2" u="1"/>
        <s v="1-1439768-6" u="1"/>
        <s v="1-1440302-2" u="1"/>
        <s v="1-1448320-2" u="1"/>
        <s v="1-1429522-23" u="1"/>
        <s v="10-1446405-2" u="1"/>
        <s v="11-1436485-2" u="1"/>
        <s v="1-1453390-2" u="1"/>
        <s v="12-1430428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-1451373-7" u="1"/>
        <s v="10-1430925-3" u="1"/>
        <s v="1-1437868-2" u="1"/>
        <s v="1-1437884-1" u="1"/>
        <s v="1-1453474-3" u="1"/>
        <s v="1-1453766-2" u="1"/>
        <s v="1-1431059-2" u="1"/>
        <s v="1-1436020-4" u="1"/>
        <s v="1-1447991-4" u="1"/>
        <s v="1-1452210-3" u="1"/>
        <s v="1-1429785-2" u="1"/>
        <s v="1-1429969-2" u="1"/>
        <s v="1-1441474-3" u="1"/>
        <s v="1-1441490-2" u="1"/>
        <s v="1-1449892-1" u="1"/>
        <s v="1-1447076-2" u="1"/>
        <s v="1-1447168-2" u="1"/>
        <s v="1-1448304-4" u="1"/>
        <s v="1-1433591-2" u="1"/>
        <s v="1-1433867-2" u="1"/>
        <s v="1-1446104-1" u="1"/>
        <s v="1-1453866-2" u="1"/>
        <s v="1-1453958-2" u="1"/>
        <s v="1-1432711-1" u="1"/>
        <s v="1-1444802-9" u="1"/>
        <s v="1-1429793-2" u="1"/>
        <s v="1-1429885-2" u="1"/>
        <s v="1-1441374-4" u="1"/>
        <s v="1-1441682-2" u="1"/>
        <s v="1-1441774-2" u="1"/>
        <s v="1-1445091-5" u="1"/>
        <s v="1-1445475-4" u="1"/>
        <s v="1-1445659-4" u="1"/>
        <s v="1-1445875-2" u="1"/>
        <s v="1-1449884-2" u="1"/>
        <s v="12-1436989-6" u="1"/>
        <s v="1-1435567-8" u="1"/>
        <s v="1-1447284-1" u="1"/>
        <s v="1-1447468-1" u="1"/>
        <s v="1-1448820-1" u="1"/>
        <s v="1-1451373-8" u="1"/>
        <s v="1-1437868-3" u="1"/>
        <s v="1-1431259-2" u="1"/>
        <s v="1-1435084-2" u="1"/>
        <s v="1-1436020-5" u="1"/>
        <s v="1-1452210-4" u="1"/>
        <s v="1-1452610-2" u="1"/>
        <s v="1-1429985-2" u="1"/>
        <s v="1-1434004-2" u="1"/>
        <s v="1-1438105-2" u="1"/>
        <s v="1-1445591-3" u="1"/>
        <s v="1-1445791-2" u="1"/>
        <s v="1-1445975-2" u="1"/>
        <s v="1-1449892-2" u="1"/>
        <s v="1-1443083-2" u="1"/>
        <s v="1-1444511-3" u="1"/>
        <s v="1-1447292-1" u="1"/>
        <s v="1-1433867-3" u="1"/>
        <s v="1-1437784-3" u="1"/>
        <s v="1-1446120-1" u="1"/>
        <s v="1-1443648-10" u="1"/>
        <s v="11-1431380-2" u="1"/>
        <s v="1-1431159-3" u="1"/>
        <s v="1-1431175-2" u="1"/>
        <s v="1-1431559-1" u="1"/>
        <s v="1-1439193-2" u="1"/>
        <s v="1-1452710-2" u="1"/>
        <s v="1-1429993-2" u="1"/>
        <s v="1-1441374-5" u="1"/>
        <s v="1-1445475-5" u="1"/>
        <s v="1-1445891-2" u="1"/>
        <s v="1-1454011-2" u="1"/>
        <s v="1-1454103-2" u="1"/>
        <s v="1-1435709-12" u="1"/>
        <s v="1-1435567-9" u="1"/>
        <s v="1-1443091-2" u="1"/>
        <s v="1-1448481-14" u="1"/>
        <s v="1-1437868-4" u="1"/>
        <s v="1-1446020-2" u="1"/>
        <s v="1-1446112-2" u="1"/>
        <s v="10-1430988-2" u="1"/>
        <s v="11-1433376-3" u="1"/>
        <s v="1-1431367-2" u="1"/>
        <s v="1-1435284-2" u="1"/>
        <s v="1-1436820-2" u="1"/>
        <s v="1-1436912-2" u="1"/>
        <s v="1-1439277-3" u="1"/>
        <s v="1-1452810-2" u="1"/>
        <s v="1-1449038-11" u="1"/>
        <s v="1-1441782-3" u="1"/>
        <s v="1-1449892-3" u="1"/>
        <s v="1-1440902-2" u="1"/>
        <s v="1-1443467-2" u="1"/>
        <s v="1-1447384-2" u="1"/>
        <s v="1-1448612-4" u="1"/>
        <s v="1-1433867-4" u="1"/>
        <s v="1-1453990-2" u="1"/>
        <s v="1-1446189-12" u="1"/>
        <s v="10-1446428-2" u="1"/>
        <s v="11-1433380-2" u="1"/>
        <s v="1-1431467-2" u="1"/>
        <s v="1-1435568-2" u="1"/>
        <s v="1-1435584-1" u="1"/>
        <s v="1-1435768-1" u="1"/>
        <s v="1-1436812-3" u="1"/>
        <s v="1-1451174-3" u="1"/>
        <s v="1-1451358-3" u="1"/>
        <s v="12-1430083-2" u="1"/>
        <s v="1-1429993-3" u="1"/>
        <s v="1-1441374-6" u="1"/>
        <s v="1-1445475-6" u="1"/>
        <s v="1-1454211-2" u="1"/>
        <s v="1-1443383-2" u="1"/>
        <s v="1-1447484-2" u="1"/>
        <s v="1-1447576-2" u="1"/>
        <s v="10-1436941-2" u="1"/>
        <s v="12-1429977-2" u="1"/>
        <s v="1-1433891-3" u="1"/>
        <s v="1-1442211-2" u="1"/>
        <s v="1-1446020-3" u="1"/>
        <s v="1-1446312-2" u="1"/>
        <s v="1-1453890-3" u="1"/>
        <s v="1-1432611-4" u="1"/>
        <s v="1-1435668-2" u="1"/>
        <s v="1-1436020-7" u="1"/>
        <s v="1-1449892-4" u="1"/>
        <s v="1-1443467-3" u="1"/>
        <s v="1-1443483-2" u="1"/>
        <s v="1-1447584-2" u="1"/>
        <s v="1-1447768-2" u="1"/>
        <s v="1-1447784-1" u="1"/>
        <s v="1-1433867-5" u="1"/>
        <s v="1-1445076-1" u="1"/>
        <s v="11-1433632-2" u="1"/>
        <s v="1-1431591-1" u="1"/>
        <s v="1-1435292-3" u="1"/>
        <s v="1-1435568-3" u="1"/>
        <s v="1-1451358-4" u="1"/>
        <s v="1-1451666-2" u="1"/>
        <s v="12-1451254-2" u="1"/>
        <s v="1-1434412-2" u="1"/>
        <s v="1-1438513-2" u="1"/>
        <s v="1-1445475-7" u="1"/>
        <s v="1-1443491-2" u="1"/>
        <s v="1-1447592-2" u="1"/>
        <s v="1-1433891-4" u="1"/>
        <s v="1-1442303-3" u="1"/>
        <s v="1-1446020-4" u="1"/>
        <s v="1-1446512-2" u="1"/>
        <s v="11-1436748-2" u="1"/>
        <s v="1-1435668-3" u="1"/>
        <s v="1-1435684-2" u="1"/>
        <s v="1-1435884-1" u="1"/>
        <s v="1-1439893-1" u="1"/>
        <s v="1-1451658-3" u="1"/>
        <s v="1-1451858-2" u="1"/>
        <s v="1-1430411-2" u="1"/>
        <s v="1-1434604-2" u="1"/>
        <s v="1-1438505-3" u="1"/>
        <s v="1-1449892-5" u="1"/>
        <s v="1-1453159-2" u="1"/>
        <s v="1-1443467-4" u="1"/>
        <s v="1-1447692-2" u="1"/>
        <s v="1-1447968-2" u="1"/>
        <s v="1-1433867-6" u="1"/>
        <s v="1-1449085-2" u="1"/>
        <s v="1-1431867-2" u="1"/>
        <s v="1-1435384-4" u="1"/>
        <s v="1-1435568-4" u="1"/>
        <s v="1-1439977-2" u="1"/>
        <s v="1-1451358-5" u="1"/>
        <s v="10-1442151-2" u="1"/>
        <s v="12-1433147-3" u="1"/>
        <s v="1-1434612-2" u="1"/>
        <s v="1-1434720-1" u="1"/>
        <s v="1-1437085-2" u="1"/>
        <s v="1-1437177-2" u="1"/>
        <s v="1-1437285-1" u="1"/>
        <s v="1-1445475-8" u="1"/>
        <s v="1-1443691-2" u="1"/>
        <s v="1-1447976-2" u="1"/>
        <s v="1-1433891-5" u="1"/>
        <s v="1-1446020-5" u="1"/>
        <s v="1-1449277-2" u="1"/>
        <s v="1-1435268-6" u="1"/>
        <s v="1-1435668-4" u="1"/>
        <s v="1-1439877-3" u="1"/>
        <s v="1-1448013-2" u="1"/>
        <s v="1-1451690-2" u="1"/>
        <s v="12-1454054-3" u="1"/>
        <s v="1-1453267-2" u="1"/>
        <s v="12-1438144-14" u="1"/>
        <s v="1-1440810-5" u="1"/>
        <s v="1-1447984-2" u="1"/>
        <s v="1-1426705-3" u="1"/>
        <s v="1-1433867-7" u="1"/>
        <s v="1-1441267-2" u="1"/>
        <s v="1-1445092-2" u="1"/>
        <s v="1-1435568-5" u="1"/>
        <s v="1-1444012-2" u="1"/>
        <s v="1-1451358-6" u="1"/>
        <s v="11-1431563-2" u="1"/>
        <s v="1-1441790-6" u="1"/>
        <s v="1-1432012-2" u="1"/>
        <s v="1-1432104-2" u="1"/>
        <s v="1-1443696-16" u="1"/>
        <s v="1-1446020-6" u="1"/>
        <s v="1-1431875-3" u="1"/>
        <s v="1-1435668-5" u="1"/>
        <s v="1-1444204-2" u="1"/>
        <s v="1-1448213-2" u="1"/>
        <s v="1-1448305-2" u="1"/>
        <s v="1-1451890-2" u="1"/>
        <s v="1-1451966-3" u="1"/>
        <s v="11-1452562-2" u="1"/>
        <s v="1-1430811-2" u="1"/>
        <s v="1-1433084-3" u="1"/>
        <s v="1-1434420-4" u="1"/>
        <s v="1-1453267-3" u="1"/>
        <s v="1-1453483-1" u="1"/>
        <s v="12-1438144-22" u="1"/>
        <s v="1-1436013-3" u="1"/>
        <s v="1-1436305-2" u="1"/>
        <s v="1-1443467-6" u="1"/>
        <s v="1-1452203-2" u="1"/>
        <s v="1-1437654-11" u="1"/>
        <s v="1-1425293-2" u="1"/>
        <s v="1-1426705-4" u="1"/>
        <s v="1-1433867-8" u="1"/>
        <s v="1-1445476-2" u="1"/>
        <s v="1-1449577-2" u="1"/>
        <s v="1-1449669-2" u="1"/>
        <s v="1-1431991-2" u="1"/>
        <s v="1-1435568-6" u="1"/>
        <s v="1-1440003-3" u="1"/>
        <s v="1-1448221-2" u="1"/>
        <s v="1-1451358-7" u="1"/>
        <s v="1-1451790-3" u="1"/>
        <s v="1-1451974-3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52211-2" u="1"/>
        <s v="1-1452303-2" u="1"/>
        <s v="1-1443696-26" u="1"/>
        <s v="1-1429186-4" u="1"/>
        <s v="1-1433891-7" u="1"/>
        <s v="1-1445376-3" u="1"/>
        <s v="1-1445392-2" u="1"/>
        <s v="1-1449477-3" u="1"/>
        <s v="10-1436940-2" u="1"/>
        <s v="1-1431567-6" u="1"/>
        <s v="1-1440303-2" u="1"/>
        <s v="1-1448321-2" u="1"/>
        <s v="1-1451966-4" u="1"/>
        <s v="1-1433284-3" u="1"/>
        <s v="1-1433868-1" u="1"/>
        <s v="1-1453759-2" u="1"/>
        <s v="1-1435077-1" u="1"/>
        <s v="1-1452111-3" u="1"/>
        <s v="1-1452403-2" u="1"/>
        <s v="1-1437654-21" u="1"/>
        <s v="12-1434071-13" u="1"/>
        <s v="1-1426705-5" u="1"/>
        <s v="1-1433867-9" u="1"/>
        <s v="1-1441683-1" u="1"/>
        <s v="1-1449777-2" u="1"/>
        <s v="1-1435568-7" u="1"/>
        <s v="1-1444412-2" u="1"/>
        <s v="1-1444504-2" u="1"/>
        <s v="1-1448405-3" u="1"/>
        <s v="1-1433292-3" u="1"/>
        <s v="1-1446005-1" u="1"/>
        <s v="1-1453091-4" u="1"/>
        <s v="1-1453491-2" u="1"/>
        <s v="1-1432012-4" u="1"/>
        <s v="1-1432120-3" u="1"/>
        <s v="1-1432412-2" u="1"/>
        <s v="1-1436205-4" u="1"/>
        <s v="1-1439186-1" u="1"/>
        <s v="1-1452503-2" u="1"/>
        <s v="1-1429186-5" u="1"/>
        <s v="1-1429786-2" u="1"/>
        <s v="1-1433891-8" u="1"/>
        <s v="1-1441491-2" u="1"/>
        <s v="1-1441767-2" u="1"/>
        <s v="10-1439536-5" u="1"/>
        <s v="1-1440503-2" u="1"/>
        <s v="1-1448413-3" u="1"/>
        <s v="1-1448705-2" u="1"/>
        <s v="1-1433468-4" u="1"/>
        <s v="1-1433592-2" u="1"/>
        <s v="1-1433868-2" u="1"/>
        <s v="1-1438905-5" u="1"/>
        <s v="1-1453483-3" u="1"/>
        <s v="1-1453575-3" u="1"/>
        <s v="10-1440230-2" u="1"/>
        <s v="1-1432220-3" u="1"/>
        <s v="1-1432420-2" u="1"/>
        <s v="1-1443467-8" u="1"/>
        <s v="1-1452111-4" u="1"/>
        <s v="12-1434071-21" u="1"/>
        <s v="1-1429978-2" u="1"/>
        <s v="1-1438006-2" u="1"/>
        <s v="1-1447285-1" u="1"/>
        <s v="1-1447469-1" u="1"/>
        <s v="1-1448821-1" u="1"/>
        <s v="1-1430711-5" u="1"/>
        <s v="1-1446021-1" u="1"/>
        <s v="1-1453491-3" u="1"/>
        <s v="1-1432012-5" u="1"/>
        <s v="1-1432120-4" u="1"/>
        <s v="1-1432520-2" u="1"/>
        <s v="1-1432612-2" u="1"/>
        <s v="1-1435469-1" u="1"/>
        <s v="1-1436805-2" u="1"/>
        <s v="1-1439078-3" u="1"/>
        <s v="1-1439094-2" u="1"/>
        <s v="1-1447992-5" u="1"/>
        <s v="1-1452611-2" u="1"/>
        <s v="1-1452703-2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49785-3" u="1"/>
        <s v="1-1448506-17" u="1"/>
        <s v="1-1433792-2" u="1"/>
        <s v="1-1453683-3" u="1"/>
        <s v="1-1431176-2" u="1"/>
        <s v="1-1432620-2" u="1"/>
        <s v="1-1435477-1" u="1"/>
        <s v="1-1439178-3" u="1"/>
        <s v="1-1441883-2" u="1"/>
        <s v="1-1445892-2" u="1"/>
        <s v="1-1445984-2" u="1"/>
        <s v="1-1449685-4" u="1"/>
        <s v="1-1450111-1" u="1"/>
        <s v="1-1454104-2" u="1"/>
        <s v="1-1444612-3" u="1"/>
        <s v="1-1448913-2" u="1"/>
        <s v="1-1433892-2" u="1"/>
        <s v="1-1433984-2" u="1"/>
        <s v="1-1446205-2" u="1"/>
        <s v="1-1453891-2" u="1"/>
        <s v="1-1453983-2" u="1"/>
        <s v="11-1431562-2" u="1"/>
        <s v="1-1432012-6" u="1"/>
        <s v="1-1432120-5" u="1"/>
        <s v="1-1435085-3" u="1"/>
        <s v="1-1451459-2" u="1"/>
        <s v="1-1452903-2" u="1"/>
        <s v="1-1438322-1" u="1"/>
        <s v="1-1450103-2" u="1"/>
        <s v="1-1428722-3" u="1"/>
        <s v="1-1440903-2" u="1"/>
        <s v="1-1443376-2" u="1"/>
        <s v="1-1447385-2" u="1"/>
        <s v="1-1448721-3" u="1"/>
        <s v="1-1440728-15" u="1"/>
        <s v="1-1446121-2" u="1"/>
        <s v="1-1453683-4" u="1"/>
        <s v="1-1453975-3" u="1"/>
        <s v="1-1453991-2" u="1"/>
        <s v="1-1437654-19" u="1"/>
        <s v="10-1448094-2" u="1"/>
        <s v="13-1442653-2" u="1"/>
        <s v="1-1435569-2" u="1"/>
        <s v="1-1439394-2" u="1"/>
        <s v="1-1434213-2" u="1"/>
        <s v="1-1438130-2" u="1"/>
        <s v="1-1438222-2" u="1"/>
        <s v="1-1441791-3" u="1"/>
        <s v="1-1441991-2" u="1"/>
        <s v="1-1450403-1" u="1"/>
        <s v="1-1454120-2" u="1"/>
        <s v="1-1435562-11" u="1"/>
        <s v="1-1444704-4" u="1"/>
        <s v="1-1447577-2" u="1"/>
        <s v="1-1442304-2" u="1"/>
        <s v="1-1446205-3" u="1"/>
        <s v="1-1453875-4" u="1"/>
        <s v="1-1432120-6" u="1"/>
        <s v="1-1432920-2" u="1"/>
        <s v="1-1435485-2" u="1"/>
        <s v="10-1441093-2" u="1"/>
        <s v="1-1430304-2" u="1"/>
        <s v="1-1438230-2" u="1"/>
        <s v="1-1450411-1" u="1"/>
        <s v="1-1454312-2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53991-3" u="1"/>
        <s v="1-1427947-11" u="1"/>
        <s v="10-1448070-2" u="1"/>
        <s v="12-1437334-2" u="1"/>
        <s v="1-1432712-4" u="1"/>
        <s v="1-1432912-3" u="1"/>
        <s v="1-1435369-4" u="1"/>
        <s v="1-1435677-2" u="1"/>
        <s v="1-1452911-3" u="1"/>
        <s v="12-1431970-28" u="1"/>
        <s v="1-1434213-3" u="1"/>
        <s v="1-1438330-2" u="1"/>
        <s v="1-1441883-4" u="1"/>
        <s v="1-1443492-2" u="1"/>
        <s v="1-1443676-2" u="1"/>
        <s v="1-1447777-2" u="1"/>
        <s v="1-1433892-4" u="1"/>
        <s v="1-1446205-4" u="1"/>
        <s v="1-1431492-2" u="1"/>
        <s v="1-1432120-7" u="1"/>
        <s v="1-1451859-2" u="1"/>
        <s v="1-1433069-2" u="1"/>
        <s v="1-1434421-2" u="1"/>
        <s v="1-1434605-2" u="1"/>
        <s v="1-1438706-2" u="1"/>
        <s v="1-1454220-3" u="1"/>
        <s v="1-1443376-4" u="1"/>
        <s v="1-1447877-2" u="1"/>
        <s v="1-1447969-2" u="1"/>
        <s v="1-1445169-2" u="1"/>
        <s v="1-1435385-4" u="1"/>
        <s v="1-1435677-3" u="1"/>
        <s v="1-1439886-2" u="1"/>
        <s v="1-1451683-2" u="1"/>
        <s v="1-1434613-2" u="1"/>
        <s v="1-1434705-2" u="1"/>
        <s v="1-1438530-2" u="1"/>
        <s v="1-1438806-2" u="1"/>
        <s v="1-1441883-5" u="1"/>
        <s v="1-1436006-2" u="1"/>
        <s v="1-1443676-3" u="1"/>
        <s v="1-1447977-2" u="1"/>
        <s v="1-1440820-17" u="1"/>
        <s v="1-1425086-2" u="1"/>
        <s v="1-1433892-5" u="1"/>
        <s v="1-1441168-2" u="1"/>
        <s v="1-1442812-1" u="1"/>
        <s v="1-1442904-1" u="1"/>
        <s v="1-1446205-5" u="1"/>
        <s v="1-1431784-2" u="1"/>
        <s v="1-1435885-2" u="1"/>
        <s v="1-1439878-3" u="1"/>
        <s v="1-1448014-2" u="1"/>
        <s v="1-1451691-2" u="1"/>
        <s v="10-1441013-4" u="1"/>
        <s v="11-1431385-3" u="1"/>
        <s v="1-1433085-2" u="1"/>
        <s v="1-1433269-2" u="1"/>
        <s v="1-1434513-3" u="1"/>
        <s v="1-1434805-2" u="1"/>
        <s v="1-1437078-3" u="1"/>
        <s v="1-1443376-5" u="1"/>
        <s v="1-1447585-4" u="1"/>
        <s v="1-1447985-2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48130-1" u="1"/>
        <s v="1-1430404-4" u="1"/>
        <s v="1-1430804-2" u="1"/>
        <s v="1-1433277-2" u="1"/>
        <s v="1-1434721-2" u="1"/>
        <s v="1-1437394-1" u="1"/>
        <s v="1-1441883-6" u="1"/>
        <s v="1-1453184-2" u="1"/>
        <s v="1-1443676-4" u="1"/>
        <s v="1-1433892-6" u="1"/>
        <s v="1-1441168-3" u="1"/>
        <s v="1-1449278-3" u="1"/>
        <s v="1-1449294-2" u="1"/>
        <s v="1-1440012-2" u="1"/>
        <s v="1-1451891-2" u="1"/>
        <s v="1-1429656-11" u="1"/>
        <s v="10-1444333-2" u="1"/>
        <s v="12-1437369-2" u="1"/>
        <s v="1-1430412-4" u="1"/>
        <s v="1-1430812-2" u="1"/>
        <s v="1-1430904-2" u="1"/>
        <s v="1-1433469-2" u="1"/>
        <s v="1-1434713-3" u="1"/>
        <s v="1-1450011-6" u="1"/>
        <s v="1-1453176-3" u="1"/>
        <s v="1-1453468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49578-2" u="1"/>
        <s v="1-1431992-2" u="1"/>
        <s v="1-1440004-3" u="1"/>
        <s v="1-1444305-2" u="1"/>
        <s v="1-1444505-1" u="1"/>
        <s v="1-1448314-2" u="1"/>
        <s v="1-1451975-3" u="1"/>
        <s v="1-1451991-2" u="1"/>
        <s v="10-1448093-2" u="1"/>
        <s v="1-1430912-2" u="1"/>
        <s v="1-1434213-6" u="1"/>
        <s v="1-1441883-7" u="1"/>
        <s v="1-1450311-5" u="1"/>
        <s v="1-1453476-2" u="1"/>
        <s v="1-1420912-6" u="1"/>
        <s v="1-1432121-2" u="1"/>
        <s v="1-1443676-5" u="1"/>
        <s v="1-1452120-2" u="1"/>
        <s v="1-1452304-2" u="1"/>
        <s v="1-1441384-2" u="1"/>
        <s v="1-1441476-2" u="1"/>
        <s v="1-1441768-1" u="1"/>
        <s v="1-1445377-3" u="1"/>
        <s v="1-1445485-2" u="1"/>
        <s v="1-1445577-2" u="1"/>
        <s v="1-1449278-4" u="1"/>
        <s v="1-1449494-2" u="1"/>
        <s v="10-1434910-3" u="1"/>
        <s v="1-1424222-2" u="1"/>
        <s v="1-1431892-3" u="1"/>
        <s v="1-1440120-2" u="1"/>
        <s v="1-1440304-2" u="1"/>
        <s v="1-1448414-2" u="1"/>
        <s v="1-1429656-21" u="1"/>
        <s v="1-1433577-2" u="1"/>
        <s v="1-1436230-2" u="1"/>
        <s v="1-1436322-2" u="1"/>
        <s v="1-1436506-2" u="1"/>
        <s v="1-1443376-7" u="1"/>
        <s v="1-1437655-21" u="1"/>
        <s v="1-1429595-2" u="1"/>
        <s v="1-1429979-1" u="1"/>
        <s v="1-1441468-3" u="1"/>
        <s v="1-1441484-2" u="1"/>
        <s v="1-1431792-4" u="1"/>
        <s v="1-1447086-1" u="1"/>
        <s v="1-1451975-4" u="1"/>
        <s v="13-1443824-2" u="1"/>
        <s v="1-1433477-3" u="1"/>
        <s v="1-1434213-7" u="1"/>
        <s v="1-1450311-6" u="1"/>
        <s v="1-1453584-2" u="1"/>
        <s v="10-1441172-2" u="1"/>
        <s v="1-1432321-2" u="1"/>
        <s v="1-1436222-3" u="1"/>
        <s v="1-1436622-1" u="1"/>
        <s v="1-1443676-6" u="1"/>
        <s v="1-1452320-2" u="1"/>
        <s v="1-1452504-2" u="1"/>
        <s v="1-1452704-1" u="1"/>
        <s v="1-1437791-10" u="1"/>
        <s v="1-1429679-3" u="1"/>
        <s v="1-1433892-8" u="1"/>
        <s v="1-1442812-4" u="1"/>
        <s v="1-1445593-2" u="1"/>
        <s v="1-1445685-2" u="1"/>
        <s v="1-1444205-4" u="1"/>
        <s v="1-1447078-2" u="1"/>
        <s v="10-1430933-3" u="1"/>
        <s v="10-1452972-2" u="1"/>
        <s v="1-1433869-2" u="1"/>
        <s v="1-1437494-3" u="1"/>
        <s v="1-1438830-4" u="1"/>
        <s v="1-1453684-2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9978-2" u="1"/>
        <s v="1-1440512-2" u="1"/>
        <s v="1-1443077-2" u="1"/>
        <s v="1-1444121-4" u="1"/>
        <s v="1-1447286-1" u="1"/>
        <s v="1-1448530-2" u="1"/>
        <s v="1-1448822-1" u="1"/>
        <s v="1-1451975-5" u="1"/>
        <s v="11-1438585-2" u="1"/>
        <s v="1-1434213-8" u="1"/>
        <s v="1-1436330-3" u="1"/>
        <s v="1-1451168-2" u="1"/>
        <s v="1-1429895-2" u="1"/>
        <s v="1-1433892-9" u="1"/>
        <s v="1-1433984-9" u="1"/>
        <s v="1-1438107-2" u="1"/>
        <s v="1-1445885-2" u="1"/>
        <s v="1-1440704-2" u="1"/>
        <s v="1-1444621-2" u="1"/>
        <s v="1-1447094-2" u="1"/>
        <s v="1-1447278-2" u="1"/>
        <s v="1-1447294-1" u="1"/>
        <s v="1-1447386-1" u="1"/>
        <s v="1-1433869-3" u="1"/>
        <s v="1-1433977-2" u="1"/>
        <s v="1-1437078-7" u="1"/>
        <s v="1-1446030-1" u="1"/>
        <s v="1-1453976-2" u="1"/>
        <s v="11-1431768-2" u="1"/>
        <s v="12-1432608-2" u="1"/>
        <s v="1-1431177-2" u="1"/>
        <s v="1-1432405-4" u="1"/>
        <s v="1-1429995-2" u="1"/>
        <s v="1-1449994-2" u="1"/>
        <s v="1-1450204-1" u="1"/>
        <s v="1-1454013-2" u="1"/>
        <s v="1-1440512-3" u="1"/>
        <s v="1-1440604-3" u="1"/>
        <s v="1-1440804-2" u="1"/>
        <s v="1-1444905-2" u="1"/>
        <s v="1-1448914-2" u="1"/>
        <s v="13-1448836-2" u="1"/>
        <s v="1-1434213-9" u="1"/>
        <s v="1-1453876-3" u="1"/>
        <s v="1-1453984-2" u="1"/>
        <s v="11-1431572-2" u="1"/>
        <s v="11-1431756-2" u="1"/>
        <s v="1-1432721-2" u="1"/>
        <s v="1-1435178-3" u="1"/>
        <s v="1-1438123-2" u="1"/>
        <s v="1-1438215-2" u="1"/>
        <s v="1-1441968-3" u="1"/>
        <s v="1-1447478-2" u="1"/>
        <s v="1-1448722-3" u="1"/>
        <s v="1-1448830-2" u="1"/>
        <s v="1-1437655-19" u="1"/>
        <s v="1-1437747-19" u="1"/>
        <s v="1-1436814-3" u="1"/>
        <s v="1-1439395-2" u="1"/>
        <s v="1-1452620-3" u="1"/>
        <s v="1-1429049-11" u="1"/>
        <s v="12-1431299-2" u="1"/>
        <s v="13-1432047-2" u="1"/>
        <s v="1-1450404-1" u="1"/>
        <s v="1-1440512-4" u="1"/>
        <s v="1-1443277-3" u="1"/>
        <s v="1-1443293-2" u="1"/>
        <s v="1-1447578-2" u="1"/>
        <s v="1-1448914-3" u="1"/>
        <s v="1-1451975-7" u="1"/>
        <s v="1-1442305-2" u="1"/>
        <s v="1-1442321-1" u="1"/>
        <s v="1-1452920-2" u="1"/>
        <s v="10-1441087-3" u="1"/>
        <s v="1-1430305-2" u="1"/>
        <s v="1-1434130-2" u="1"/>
        <s v="1-1454221-2" u="1"/>
        <s v="1-1454313-2" u="1"/>
        <s v="1-1440812-3" u="1"/>
        <s v="1-1440904-3" u="1"/>
        <s v="1-1443393-2" u="1"/>
        <s v="1-1447586-2" u="1"/>
        <s v="1-1442313-2" u="1"/>
        <s v="1-1442405-2" u="1"/>
        <s v="10-1430972-2" u="1"/>
        <s v="11-1452623-3" u="1"/>
        <s v="12-1437052-3" u="1"/>
        <s v="13-1442731-2" u="1"/>
        <s v="1-1431685-1" u="1"/>
        <s v="1-1435678-2" u="1"/>
        <s v="1-1451684-1" u="1"/>
        <s v="1-1430405-2" u="1"/>
        <s v="1-1434230-2" u="1"/>
        <s v="1-1438223-3" u="1"/>
        <s v="1-1440512-5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8615-2" u="1"/>
        <s v="1-1450304-3" u="1"/>
        <s v="1-1440904-4" u="1"/>
        <s v="1-1447094-5" u="1"/>
        <s v="1-1447478-4" u="1"/>
        <s v="1-1447878-2" u="1"/>
        <s v="1-1441269-1" u="1"/>
        <s v="1-1442405-3" u="1"/>
        <s v="1-1442605-2" u="1"/>
        <s v="1-1446414-3" u="1"/>
        <s v="1-1446614-2" u="1"/>
        <s v="1-1449087-2" u="1"/>
        <s v="1-1449179-2" u="1"/>
        <s v="10-1452971-2" u="1"/>
        <s v="11-1438596-2" u="1"/>
        <s v="1-1431777-2" u="1"/>
        <s v="1-1435494-3" u="1"/>
        <s v="1-1436922-4" u="1"/>
        <s v="1-1439795-2" u="1"/>
        <s v="1-1451868-2" u="1"/>
        <s v="10-1441435-2" u="1"/>
        <s v="12-1430131-3" u="1"/>
        <s v="1-1434122-4" u="1"/>
        <s v="1-1434230-3" u="1"/>
        <s v="1-1434414-3" u="1"/>
        <s v="1-1438264-15" u="1"/>
        <s v="1-1440820-4" u="1"/>
        <s v="1-1447794-2" u="1"/>
        <s v="1-1447886-2" u="1"/>
        <s v="1-1447978-2" u="1"/>
        <s v="1-1446222-4" u="1"/>
        <s v="1-1449095-2" u="1"/>
        <s v="1-1431785-2" u="1"/>
        <s v="1-1435978-2" u="1"/>
        <s v="1-1448015-2" u="1"/>
        <s v="1-1448107-2" u="1"/>
        <s v="1-1429529-12" u="1"/>
        <s v="1-1437387-1" u="1"/>
        <s v="1-1432114-1" u="1"/>
        <s v="1-1440904-5" u="1"/>
        <s v="1-1447986-2" u="1"/>
        <s v="1-1425187-2" u="1"/>
        <s v="1-1429196-2" u="1"/>
        <s v="1-1442405-4" u="1"/>
        <s v="1-1442621-2" u="1"/>
        <s v="1-1446630-2" u="1"/>
        <s v="1-1448131-1" u="1"/>
        <s v="1-1430621-2" u="1"/>
        <s v="1-1430805-2" u="1"/>
        <s v="1-1433478-1" u="1"/>
        <s v="1-1434230-4" u="1"/>
        <s v="1-1453185-2" u="1"/>
        <s v="1-1432014-2" u="1"/>
        <s v="1-1436023-2" u="1"/>
        <s v="1-1440820-5" u="1"/>
        <s v="1-1443693-3" u="1"/>
        <s v="1-1443969-3" u="1"/>
        <s v="1-1447886-3" u="1"/>
        <s v="1-1452013-2" u="1"/>
        <s v="1-1429296-2" u="1"/>
        <s v="1-1442905-2" u="1"/>
        <s v="13-1448835-2" u="1"/>
        <s v="1-1435994-2" u="1"/>
        <s v="1-1440013-2" u="1"/>
        <s v="1-1444022-2" u="1"/>
        <s v="1-1448215-2" u="1"/>
        <s v="10-1446167-3" u="1"/>
        <s v="10-1446459-2" u="1"/>
        <s v="1-1434530-3" u="1"/>
        <s v="1-1437095-3" u="1"/>
        <s v="1-1453377-2" u="1"/>
        <s v="1-1436307-2" u="1"/>
        <s v="1-1429196-3" u="1"/>
        <s v="1-1442405-5" u="1"/>
        <s v="1-1442421-4" u="1"/>
        <s v="1-1442913-2" u="1"/>
        <s v="1-1445094-3" u="1"/>
        <s v="1-1449395-2" u="1"/>
        <s v="1-1449579-2" u="1"/>
        <s v="1-1444122-2" u="1"/>
        <s v="1-1444214-2" u="1"/>
        <s v="1-1444306-2" u="1"/>
        <s v="1-1444506-1" u="1"/>
        <s v="1-1448223-2" u="1"/>
        <s v="11-1448115-2" u="1"/>
        <s v="1-1430821-2" u="1"/>
        <s v="1-1433078-4" u="1"/>
        <s v="1-1433294-2" u="1"/>
        <s v="1-1433678-1" u="1"/>
        <s v="1-1437287-3" u="1"/>
        <s v="1-1450604-4" u="1"/>
        <s v="1-1432014-3" u="1"/>
        <s v="1-1432122-2" u="1"/>
        <s v="1-1440820-6" u="1"/>
        <s v="1-1447886-4" u="1"/>
        <s v="1-1452213-2" u="1"/>
        <s v="1-1441277-3" u="1"/>
        <s v="1-1441293-2" u="1"/>
        <s v="1-1446422-5" u="1"/>
        <s v="10-1446435-2" u="1"/>
        <s v="10-1447263-2" u="1"/>
        <s v="1-1430905-3" u="1"/>
        <s v="1-1433486-2" u="1"/>
        <s v="1-1432130-2" u="1"/>
        <s v="1-1436215-3" u="1"/>
        <s v="1-1452221-2" u="1"/>
        <s v="1-1432139-15" u="1"/>
        <s v="1-1433867-10" u="1"/>
        <s v="1-1429196-4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3678-2" u="1"/>
        <s v="1-1437887-1" u="1"/>
        <s v="1-1446007-1" u="1"/>
        <s v="1-1453293-3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2-1437331-2" u="1"/>
        <s v="1-1430721-4" u="1"/>
        <s v="1-1433686-2" u="1"/>
        <s v="1-1437787-2" u="1"/>
        <s v="1-1450904-4" u="1"/>
        <s v="1-1453869-2" u="1"/>
        <s v="10-1441554-1" u="1"/>
        <s v="12-1453193-2" u="1"/>
        <s v="1-1432314-3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49795-2" u="1"/>
        <s v="1-1428040-4" u="1"/>
        <s v="1-1447287-1" u="1"/>
        <s v="1-1434230-7" u="1"/>
        <s v="1-1446115-1" u="1"/>
        <s v="1-1453677-3" u="1"/>
        <s v="12-1431434-2" u="1"/>
        <s v="1-1432014-5" u="1"/>
        <s v="1-1432122-4" u="1"/>
        <s v="1-1432522-2" u="1"/>
        <s v="1-1439188-2" u="1"/>
        <s v="1-1440820-8" u="1"/>
        <s v="1-1452321-3" u="1"/>
        <s v="1-1452613-2" u="1"/>
        <s v="1-1429988-2" u="1"/>
        <s v="1-1434023-1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50904-5" u="1"/>
        <s v="1-1453977-2" u="1"/>
        <s v="1-1443467-10" u="1"/>
        <s v="1-1432530-2" u="1"/>
        <s v="1-1435095-2" u="1"/>
        <s v="1-1436123-5" u="1"/>
        <s v="1-1436523-3" u="1"/>
        <s v="1-1436815-2" u="1"/>
        <s v="1-1452621-2" u="1"/>
        <s v="1-1432139-35" u="1"/>
        <s v="1-1432379-23" u="1"/>
        <s v="1-1429196-6" u="1"/>
        <s v="1-1445894-2" u="1"/>
        <s v="1-1449579-5" u="1"/>
        <s v="1-1450205-1" u="1"/>
        <s v="1-1440113-5" u="1"/>
        <s v="1-1447379-2" u="1"/>
        <s v="1-1448915-2" u="1"/>
        <s v="1-1433878-3" u="1"/>
        <s v="1-1442306-1" u="1"/>
        <s v="1-1446207-2" u="1"/>
        <s v="1-1453877-3" u="1"/>
        <s v="1-1453893-2" u="1"/>
        <s v="1-1453985-2" u="1"/>
        <s v="1-1432014-6" u="1"/>
        <s v="1-1432122-5" u="1"/>
        <s v="1-1432522-3" u="1"/>
        <s v="1-1435179-3" u="1"/>
        <s v="1-1436623-3" u="1"/>
        <s v="1-1439296-2" u="1"/>
        <s v="1-1440820-9" u="1"/>
        <s v="1-1452721-2" u="1"/>
        <s v="1-1452813-2" u="1"/>
        <s v="1-1436464-15" u="1"/>
        <s v="1-1429896-3" u="1"/>
        <s v="1-1429988-3" u="1"/>
        <s v="1-1438032-2" u="1"/>
        <s v="1-1438216-2" u="1"/>
        <s v="1-1454206-2" u="1"/>
        <s v="1-1440721-2" u="1"/>
        <s v="1-1443194-2" u="1"/>
        <s v="1-1447387-2" u="1"/>
        <s v="10-1438899-3" u="1"/>
        <s v="1-1433394-5" u="1"/>
        <s v="1-1453685-4" u="1"/>
        <s v="1-1431286-2" u="1"/>
        <s v="1-1435387-2" u="1"/>
        <s v="1-1436923-2" u="1"/>
        <s v="1-1439396-2" u="1"/>
        <s v="1-1452913-2" u="1"/>
        <s v="13-1430217-2" u="1"/>
        <s v="1-1449995-3" u="1"/>
        <s v="1-1435544-12" u="1"/>
        <s v="1-1424923-2" u="1"/>
        <s v="1-1440113-6" u="1"/>
        <s v="1-1448315-6" u="1"/>
        <s v="1-1446315-2" u="1"/>
        <s v="1-1446407-2" u="1"/>
        <s v="1-1432122-6" u="1"/>
        <s v="1-1432522-4" u="1"/>
        <s v="1-1432830-2" u="1"/>
        <s v="1-1435487-2" u="1"/>
        <s v="1-1451569-2" u="1"/>
        <s v="1-1436464-25" u="1"/>
        <s v="1-1429988-4" u="1"/>
        <s v="1-1430014-3" u="1"/>
        <s v="1-1434023-3" u="1"/>
        <s v="1-1434407-2" u="1"/>
        <s v="1-1438232-2" u="1"/>
        <s v="1-1435552-12" u="1"/>
        <s v="1-1451362-21" u="1"/>
        <s v="1-1440813-3" u="1"/>
        <s v="1-1443394-2" u="1"/>
        <s v="1-1448723-4" u="1"/>
        <s v="1-1442406-2" u="1"/>
        <s v="1-1446507-2" u="1"/>
        <s v="1-1453685-5" u="1"/>
        <s v="12-1437538-2" u="1"/>
        <s v="1-1435495-2" u="1"/>
        <s v="1-1429996-4" u="1"/>
        <s v="1-1430406-2" u="1"/>
        <s v="1-1434231-2" u="1"/>
        <s v="1-1438516-2" u="1"/>
        <s v="1-1454322-2" u="1"/>
        <s v="1-1447595-2" u="1"/>
        <s v="1-1448315-7" u="1"/>
        <s v="1-1448623-5" u="1"/>
        <s v="1-1446515-2" u="1"/>
        <s v="10-1430970-2" u="1"/>
        <s v="1-1432522-5" u="1"/>
        <s v="1-1452690-14" u="1"/>
        <s v="1-1429988-5" u="1"/>
        <s v="1-1430506-2" u="1"/>
        <s v="1-1434023-4" u="1"/>
        <s v="1-1434607-2" u="1"/>
        <s v="1-1450213-3" u="1"/>
        <s v="1-1447879-2" u="1"/>
        <s v="1-1447987-1" u="1"/>
        <s v="12-1431970-6" u="1"/>
        <s v="1-1442606-2" u="1"/>
        <s v="1-1446415-3" u="1"/>
        <s v="1-1433079-2" u="1"/>
        <s v="1-1434431-2" u="1"/>
        <s v="1-1434707-2" u="1"/>
        <s v="1-1438808-2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29162-12" u="1"/>
        <s v="1-1435376-18" u="1"/>
        <s v="10-1442153-3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52006-2" u="1"/>
        <s v="1-1425188-2" u="1"/>
        <s v="1-1445279-2" u="1"/>
        <s v="1-1445479-1" u="1"/>
        <s v="1-1446631-2" u="1"/>
        <s v="1-1446907-2" u="1"/>
        <s v="1-1451793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9388-2" u="1"/>
        <s v="1-1444115-2" u="1"/>
        <s v="1-1444407-1" u="1"/>
        <s v="1-1451785-3" u="1"/>
        <s v="1-1429290-11" u="1"/>
        <s v="1-1429658-11" u="1"/>
        <s v="1-1451362-19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6308-2" u="1"/>
        <s v="1-1452006-3" u="1"/>
        <s v="1-1452114-2" u="1"/>
        <s v="1-1452206-2" u="1"/>
        <s v="1-1452406-1" u="1"/>
        <s v="1-1441286-2" u="1"/>
        <s v="1-1445095-3" u="1"/>
        <s v="1-1431994-2" u="1"/>
        <s v="1-1436415-9" u="1"/>
        <s v="1-1440206-2" u="1"/>
        <s v="1-1440314-1" u="1"/>
        <s v="1-1448132-2" u="1"/>
        <s v="1-1448408-2" u="1"/>
        <s v="1-1451885-3" u="1"/>
        <s v="1-1451993-2" u="1"/>
        <s v="10-1430989-3" u="1"/>
        <s v="1-1430622-3" u="1"/>
        <s v="1-1430822-2" u="1"/>
        <s v="1-1430914-2" u="1"/>
        <s v="1-1433387-2" u="1"/>
        <s v="1-1450313-5" u="1"/>
        <s v="1-1450605-4" u="1"/>
        <s v="1-1453294-2" u="1"/>
        <s v="1-1453386-2" u="1"/>
        <s v="1-1453478-2" u="1"/>
        <s v="12-1435918-10" u="1"/>
        <s v="1-1432107-3" u="1"/>
        <s v="1-1436008-4" u="1"/>
        <s v="1-1452214-2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51893-3" u="1"/>
        <s v="1-1429522-14" u="1"/>
        <s v="1-1430922-2" u="1"/>
        <s v="1-1433579-2" u="1"/>
        <s v="1-1434931-2" u="1"/>
        <s v="1-1438616-5" u="1"/>
        <s v="1-1450413-5" u="1"/>
        <s v="1-1453486-2" u="1"/>
        <s v="1-1453578-2" u="1"/>
        <s v="1-1432115-3" u="1"/>
        <s v="1-1432407-2" u="1"/>
        <s v="1-1436216-3" u="1"/>
        <s v="1-1436308-3" u="1"/>
        <s v="1-1452006-4" u="1"/>
        <s v="1-1441486-2" u="1"/>
        <s v="1-1441594-1" u="1"/>
        <s v="1-1440114-3" u="1"/>
        <s v="1-1444507-2" u="1"/>
        <s v="1-1447088-1" u="1"/>
        <s v="1-1448424-2" u="1"/>
        <s v="1-1433295-3" u="1"/>
        <s v="1-1433587-2" u="1"/>
        <s v="1-1450313-6" u="1"/>
        <s v="1-1423987-4" u="1"/>
        <s v="1-1432031-3" u="1"/>
        <s v="1-1432107-4" u="1"/>
        <s v="1-1432507-2" u="1"/>
        <s v="1-1436316-3" u="1"/>
        <s v="1-1429789-2" u="1"/>
        <s v="1-1429989-1" u="1"/>
        <s v="1-1442322-6" u="1"/>
        <s v="1-1445179-5" u="1"/>
        <s v="1-1445595-2" u="1"/>
        <s v="10-1437650-4" u="1"/>
        <s v="1-1447188-1" u="1"/>
        <s v="1-1448340-2" u="1"/>
        <s v="1-1451893-4" u="1"/>
        <s v="1-1429522-24" u="1"/>
        <s v="1-1434423-6" u="1"/>
        <s v="1-1437788-2" u="1"/>
        <s v="12-1430428-3" u="1"/>
        <s v="1-1432607-2" u="1"/>
        <s v="1-1436308-4" u="1"/>
        <s v="1-1436524-2" u="1"/>
        <s v="1-1452206-4" u="1"/>
        <s v="1-1452330-2" u="1"/>
        <s v="1-1441886-1" u="1"/>
        <s v="1-1445587-3" u="1"/>
        <s v="1-1444707-2" u="1"/>
        <s v="1-1447288-1" u="1"/>
        <s v="1-1433695-2" u="1"/>
        <s v="1-1437888-2" u="1"/>
        <s v="1-1446008-2" u="1"/>
        <s v="13-1435228-2" u="1"/>
        <s v="1-1432107-5" u="1"/>
        <s v="1-1432431-2" u="1"/>
        <s v="1-1436008-6" u="1"/>
        <s v="1-1452430-2" u="1"/>
        <s v="1-1452706-2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33395-4" u="1"/>
        <s v="1-1433979-2" u="1"/>
        <s v="1-1434423-7" u="1"/>
        <s v="1-1438616-7" u="1"/>
        <s v="1-1446108-2" u="1"/>
        <s v="1-1446124-1" u="1"/>
        <s v="1-1453686-3" u="1"/>
        <s v="1-1453886-2" u="1"/>
        <s v="1-1453978-2" u="1"/>
        <s v="12-1432536-2" u="1"/>
        <s v="1-1436308-5" u="1"/>
        <s v="1-1436632-2" u="1"/>
        <s v="1-1436724-2" u="1"/>
        <s v="1-1445895-2" u="1"/>
        <s v="1-1424908-2" u="1"/>
        <s v="1-1440622-2" u="1"/>
        <s v="1-1448640-2" u="1"/>
        <s v="1-1448732-2" u="1"/>
        <s v="1-1446008-3" u="1"/>
        <s v="1-1446024-2" u="1"/>
        <s v="1-1446208-2" u="1"/>
        <s v="1-1453894-2" u="1"/>
        <s v="1-1453986-2" u="1"/>
        <s v="1-1432631-2" u="1"/>
        <s v="1-1436008-7" u="1"/>
        <s v="1-1436532-3" u="1"/>
        <s v="1-1452706-3" u="1"/>
        <s v="1-1452814-2" u="1"/>
        <s v="1-1452830-1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42115-2" u="1"/>
        <s v="1-1453686-4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52730-2" u="1"/>
        <s v="1-1452914-2" u="1"/>
        <s v="1-1438117-3" u="1"/>
        <s v="1-1450406-1" u="1"/>
        <s v="1-1435709-13" u="1"/>
        <s v="1-1428733-3" u="1"/>
        <s v="1-1444231-5" u="1"/>
        <s v="1-1437888-4" u="1"/>
        <s v="1-1442107-3" u="1"/>
        <s v="1-1442123-2" u="1"/>
        <s v="1-1442215-2" u="1"/>
        <s v="1-1442323-1" u="1"/>
        <s v="1-1446024-3" u="1"/>
        <s v="10-1447268-3" u="1"/>
        <s v="1-1431095-3" u="1"/>
        <s v="1-1431295-2" u="1"/>
        <s v="1-1436008-8" u="1"/>
        <s v="1-1439497-2" u="1"/>
        <s v="1-1451478-2" u="1"/>
        <s v="1-1449038-12" u="1"/>
        <s v="12-1431399-2" u="1"/>
        <s v="1-1434040-2" u="1"/>
        <s v="1-1438325-2" u="1"/>
        <s v="1-1440922-2" u="1"/>
        <s v="1-1448724-4" u="1"/>
        <s v="1-1434423-9" u="1"/>
        <s v="1-1442407-2" u="1"/>
        <s v="1-1446524-1" u="1"/>
        <s v="1-1446189-13" u="1"/>
        <s v="1-1431487-2" u="1"/>
        <s v="1-1432715-4" u="1"/>
        <s v="1-1435588-2" u="1"/>
        <s v="1-1434124-3" u="1"/>
        <s v="1-1438317-3" u="1"/>
        <s v="1-1438517-2" u="1"/>
        <s v="1-1454323-2" u="1"/>
        <s v="1-1424940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0-1437741-4" u="1"/>
        <s v="1-1446340-2" u="1"/>
        <s v="1-1446524-2" u="1"/>
        <s v="10-1446420-2" u="1"/>
        <s v="1-1431779-2" u="1"/>
        <s v="1-1435788-2" u="1"/>
        <s v="1-1451778-2" u="1"/>
        <s v="12-1448027-1" u="1"/>
        <s v="1-1430331-2" u="1"/>
        <s v="1-1440914-4" u="1"/>
        <s v="1-1437888-6" u="1"/>
        <s v="1-1446024-5" u="1"/>
        <s v="1-1446532-2" u="1"/>
        <s v="1-1449097-2" u="1"/>
        <s v="11-1436472-3" u="1"/>
        <s v="13-1448695-2" u="1"/>
        <s v="1-1431679-3" u="1"/>
        <s v="1-1451878-2" u="1"/>
        <s v="1-1451986-1" u="1"/>
        <s v="1-1426840-8" u="1"/>
        <s v="1-1430615-2" u="1"/>
        <s v="1-1433088-2" u="1"/>
        <s v="1-1434532-2" u="1"/>
        <s v="1-1438725-2" u="1"/>
        <s v="1-1450414-3" u="1"/>
        <s v="1-1442531-2" u="1"/>
        <s v="1-1445096-2" u="1"/>
        <s v="1-1449289-2" u="1"/>
        <s v="1-1435988-2" u="1"/>
        <s v="1-1448025-2" u="1"/>
        <s v="1-1451686-3" u="1"/>
        <s v="1-1451794-2" u="1"/>
        <s v="1-1451886-2" u="1"/>
        <s v="11-1431587-3" u="1"/>
        <s v="1-1430807-2" u="1"/>
        <s v="1-1450606-3" u="1"/>
        <s v="1-1443987-2" u="1"/>
        <s v="1-1437888-7" u="1"/>
        <s v="1-1446640-2" u="1"/>
        <s v="1-1448125-2" u="1"/>
        <s v="1-1451786-3" u="1"/>
        <s v="1-1430631-2" u="1"/>
        <s v="1-1430907-2" u="1"/>
        <s v="1-1434640-2" u="1"/>
        <s v="1-1432208-2" u="1"/>
        <s v="1-1452023-2" u="1"/>
        <s v="1-1442823-2" u="1"/>
        <s v="1-1442915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50130-5" u="1"/>
        <s v="1-1453587-1" u="1"/>
        <s v="1-1452123-2" u="1"/>
        <s v="1-1443696-17" u="1"/>
        <s v="1-1443788-17" u="1"/>
        <s v="1-1437888-8" u="1"/>
        <s v="1-1442831-2" u="1"/>
        <s v="1-1442923-2" u="1"/>
        <s v="1-1445396-2" u="1"/>
        <s v="1-1449497-2" u="1"/>
        <s v="1-1440307-2" u="1"/>
        <s v="1-1444116-3" u="1"/>
        <s v="1-1448509-2" u="1"/>
        <s v="10-1446455-2" u="1"/>
        <s v="11-1432763-2" u="1"/>
        <s v="1-1433288-3" u="1"/>
        <s v="1-1433488-2" u="1"/>
        <s v="1-1437497-2" u="1"/>
        <s v="1-1453395-2" u="1"/>
        <s v="1-1432132-2" u="1"/>
        <s v="1-1436417-2" u="1"/>
        <s v="12-1434071-15" u="1"/>
        <s v="1-1429598-2" u="1"/>
        <s v="1-1441287-3" u="1"/>
        <s v="1-1441487-2" u="1"/>
        <s v="1-1449889-1" u="1"/>
        <s v="1-1444124-3" u="1"/>
        <s v="1-1444232-2" u="1"/>
        <s v="1-1447089-1" u="1"/>
        <s v="1-1448317-3" u="1"/>
        <s v="1-1448409-3" u="1"/>
        <s v="1-1448625-1" u="1"/>
        <s v="1-1440008-17" u="1"/>
        <s v="10-1445415-3" u="1"/>
        <s v="1-1433096-4" u="1"/>
        <s v="1-1450130-6" u="1"/>
        <s v="1-1423988-4" u="1"/>
        <s v="1-1432324-2" u="1"/>
        <s v="1-1432508-2" u="1"/>
        <s v="1-1436317-3" u="1"/>
        <s v="1-1436425-2" u="1"/>
        <s v="1-1452323-2" u="1"/>
        <s v="1-1437888-9" u="1"/>
        <s v="1-1441387-3" u="1"/>
        <s v="1-1449897-1" u="1"/>
        <s v="1-1444116-4" u="1"/>
        <s v="1-1444424-2" u="1"/>
        <s v="1-1448217-4" u="1"/>
        <s v="1-1433688-2" u="1"/>
        <s v="1-1446017-1" u="1"/>
        <s v="1-1453595-2" u="1"/>
        <s v="1-1432132-3" u="1"/>
        <s v="1-1436417-3" u="1"/>
        <s v="1-1436817-1" u="1"/>
        <s v="1-1451179-1" u="1"/>
        <s v="1-1437654-22" u="1"/>
        <s v="12-1434071-23" u="1"/>
        <s v="1-1429798-2" u="1"/>
        <s v="1-1434017-1" u="1"/>
        <s v="1-1441779-2" u="1"/>
        <s v="1-1447289-1" u="1"/>
        <s v="1-1448317-4" u="1"/>
        <s v="1-1448409-4" u="1"/>
        <s v="1-1448425-3" u="1"/>
        <s v="1-1448441-2" u="1"/>
        <s v="1-1448717-2" u="1"/>
        <s v="1-1448825-1" u="1"/>
        <s v="12-1441870-3" u="1"/>
        <s v="1-1433696-2" u="1"/>
        <s v="1-1450130-7" u="1"/>
        <s v="1-1453479-4" u="1"/>
        <s v="13-1433214-2" u="1"/>
        <s v="1-1432340-2" u="1"/>
        <s v="1-1436625-2" u="1"/>
        <s v="1-1452231-3" u="1"/>
        <s v="1-1433965-11" u="1"/>
        <s v="1-1446206-10" u="1"/>
        <s v="1-1445796-2" u="1"/>
        <s v="1-1446024-9" u="1"/>
        <s v="1-1440707-2" u="1"/>
        <s v="1-1444116-5" u="1"/>
        <s v="1-1447297-1" u="1"/>
        <s v="1-1448217-5" u="1"/>
        <s v="10-1448707-2" u="1"/>
        <s v="1-1430815-5" u="1"/>
        <s v="1-1433688-3" u="1"/>
        <s v="1-1437897-2" u="1"/>
        <s v="1-1446109-2" u="1"/>
        <s v="1-1453979-2" u="1"/>
        <s v="12-1452729-2" u="1"/>
        <s v="1-1432024-5" u="1"/>
        <s v="1-1432132-4" u="1"/>
        <s v="1-1432440-2" u="1"/>
        <s v="1-1432532-2" u="1"/>
        <s v="1-1436417-4" u="1"/>
        <s v="1-1452807-2" u="1"/>
        <s v="1-1430008-2" u="1"/>
        <s v="1-1438026-2" u="1"/>
        <s v="1-1392722-2" u="1"/>
        <s v="1-1440407-4" u="1"/>
        <s v="1-1444632-2" u="1"/>
        <s v="1-1444724-2" u="1"/>
        <s v="1-1448317-5" u="1"/>
        <s v="1-1448409-5" u="1"/>
        <s v="1-1448441-3" u="1"/>
        <s v="1-1448917-2" u="1"/>
        <s v="1-1451794-6" u="1"/>
        <s v="1-1446117-2" u="1"/>
        <s v="1-1440820-10" u="1"/>
        <s v="1-1432540-2" u="1"/>
        <s v="1-1452707-3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8217-6" u="1"/>
        <s v="1-1442116-2" u="1"/>
        <s v="1-1446017-3" u="1"/>
        <s v="11-1431682-2" u="1"/>
        <s v="1-1432132-5" u="1"/>
        <s v="1-1435389-2" u="1"/>
        <s v="1-1436417-5" u="1"/>
        <s v="1-1452731-2" u="1"/>
        <s v="1-1452807-3" u="1"/>
        <s v="1-1430024-2" u="1"/>
        <s v="1-1430132-1" u="1"/>
        <s v="1-1438318-2" u="1"/>
        <s v="1-1441887-3" u="1"/>
        <s v="1-1447397-2" u="1"/>
        <s v="1-1448317-6" u="1"/>
        <s v="1-1448441-4" u="1"/>
        <s v="1-1448917-3" u="1"/>
        <s v="1-1442124-2" u="1"/>
        <s v="1-1442324-1" u="1"/>
        <s v="1-1446209-3" u="1"/>
        <s v="1-1446225-2" u="1"/>
        <s v="1-1446409-2" u="1"/>
        <s v="1-1453987-3" u="1"/>
        <s v="11-1453785-2" u="1"/>
        <s v="1-1432340-4" u="1"/>
        <s v="1-1432740-2" u="1"/>
        <s v="1-1432924-2" u="1"/>
        <s v="1-1436917-3" u="1"/>
        <s v="1-1451479-2" u="1"/>
        <s v="1-1452831-2" u="1"/>
        <s v="13-1432249-2" u="1"/>
        <s v="1-1434225-2" u="1"/>
        <s v="1-1434317-2" u="1"/>
        <s v="1-1450215-2" u="1"/>
        <s v="1-1454316-2" u="1"/>
        <s v="1-1447589-2" u="1"/>
        <s v="1-1440728-16" u="1"/>
        <s v="1-1433396-6" u="1"/>
        <s v="1-1442424-1" u="1"/>
        <s v="1-1446017-4" u="1"/>
        <s v="1-1446141-2" u="1"/>
        <s v="1-1446525-1" u="1"/>
        <s v="10-1444706-2" u="1"/>
        <s v="1-1435589-2" u="1"/>
        <s v="1-1452807-4" u="1"/>
        <s v="1-1452931-2" u="1"/>
        <s v="1-1430224-2" u="1"/>
        <s v="1-1434233-2" u="1"/>
        <s v="1-1434417-2" u="1"/>
        <s v="1-1441887-4" u="1"/>
        <s v="1-1435562-12" u="1"/>
        <s v="1-1448317-7" u="1"/>
        <s v="1-1451794-8" u="1"/>
        <s v="1-1446609-2" u="1"/>
        <s v="1-1435597-2" u="1"/>
        <s v="1-1430216-3" u="1"/>
        <s v="1-1434317-3" u="1"/>
        <s v="1-1438250-2" u="1"/>
        <s v="1-1450107-4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-1451595-2" u="1"/>
        <s v="1-1430332-2" u="1"/>
        <s v="1-1433189-1" u="1"/>
        <s v="1-1434417-3" u="1"/>
        <s v="1-1434525-2" u="1"/>
        <s v="1-1441887-5" u="1"/>
        <s v="1-1450607-2" u="1"/>
        <s v="1-1454340-2" u="1"/>
        <s v="1-1448317-8" u="1"/>
        <s v="1-1446717-2" u="1"/>
        <s v="1-1449098-2" u="1"/>
        <s v="1-1435597-3" u="1"/>
        <s v="1-1435889-2" u="1"/>
        <s v="1-1435997-1" u="1"/>
        <s v="1-1444009-2" u="1"/>
        <s v="1-1448018-2" u="1"/>
        <s v="1-1451695-2" u="1"/>
        <s v="1-1451879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50323-3" u="1"/>
        <s v="1-1432009-2" u="1"/>
        <s v="1-1436018-2" u="1"/>
        <s v="1-1441088-2" u="1"/>
        <s v="1-1442624-2" u="1"/>
        <s v="1-1445097-2" u="1"/>
        <s v="10-1448322-3" u="1"/>
        <s v="11-1436470-3" u="1"/>
        <s v="1-1432132-8" u="1"/>
        <s v="1-1451795-2" u="1"/>
        <s v="1-1451995-1" u="1"/>
        <s v="1-1430332-3" u="1"/>
        <s v="1-1430808-2" u="1"/>
        <s v="1-1433097-2" u="1"/>
        <s v="1-1434417-4" u="1"/>
        <s v="1-1450407-4" u="1"/>
        <s v="1-1448315-10" u="1"/>
        <s v="1-1432017-2" u="1"/>
        <s v="1-1436118-2" u="1"/>
        <s v="1-1443696-3" u="1"/>
        <s v="1-1447997-2" u="1"/>
        <s v="1-1448317-9" u="1"/>
        <s v="1-1448409-9" u="1"/>
        <s v="1-1446641-2" u="1"/>
        <s v="1-1446809-3" u="1"/>
        <s v="1-1446825-2" u="1"/>
        <s v="1-1453895-6" u="1"/>
        <s v="1-1435597-4" u="1"/>
        <s v="1-1440016-2" u="1"/>
        <s v="1-1440124-1" u="1"/>
        <s v="1-1444117-2" u="1"/>
        <s v="1-1434533-3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-1451579-5" u="1"/>
        <s v="10-1443425-3" u="1"/>
        <s v="11-1431681-2" u="1"/>
        <s v="1-1430732-2" u="1"/>
        <s v="1-1430824-2" u="1"/>
        <s v="1-1430916-2" u="1"/>
        <s v="1-1434741-2" u="1"/>
        <s v="1-1434833-2" u="1"/>
        <s v="1-1438918-3" u="1"/>
        <s v="13-1453179-2" u="1"/>
        <s v="1-1432217-2" u="1"/>
        <s v="1-1443696-4" u="1"/>
        <s v="1-1452124-2" u="1"/>
        <s v="1-1445397-2" u="1"/>
        <s v="1-1446641-3" u="1"/>
        <s v="1-1446841-2" u="1"/>
        <s v="1-1449498-2" u="1"/>
        <s v="1-1435597-5" u="1"/>
        <s v="1-1440032-2" u="1"/>
        <s v="1-1444117-3" u="1"/>
        <s v="1-1430216-6" u="1"/>
        <s v="1-1430724-3" u="1"/>
        <s v="1-1430908-3" u="1"/>
        <s v="1-1433489-2" u="1"/>
        <s v="1-1434841-2" u="1"/>
        <s v="1-1437498-2" u="1"/>
        <s v="13-1454179-2" u="1"/>
        <s v="1-1432409-2" u="1"/>
        <s v="1-1436018-4" u="1"/>
        <s v="1-1436050-2" u="1"/>
        <s v="1-1436142-2" u="1"/>
        <s v="1-1436234-2" u="1"/>
        <s v="1-1436418-2" u="1"/>
        <s v="1-1452224-2" u="1"/>
        <s v="1-1437655-12" u="1"/>
        <s v="1-1429599-2" u="1"/>
        <s v="1-1441488-2" u="1"/>
        <s v="1-1442916-3" u="1"/>
        <s v="1-1448150-2" u="1"/>
        <s v="10-1447281-2" u="1"/>
        <s v="13-1441624-4" u="1"/>
        <s v="1-1433389-3" u="1"/>
        <s v="1-1438750-3" u="1"/>
        <s v="1-1428750-7" u="1"/>
        <s v="1-1432141-2" u="1"/>
        <s v="1-1432417-2" u="1"/>
        <s v="1-1436134-3" u="1"/>
        <s v="1-1436150-2" u="1"/>
        <s v="1-1443696-5" u="1"/>
        <s v="1-1452324-2" u="1"/>
        <s v="1-1441788-1" u="1"/>
        <s v="1-1445597-2" u="1"/>
        <s v="1-1445689-2" u="1"/>
        <s v="1-1435159-11" u="1"/>
        <s v="12-1429986-3" u="1"/>
        <s v="1-1435597-6" u="1"/>
        <s v="1-1444117-4" u="1"/>
        <s v="1-1444225-3" u="1"/>
        <s v="1-1448050-3" u="1"/>
        <s v="1-1448434-2" u="1"/>
        <s v="1-1429656-22" u="1"/>
        <s v="1-1429988-10" u="1"/>
        <s v="1-1430908-4" u="1"/>
        <s v="1-1433689-2" u="1"/>
        <s v="1-1434841-3" u="1"/>
        <s v="1-1453396-3" u="1"/>
        <s v="1-1453596-2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0-1438746-5" u="1"/>
        <s v="1-1448442-2" u="1"/>
        <s v="1-1448534-2" u="1"/>
        <s v="1-1430824-4" u="1"/>
        <s v="1-1450807-5" u="1"/>
        <s v="1-1428732-10" u="1"/>
        <s v="1-1432141-3" u="1"/>
        <s v="1-1432341-2" u="1"/>
        <s v="1-1432525-2" u="1"/>
        <s v="1-1432617-2" u="1"/>
        <s v="1-1436134-4" u="1"/>
        <s v="1-1436534-2" u="1"/>
        <s v="1-1452708-2" u="1"/>
        <s v="1-1437791-11" u="1"/>
        <s v="1-1454009-2" u="1"/>
        <s v="1-1428743-1" u="1"/>
        <s v="1-1444117-5" u="1"/>
        <s v="1-1444809-2" u="1"/>
        <s v="1-1447298-1" u="1"/>
        <s v="1-1448434-3" u="1"/>
        <s v="1-1448450-2" u="1"/>
        <s v="1-1448818-2" u="1"/>
        <s v="1-1430908-5" u="1"/>
        <s v="1-1433889-2" u="1"/>
        <s v="1-1442025-1" u="1"/>
        <s v="1-1446018-2" u="1"/>
        <s v="1-1453888-2" u="1"/>
        <s v="1-1432441-2" u="1"/>
        <s v="1-1436342-3" u="1"/>
        <s v="1-1436542-2" u="1"/>
        <s v="1-1436818-2" u="1"/>
        <s v="1-1452516-3" u="1"/>
        <s v="1-1452716-2" u="1"/>
        <s v="1-1452808-2" u="1"/>
        <s v="1-1441488-4" u="1"/>
        <s v="1-1441796-2" u="1"/>
        <s v="1-1445989-2" u="1"/>
        <s v="1-1449998-2" u="1"/>
        <s v="1-1444741-1" u="1"/>
        <s v="1-1448350-3" u="1"/>
        <s v="1-1433789-3" u="1"/>
        <s v="1-1437998-2" u="1"/>
        <s v="1-1442017-2" u="1"/>
        <s v="1-1453896-2" u="1"/>
        <s v="1-1431097-2" u="1"/>
        <s v="1-1432141-4" u="1"/>
        <s v="1-1432541-2" u="1"/>
        <s v="1-1436134-5" u="1"/>
        <s v="1-1443696-7" u="1"/>
        <s v="1-1429899-3" u="1"/>
        <s v="1-1441788-3" u="1"/>
        <s v="1-1445997-2" u="1"/>
        <s v="1-1440816-2" u="1"/>
        <s v="1-1440924-1" u="1"/>
        <s v="1-1448434-4" u="1"/>
        <s v="1-1448834-2" u="1"/>
        <s v="1-1430908-6" u="1"/>
        <s v="1-1446218-2" u="1"/>
        <s v="10-1442240-3" u="1"/>
        <s v="1-1436218-6" u="1"/>
        <s v="1-1436742-2" u="1"/>
        <s v="1-1436818-3" u="1"/>
        <s v="1-1452440-3" u="1"/>
        <s v="1-1452716-3" u="1"/>
        <s v="1-1452824-2" u="1"/>
        <s v="1-1452916-2" u="1"/>
        <s v="1-1430209-2" u="1"/>
        <s v="1-1441488-5" u="1"/>
        <s v="1-1442932-5" u="1"/>
        <s v="1-1450024-2" u="1"/>
        <s v="1-1450116-2" u="1"/>
        <s v="1-1450208-2" u="1"/>
        <s v="1-1450316-1" u="1"/>
        <s v="1-1454309-2" u="1"/>
        <s v="1-1435567-11" u="1"/>
        <s v="1-1428751-2" u="1"/>
        <s v="1-1440640-2" u="1"/>
        <s v="1-1448750-2" u="1"/>
        <s v="1-1437998-3" u="1"/>
        <s v="1-1446118-3" u="1"/>
        <s v="1-1453988-3" u="1"/>
        <s v="1-1432141-5" u="1"/>
        <s v="1-1436134-6" u="1"/>
        <s v="1-1436750-2" u="1"/>
        <s v="1-1443696-8" u="1"/>
        <s v="1-1452740-2" u="1"/>
        <s v="1-1452816-3" u="1"/>
        <s v="1-1438235-2" u="1"/>
        <s v="1-1441788-4" u="1"/>
        <s v="1-1443489-2" u="1"/>
        <s v="1-1448434-5" u="1"/>
        <s v="1-1448650-3" u="1"/>
        <s v="1-1448850-2" u="1"/>
        <s v="1-1433397-6" u="1"/>
        <s v="1-1433997-3" u="1"/>
        <s v="1-1442133-2" u="1"/>
        <s v="1-1442425-1" u="1"/>
        <s v="10-1445452-2" u="1"/>
        <s v="10-1446464-2" u="1"/>
        <s v="1-1436818-4" u="1"/>
        <s v="1-1452716-4" u="1"/>
        <s v="1-1429049-12" u="1"/>
        <s v="1-1430041-2" u="1"/>
        <s v="1-1434234-2" u="1"/>
        <s v="1-1438243-2" u="1"/>
        <s v="1-1438335-2" u="1"/>
        <s v="1-1441796-4" u="1"/>
        <s v="1-1440640-3" u="1"/>
        <s v="1-1437998-4" u="1"/>
        <s v="1-1446134-3" u="1"/>
        <s v="1-1446334-2" u="1"/>
        <s v="1-1449099-1" u="1"/>
        <s v="1-1431297-3" u="1"/>
        <s v="1-1435598-2" u="1"/>
        <s v="1-1436134-7" u="1"/>
        <s v="1-1443696-9" u="1"/>
        <s v="1-1430325-2" u="1"/>
        <s v="1-1434334-2" u="1"/>
        <s v="1-1438527-2" u="1"/>
        <s v="1-1450340-1" u="1"/>
        <s v="1-1448434-6" u="1"/>
        <s v="1-1446342-2" u="1"/>
        <s v="1-1446434-2" u="1"/>
        <s v="1-1446450-1" u="1"/>
        <s v="1-1446634-1" u="1"/>
        <s v="1-1431597-2" u="1"/>
        <s v="1-1431689-2" u="1"/>
        <s v="1-1452840-3" u="1"/>
        <s v="1-1430041-3" u="1"/>
        <s v="1-1430609-2" u="1"/>
        <s v="1-1434634-1" u="1"/>
        <s v="1-1438335-3" u="1"/>
        <s v="1-1441796-5" u="1"/>
        <s v="1-1454017-5" u="1"/>
        <s v="1-1454341-2" u="1"/>
        <s v="1-1440640-4" u="1"/>
        <s v="1-1442141-3" u="1"/>
        <s v="1-1442325-3" u="1"/>
        <s v="1-1442617-2" u="1"/>
        <s v="1-1446118-5" u="1"/>
        <s v="1-1446150-3" u="1"/>
        <s v="1-1446334-3" u="1"/>
        <s v="1-1446534-2" u="1"/>
        <s v="12-1443995-3" u="1"/>
        <s v="1-1452816-5" u="1"/>
        <s v="12-1451938-1" u="1"/>
        <s v="1-1434718-2" u="1"/>
        <s v="12-1438144-17" u="1"/>
        <s v="1-1432118-1" u="1"/>
        <s v="1-1440940-3" u="1"/>
        <s v="1-1442241-3" u="1"/>
        <s v="10-1429729-2" u="1"/>
        <s v="1-1431889-2" u="1"/>
        <s v="1-1435698-3" u="1"/>
        <s v="1-1451796-2" u="1"/>
        <s v="1-1430209-5" u="1"/>
        <s v="1-1430717-2" u="1"/>
        <s v="1-1433098-2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-1440017-2" u="1"/>
        <s v="1-1448127-2" u="1"/>
        <s v="1-1451788-3" u="1"/>
        <s v="1-1452816-6" u="1"/>
        <s v="1-1429529-13" u="1"/>
        <s v="1-1430725-2" u="1"/>
        <s v="1-1430817-2" u="1"/>
        <s v="1-1430909-2" u="1"/>
        <s v="1-1450540-2" u="1"/>
        <s v="12-1438144-25" u="1"/>
        <s v="1-1436035-2" u="1"/>
        <s v="1-1436235-1" u="1"/>
        <s v="1-1452209-2" u="1"/>
        <s v="1-1442717-3" u="1"/>
        <s v="1-1442825-2" u="1"/>
        <s v="1-1442917-2" u="1"/>
        <s v="1-1449399-2" u="1"/>
        <s v="1-1440209-2" u="1"/>
        <s v="1-1451888-3" u="1"/>
        <s v="1-1451996-2" u="1"/>
        <s v="1-1430209-6" u="1"/>
        <s v="1-1430641-2" u="1"/>
        <s v="1-1430825-2" u="1"/>
        <s v="1-1430917-2" u="1"/>
        <s v="1-1434650-2" u="1"/>
        <s v="1-1434834-2" u="1"/>
        <s v="1-1438335-5" u="1"/>
        <s v="1-1450608-4" u="1"/>
        <s v="1-1440640-6" u="1"/>
        <s v="1-1443697-4" u="1"/>
        <s v="1-1446334-5" u="1"/>
        <s v="1-1446842-2" u="1"/>
        <s v="1-1432141-9" u="1"/>
        <s v="1-1440109-3" u="1"/>
        <s v="1-1440309-2" u="1"/>
        <s v="1-1434842-2" u="1"/>
        <s v="1-1453197-3" u="1"/>
        <s v="1-1453397-2" u="1"/>
        <s v="13-1453177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8519-2" u="1"/>
        <s v="1-1450608-5" u="1"/>
        <s v="1-1443697-5" u="1"/>
        <s v="1-1452141-2" u="1"/>
        <s v="1-1442941-2" u="1"/>
        <s v="1-1446334-6" u="1"/>
        <s v="1-1434642-4" u="1"/>
        <s v="1-1453597-2" u="1"/>
        <s v="12-1431486-2" u="1"/>
        <s v="1-1432334-2" u="1"/>
        <s v="1-1432139-16" u="1"/>
        <s v="1-1433867-11" u="1"/>
        <s v="1-1442717-5" u="1"/>
        <s v="1-1446850-3" u="1"/>
        <s v="1-1440809-1" u="1"/>
        <s v="1-1444234-3" u="1"/>
        <s v="1-1448351-2" u="1"/>
        <s v="12-1441982-3" u="1"/>
        <s v="1-1430209-8" u="1"/>
        <s v="1-1433698-2" u="1"/>
        <s v="1-1434850-3" u="1"/>
        <s v="1-1450608-6" u="1"/>
        <s v="1-1453389-4" u="1"/>
        <s v="10-1441566-2" u="1"/>
        <s v="10-1443098-4" u="1"/>
        <s v="1-1432542-1" u="1"/>
        <s v="1-1436627-2" u="1"/>
        <s v="1-1436643-1" u="1"/>
        <s v="1-1443697-6" u="1"/>
        <s v="1-1446024-10" u="1"/>
        <s v="1-1434027-1" u="1"/>
        <s v="1-1442941-3" u="1"/>
        <s v="1-1446334-7" u="1"/>
        <s v="1-1449699-3" u="1"/>
        <s v="1-1444626-2" u="1"/>
        <s v="1-1447099-2" u="1"/>
        <s v="1-1447299-1" u="1"/>
        <s v="1-1448051-4" u="1"/>
        <s v="1-1433998-1" u="1"/>
        <s v="1-1434950-3" u="1"/>
        <s v="1-1442026-1" u="1"/>
        <s v="1-1453597-3" u="1"/>
        <s v="12-1431646-2" u="1"/>
        <s v="12-1450033-5" u="1"/>
        <s v="1-1432442-2" u="1"/>
        <s v="1-1436343-3" u="1"/>
        <s v="1-1452717-2" u="1"/>
        <s v="1-1434035-1" u="1"/>
        <s v="1-1442717-6" u="1"/>
        <s v="1-1430209-9" u="1"/>
        <s v="1-1446027-2" u="1"/>
        <s v="1-1450608-7" u="1"/>
        <s v="13-1435034-3" u="1"/>
        <s v="1-1434027-2" u="1"/>
        <s v="1-1438328-1" u="1"/>
        <s v="1-1442541-6" u="1"/>
        <s v="1-1442941-4" u="1"/>
        <s v="1-1446334-8" u="1"/>
        <s v="1-1435376-11" u="1"/>
        <s v="1-1440817-2" u="1"/>
        <s v="1-1448251-4" u="1"/>
        <s v="1-1433398-5" u="1"/>
        <s v="1-1442134-1" u="1"/>
        <s v="1-1446219-2" u="1"/>
        <s v="1-1453889-3" u="1"/>
        <s v="1-1436543-3" u="1"/>
        <s v="1-1436927-2" u="1"/>
        <s v="1-1452733-2" u="1"/>
        <s v="1-1434035-2" u="1"/>
        <s v="1-1434127-2" u="1"/>
        <s v="1-1438336-1" u="1"/>
        <s v="1-1441997-2" u="1"/>
        <s v="1-1442717-7" u="1"/>
        <s v="1-1449999-3" u="1"/>
        <s v="1-1450041-1" u="1"/>
        <s v="1-1450409-1" u="1"/>
        <s v="1-1454126-2" u="1"/>
        <s v="1-1424727-3" u="1"/>
        <s v="1-1428752-2" u="1"/>
        <s v="1-1446319-2" u="1"/>
        <s v="1-1436827-3" u="1"/>
        <s v="1-1443697-8" u="1"/>
        <s v="1-1452741-2" u="1"/>
        <s v="1-1436464-16" u="1"/>
        <s v="1-1434227-2" u="1"/>
        <s v="1-1438128-3" u="1"/>
        <s v="1-1438236-2" u="1"/>
        <s v="1-1442541-7" u="1"/>
        <s v="1-1442941-5" u="1"/>
        <s v="1-1446334-9" u="1"/>
        <s v="1-1450325-1" u="1"/>
        <s v="1-1454118-3" u="1"/>
        <s v="1-1451362-12" u="1"/>
        <s v="1-1428760-2" u="1"/>
        <s v="1-1440833-2" u="1"/>
        <s v="1-1447499-2" u="1"/>
        <s v="10-1433423-7" u="1"/>
        <s v="1-1446235-2" u="1"/>
        <s v="11-1431370-4" u="1"/>
        <s v="1-1432550-3" u="1"/>
        <s v="1-1432842-2" u="1"/>
        <s v="1-1432918-3" u="1"/>
        <s v="1-1452841-2" u="1"/>
        <s v="1-1430042-2" u="1"/>
        <s v="1-1434235-2" u="1"/>
        <s v="1-1434419-2" u="1"/>
        <s v="1-1438152-2" u="1"/>
        <s v="1-1438260-1" u="1"/>
        <s v="1-1450041-2" u="1"/>
        <s v="1-1450133-2" u="1"/>
        <s v="1-1454050-2" u="1"/>
        <s v="1-1454250-1" u="1"/>
        <s v="1-1435544-13" u="1"/>
        <s v="1-1447599-2" u="1"/>
        <s v="1-1422143-2" u="1"/>
        <s v="1-1426352-1" u="1"/>
        <s v="1-1450608-9" u="1"/>
        <s v="1-1453989-4" u="1"/>
        <s v="1-1443697-9" u="1"/>
        <s v="1-1436464-26" u="1"/>
        <s v="13-1430313-2" u="1"/>
        <s v="1-1435552-13" u="1"/>
        <s v="1-1440941-2" u="1"/>
        <s v="1-1446219-4" u="1"/>
        <s v="1-1446327-3" u="1"/>
        <s v="1-1446527-2" u="1"/>
        <s v="10-1445806-2" u="1"/>
        <s v="1-1432950-2" u="1"/>
        <s v="1-1435699-2" u="1"/>
        <s v="1-1451689-2" u="1"/>
        <s v="10-1441485-2" u="1"/>
        <s v="1-1430042-3" u="1"/>
        <s v="1-1430626-1" u="1"/>
        <s v="1-1434435-2" u="1"/>
        <s v="1-1434635-1" u="1"/>
        <s v="1-1454018-5" u="1"/>
        <s v="1-1442342-2" u="1"/>
        <s v="12-1437542-2" u="1"/>
        <s v="12-1439290-2" u="1"/>
        <s v="1-1448128-1" u="1"/>
        <s v="1-1452690-15" u="1"/>
        <s v="1-1430342-2" u="1"/>
        <s v="1-1434151-3" u="1"/>
        <s v="1-1448217-10" u="1"/>
        <s v="1-1428728-6" u="1"/>
        <s v="1-1440941-3" u="1"/>
        <s v="12-1431970-7" u="1"/>
        <s v="1-1445099-2" u="1"/>
        <s v="1-1446219-5" u="1"/>
        <s v="1-1446635-2" u="1"/>
        <s v="1-1451889-2" u="1"/>
        <s v="10-1442165-4" u="1"/>
        <s v="1-1430042-4" u="1"/>
        <s v="1-1430534-2" u="1"/>
        <s v="1-1438552-2" u="1"/>
        <s v="1-1432019-2" u="1"/>
        <s v="1-1446151-4" u="1"/>
        <s v="1-1435999-2" u="1"/>
        <s v="1-1429162-13" u="1"/>
        <s v="12-1434485-2" u="1"/>
        <s v="1-1434151-4" u="1"/>
        <s v="1-1434919-2" u="1"/>
        <s v="1-1453198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0-1444273-3" u="1"/>
        <s v="1-1430642-2" u="1"/>
        <s v="1-1430734-2" u="1"/>
        <s v="1-1433299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8760-2" u="1"/>
        <s v="1-1432227-2" u="1"/>
        <s v="1-1436328-2" u="1"/>
        <s v="1-1452426-1" u="1"/>
        <s v="1-1441598-1" u="1"/>
        <s v="1-1442842-2" u="1"/>
        <s v="1-1445699-1" u="1"/>
        <s v="1-1444435-1" u="1"/>
        <s v="1-1448060-2" u="1"/>
        <s v="1-1448152-2" u="1"/>
        <s v="1-1448428-2" u="1"/>
        <s v="1-1430642-3" u="1"/>
        <s v="1-1433699-1" u="1"/>
        <s v="1-1434851-2" u="1"/>
        <s v="13-1431152-2" u="1"/>
        <s v="13-1452147-3" u="1"/>
        <s v="12-1435918-20" u="1"/>
        <s v="1-1432035-3" u="1"/>
        <s v="1-1436060-2" u="1"/>
        <s v="1-1442942-2" u="1"/>
        <s v="1-1440234-2" u="1"/>
        <s v="1-1444335-2" u="1"/>
        <s v="1-1429522-15" u="1"/>
        <s v="1-1432319-3" u="1"/>
        <s v="1-1432335-2" u="1"/>
        <s v="1-1432427-2" u="1"/>
        <s v="1-1446219-8" u="1"/>
        <s v="1-1446635-5" u="1"/>
        <s v="10-1436942-4" u="1"/>
        <s v="1-1440242-2" u="1"/>
        <s v="1-1444251-2" u="1"/>
        <s v="1-1448444-2" u="1"/>
        <s v="1-1430042-7" u="1"/>
        <s v="1-1430642-4" u="1"/>
        <s v="1-1430842-3" u="1"/>
        <s v="1-1432619-2" u="1"/>
        <s v="1-1436152-3" u="1"/>
        <s v="1-1436260-2" u="1"/>
        <s v="1-145225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-1453798-2" u="1"/>
        <s v="12-1430428-4" u="1"/>
        <s v="13-1436176-2" u="1"/>
        <s v="1-1432719-2" u="1"/>
        <s v="1-1436544-2" u="1"/>
        <s v="1-1436728-2" u="1"/>
        <s v="1-1452718-2" u="1"/>
        <s v="1-1424452-2" u="1"/>
        <s v="1-1440626-2" u="1"/>
        <s v="1-1444235-4" u="1"/>
        <s v="1-1448444-3" u="1"/>
        <s v="1-1448460-2" u="1"/>
        <s v="1-1442127-1" u="1"/>
        <s v="1-1446044-1" u="1"/>
        <s v="10-1437005-2" u="1"/>
        <s v="1-1431099-2" u="1"/>
        <s v="1-1432451-2" u="1"/>
        <s v="1-1432727-2" u="1"/>
        <s v="1-1436552-2" u="1"/>
        <s v="1-1436644-2" u="1"/>
        <s v="1-1433892-11" u="1"/>
        <s v="1-1434028-2" u="1"/>
        <s v="1-1440926-1" u="1"/>
        <s v="1-1443199-2" u="1"/>
        <s v="1-1444119-6" u="1"/>
        <s v="1-1444827-2" u="1"/>
        <s v="1-1433399-5" u="1"/>
        <s v="1-1442027-2" u="1"/>
        <s v="1-1446036-2" u="1"/>
        <s v="1-1446144-1" u="1"/>
        <s v="12-1431708-3" u="1"/>
        <s v="1-1432151-4" u="1"/>
        <s v="1-1432551-2" u="1"/>
        <s v="1-1436744-2" u="1"/>
        <s v="1-1452826-2" u="1"/>
        <s v="1-1450118-2" u="1"/>
        <s v="1-1450318-1" u="1"/>
        <s v="1-1440642-2" u="1"/>
        <s v="1-1448444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52726-3" u="1"/>
        <s v="1-1438237-2" u="1"/>
        <s v="1-1445999-3" u="1"/>
        <s v="1-1450050-1" u="1"/>
        <s v="1-1428729-4" u="1"/>
        <s v="1-1440650-2" u="1"/>
        <s v="1-1444119-7" u="1"/>
        <s v="1-1444751-2" u="1"/>
        <s v="1-1448852-2" u="1"/>
        <s v="1-1442319-2" u="1"/>
        <s v="1-1446036-3" u="1"/>
        <s v="1-1443648-12" u="1"/>
        <s v="1-1432935-2" u="1"/>
        <s v="1-1436760-2" u="1"/>
        <s v="1-1430227-2" u="1"/>
        <s v="1-1438445-1" u="1"/>
        <s v="1-1454051-2" u="1"/>
        <s v="1-1454127-3" u="1"/>
        <s v="1-1440950-1" u="1"/>
        <s v="1-1443499-2" u="1"/>
        <s v="1-1448444-5" u="1"/>
        <s v="1-1448828-4" u="1"/>
        <s v="1-1448952-2" u="1"/>
        <s v="1-1448481-16" u="1"/>
        <s v="1-1446228-3" u="1"/>
        <s v="1-1443696-10" u="1"/>
        <s v="1-1452850-2" u="1"/>
        <s v="1-1430051-2" u="1"/>
        <s v="1-1430219-3" u="1"/>
        <s v="1-1434152-2" u="1"/>
        <s v="1-1445799-5" u="1"/>
        <s v="1-1440742-3" u="1"/>
        <s v="1-1440942-2" u="1"/>
        <s v="1-1444119-8" u="1"/>
        <s v="1-1444935-3" u="1"/>
        <s v="1-1446036-4" u="1"/>
        <s v="1-1434252-2" u="1"/>
        <s v="1-1434528-2" u="1"/>
        <s v="1-1438353-2" u="1"/>
        <s v="1-1440008-10" u="1"/>
        <s v="1-1428753-4" u="1"/>
        <s v="1-1443499-3" u="1"/>
        <s v="1-1436460-5" u="1"/>
        <s v="1-1448129-1" u="1"/>
        <s v="1-1430051-3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8153-4" u="1"/>
        <s v="1-1438553-2" u="1"/>
        <s v="1-1454327-4" u="1"/>
        <s v="1-1440008-20" u="1"/>
        <s v="1-1443499-4" u="1"/>
        <s v="1-1452127-1" u="1"/>
        <s v="12-1448940-4" u="1"/>
        <s v="1-1430642-9" u="1"/>
        <s v="1-1442819-2" u="1"/>
        <s v="1-1446028-6" u="1"/>
        <s v="1-1446152-4" u="1"/>
        <s v="1-1446536-3" u="1"/>
        <s v="1-1446552-2" u="1"/>
        <s v="1-1446644-2" u="1"/>
        <s v="1-1443696-30" u="1"/>
        <s v="1-1440127-1" u="1"/>
        <s v="1-1448037-2" u="1"/>
        <s v="1-1430819-2" u="1"/>
        <s v="1-1434460-2" u="1"/>
        <s v="1-1434644-2" u="1"/>
        <s v="1-1434828-2" u="1"/>
        <s v="1-1453199-2" u="1"/>
        <s v="1-1436037-2" u="1"/>
        <s v="1-1452119-2" u="1"/>
        <s v="1-1442827-2" u="1"/>
        <s v="1-1446036-6" u="1"/>
        <s v="1-1446836-2" u="1"/>
        <s v="1-1446928-2" u="1"/>
        <s v="1-1440119-2" u="1"/>
        <s v="1-1451998-2" u="1"/>
        <s v="1-1430919-2" u="1"/>
        <s v="1-1434744-2" u="1"/>
        <s v="1-1434852-1" u="1"/>
        <s v="1-1438153-5" u="1"/>
        <s v="1-1438553-3" u="1"/>
        <s v="1-1438753-2" u="1"/>
        <s v="12-1441306-1" u="1"/>
        <s v="1-1452219-2" u="1"/>
        <s v="1-1442619-4" u="1"/>
        <s v="1-1446752-2" u="1"/>
        <s v="1-1446936-2" u="1"/>
        <s v="1-1444336-1" u="1"/>
        <s v="12-1434071-4" u="1"/>
        <s v="12-1454070-4" u="1"/>
        <s v="1-1430451-3" u="1"/>
        <s v="1-1452119-3" u="1"/>
        <s v="1-1452227-2" u="1"/>
        <s v="1-1452319-2" u="1"/>
        <s v="12-1434071-17" u="1"/>
        <s v="1-1442751-2" u="1"/>
        <s v="1-1446344-5" u="1"/>
        <s v="1-1444236-2" u="1"/>
        <s v="1-1444252-1" u="1"/>
        <s v="1-1448229-3" u="1"/>
        <s v="1-1448537-1" u="1"/>
        <s v="1-1448629-1" u="1"/>
        <s v="1-1430551-3" u="1"/>
        <s v="1-1430827-3" u="1"/>
        <s v="1-1434560-3" u="1"/>
        <s v="1-1438153-6" u="1"/>
        <s v="1-1443499-6" u="1"/>
        <s v="1-1452143-2" u="1"/>
        <s v="1-1442619-5" u="1"/>
        <s v="1-1442943-2" u="1"/>
        <s v="1-1432141-20" u="1"/>
        <s v="1-1444244-2" u="1"/>
        <s v="1-1448437-2" u="1"/>
        <s v="1-1434660-3" u="1"/>
        <s v="1-1452119-4" u="1"/>
        <s v="1-1452243-2" u="1"/>
        <s v="1-1452319-3" u="1"/>
        <s v="1-1437654-13" u="1"/>
        <s v="12-1434071-25" u="1"/>
        <s v="1-1428738-1" u="1"/>
        <s v="1-1448445-2" u="1"/>
        <s v="1-1440008-18" u="1"/>
        <s v="1-1432160-2" u="1"/>
        <s v="1-1432252-2" u="1"/>
        <s v="1-1432528-2" u="1"/>
        <s v="1-1436153-3" u="1"/>
        <s v="1-1452143-3" u="1"/>
        <s v="1-1452251-2" u="1"/>
        <s v="1-1443696-28" u="1"/>
        <s v="1-1434029-1" u="1"/>
        <s v="1-1442619-6" u="1"/>
        <s v="1-1446844-4" u="1"/>
        <s v="1-1440251-2" u="1"/>
        <s v="1-1448361-2" u="1"/>
        <s v="10-1447735-2" u="1"/>
        <s v="1-1430835-4" u="1"/>
        <s v="12-1452185-4" u="1"/>
        <s v="1-1452119-5" u="1"/>
        <s v="1-1452319-4" u="1"/>
        <s v="1-1452351-2" u="1"/>
        <s v="1-1452627-2" u="1"/>
        <s v="1-1452827-1" u="1"/>
        <s v="1-1437654-23" u="1"/>
        <s v="1-1434037-1" u="1"/>
        <s v="1-1440627-2" u="1"/>
        <s v="1-1448461-2" u="1"/>
        <s v="1-1448829-2" u="1"/>
        <s v="10-1446803-2" u="1"/>
        <s v="1-1438153-8" u="1"/>
        <s v="1-1446045-1" u="1"/>
        <s v="1-1453899-2" u="1"/>
        <s v="12-1433386-3" u="1"/>
        <s v="1-1432452-2" u="1"/>
        <s v="1-1432544-2" u="1"/>
        <s v="1-1436737-2" u="1"/>
        <s v="1-1452143-4" u="1"/>
        <s v="1-1446206-11" u="1"/>
        <s v="1-1434029-2" u="1"/>
        <s v="1-1438038-2" u="1"/>
        <s v="1-1424737-2" u="1"/>
        <s v="1-1440651-1" u="1"/>
        <s v="1-1440819-2" u="1"/>
        <s v="1-1440927-1" u="1"/>
        <s v="12-1437603-3" u="1"/>
        <s v="1-1446037-2" u="1"/>
        <s v="1-1432060-4" u="1"/>
        <s v="1-1432552-2" u="1"/>
        <s v="1-1436653-2" u="1"/>
        <s v="1-1436745-2" u="1"/>
        <s v="1-1452319-5" u="1"/>
        <s v="1-1434037-2" u="1"/>
        <s v="1-1440551-2" u="1"/>
        <s v="1-1440643-2" u="1"/>
        <s v="1-1444652-2" u="1"/>
        <s v="13-1429987-2" u="1"/>
        <s v="1-1438153-9" u="1"/>
        <s v="1-1440820-11" u="1"/>
        <s v="12-1431614-3" u="1"/>
        <s v="12-1453929-2" u="1"/>
        <s v="1-1432560-2" u="1"/>
        <s v="1-1432928-2" u="1"/>
        <s v="1-1436937-2" u="1"/>
        <s v="1-1452651-2" u="1"/>
        <s v="1-1432141-18" u="1"/>
        <s v="1-1446334-10" u="1"/>
        <s v="10-1430002-2" u="1"/>
        <s v="1-1434061-1" u="1"/>
        <s v="1-1438146-2" u="1"/>
        <s v="1-1438238-2" u="1"/>
        <s v="1-1442619-8" u="1"/>
        <s v="1-1454136-2" u="1"/>
        <s v="1-1440743-2" u="1"/>
        <s v="1-1444552-3" u="1"/>
        <s v="1-1444644-3" u="1"/>
        <s v="1-1444752-2" u="1"/>
        <s v="1-1448945-2" u="1"/>
        <s v="10-1435991-3" u="1"/>
        <s v="1-1446037-3" u="1"/>
        <s v="1-1446329-2" u="1"/>
        <s v="12-1453917-2" u="1"/>
        <s v="1-1436853-2" u="1"/>
        <s v="1-1436945-2" u="1"/>
        <s v="1-1452643-3" u="1"/>
        <s v="1-1452751-2" u="1"/>
        <s v="1-1430044-2" u="1"/>
        <s v="1-1434037-3" u="1"/>
        <s v="1-1450135-2" u="1"/>
        <s v="1-1454144-2" u="1"/>
        <s v="1-1424945-2" u="1"/>
        <s v="1-1440643-3" u="1"/>
        <s v="1-1440843-2" u="1"/>
        <s v="1-1444744-3" u="1"/>
        <s v="1-1450608-10" u="1"/>
        <s v="1-1443697-10" u="1"/>
        <s v="10-1447494-2" u="1"/>
        <s v="1-1452819-4" u="1"/>
        <s v="13-1430241-2" u="1"/>
        <s v="1-1430052-2" u="1"/>
        <s v="1-1430236-2" u="1"/>
        <s v="1-1438070-2" u="1"/>
        <s v="1-1442619-9" u="1"/>
        <s v="1-1450219-3" u="1"/>
        <s v="1-1450343-1" u="1"/>
        <s v="12-1430794-10" u="1"/>
        <s v="1-1440727-4" u="1"/>
        <s v="1-1444936-3" u="1"/>
        <s v="1-1440728-17" u="1"/>
        <s v="1-1446345-2" u="1"/>
        <s v="1-1432752-3" u="1"/>
        <s v="1-1430044-3" u="1"/>
        <s v="1-1434037-4" u="1"/>
        <s v="1-1434129-4" u="1"/>
        <s v="1-1434529-2" u="1"/>
        <s v="1-1450151-2" u="1"/>
        <s v="1-1435562-13" u="1"/>
        <s v="1-1440643-4" u="1"/>
        <s v="1-1440843-3" u="1"/>
        <s v="1-1440951-2" u="1"/>
        <s v="1-1442236-3" u="1"/>
        <s v="1-1442544-1" u="1"/>
        <s v="1-1446261-2" u="1"/>
        <s v="1-1443697-20" u="1"/>
        <s v="12-1436642-2" u="1"/>
        <s v="1-1451499-3" u="1"/>
        <s v="1-1451699-2" u="1"/>
        <s v="12-1431493-2" u="1"/>
        <s v="12-1446133-1" u="1"/>
        <s v="1-1430052-3" u="1"/>
        <s v="1-1434537-2" u="1"/>
        <s v="1-1438362-2" u="1"/>
        <s v="1-1454060-3" u="1"/>
        <s v="1-1454260-2" u="1"/>
        <s v="1-1440727-5" u="1"/>
        <s v="1-1448961-3" u="1"/>
        <s v="11-1439911-3" u="1"/>
        <s v="12-1429467-7" u="1"/>
        <s v="1-1442244-3" u="1"/>
        <s v="1-1446345-3" u="1"/>
        <s v="1-1446637-2" u="1"/>
        <s v="1-1452135-8" u="1"/>
        <s v="1-1430044-4" u="1"/>
        <s v="1-1430336-3" u="1"/>
        <s v="1-1434637-2" u="1"/>
        <s v="1-1434729-2" u="1"/>
        <s v="1-1434837-1" u="1"/>
        <s v="1-1440643-5" u="1"/>
        <s v="1-1442836-1" u="1"/>
        <s v="1-1444029-2" u="1"/>
        <s v="1-1448038-2" u="1"/>
        <s v="1-1430052-4" u="1"/>
        <s v="1-1434461-2" u="1"/>
        <s v="1-1438362-3" u="1"/>
        <s v="1-1438470-2" u="1"/>
        <s v="1-1438654-2" u="1"/>
        <s v="1-1440727-6" u="1"/>
        <s v="1-1442644-2" u="1"/>
        <s v="1-1446345-4" u="1"/>
        <s v="1-1446929-2" u="1"/>
        <s v="1-1448138-2" u="1"/>
        <s v="1-1451999-2" u="1"/>
        <s v="1-1452643-6" u="1"/>
        <s v="1-1430044-5" u="1"/>
        <s v="1-1430552-2" u="1"/>
        <s v="1-1434545-3" u="1"/>
        <s v="1-1434637-3" u="1"/>
        <s v="1-1438170-4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4461-3" u="1"/>
        <s v="1-1438362-4" u="1"/>
        <s v="1-1438762-2" u="1"/>
        <s v="1-1438946-2" u="1"/>
        <s v="1-1440727-7" u="1"/>
        <s v="1-1422937-2" u="1"/>
        <s v="1-1442752-2" u="1"/>
        <s v="1-1446345-5" u="1"/>
        <s v="1-1446761-2" u="1"/>
        <s v="1-1440228-2" u="1"/>
        <s v="1-1444037-3" u="1"/>
        <s v="1-1444237-2" u="1"/>
        <s v="1-1444345-1" u="1"/>
        <s v="1-1434637-4" u="1"/>
        <s v="1-1432529-1" u="1"/>
        <s v="1-1452160-1" u="1"/>
        <s v="1-1422145-6" u="1"/>
        <s v="1-1442652-3" u="1"/>
        <s v="1-1442852-2" u="1"/>
        <s v="1-1444153-2" u="1"/>
        <s v="1-1444429-2" u="1"/>
        <s v="1-1448438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32345-2" u="1"/>
        <s v="1-1436370-1" u="1"/>
        <s v="1-1422145-7" u="1"/>
        <s v="1-1440328-3" u="1"/>
        <s v="1-1448454-2" u="1"/>
        <s v="1-1429656-23" u="1"/>
        <s v="1-1429988-11" u="1"/>
        <s v="10-1447929-2" u="1"/>
        <s v="1-1434461-5" u="1"/>
        <s v="1-1436362-2" u="1"/>
        <s v="1-1440727-9" u="1"/>
        <s v="1-1452444-2" u="1"/>
        <s v="1-1452628-2" u="1"/>
        <s v="1-1452828-1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41280-3" u="1"/>
        <s v="1-1432345-3" u="1"/>
        <s v="1-1432361-2" u="1"/>
        <s v="1-1432637-2" u="1"/>
        <s v="1-1436154-4" u="1"/>
        <s v="1-1436462-2" u="1"/>
        <s v="1-1440643-9" u="1"/>
        <s v="1-1452728-2" u="1"/>
        <s v="1-1437791-12" u="1"/>
        <s v="1-1422145-8" u="1"/>
        <s v="1-1428271-3" u="1"/>
        <s v="1-1440928-1" u="1"/>
        <s v="1-1444645-2" u="1"/>
        <s v="1-1434461-6" u="1"/>
        <s v="1-1442029-2" u="1"/>
        <s v="1-1432461-2" u="1"/>
        <s v="1-1436654-2" u="1"/>
        <s v="1-1452628-3" u="1"/>
        <s v="1-1452644-2" u="1"/>
        <s v="1-1434038-2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762-2" u="1"/>
        <s v="1-1434461-7" u="1"/>
        <s v="1-1446146-2" u="1"/>
        <s v="1-1432629-4" u="1"/>
        <s v="1-1432661-2" u="1"/>
        <s v="1-1436762-2" u="1"/>
        <s v="1-1452628-4" u="1"/>
        <s v="1-1430045-2" u="1"/>
        <s v="1-1438063-2" u="1"/>
        <s v="1-1450136-2" u="1"/>
        <s v="1-1454053-2" u="1"/>
        <s v="1-1440660-2" u="1"/>
        <s v="1-1444761-2" u="1"/>
        <s v="1-1446154-2" u="1"/>
        <s v="1-1450151-9" u="1"/>
        <s v="1-1432545-4" u="1"/>
        <s v="1-1432637-4" u="1"/>
        <s v="1-1432761-2" u="1"/>
        <s v="1-1432945-2" u="1"/>
        <s v="1-1452744-3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52860-2" u="1"/>
        <s v="1-1430045-3" u="1"/>
        <s v="1-1430061-2" u="1"/>
        <s v="1-1430337-2" u="1"/>
        <s v="1-1430429-2" u="1"/>
        <s v="1-1434254-2" u="1"/>
        <s v="1-1440660-3" u="1"/>
        <s v="1-1442237-3" u="1"/>
        <s v="1-1442329-3" u="1"/>
        <s v="1-1442437-2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42629-2" u="1"/>
        <s v="10-1447928-2" u="1"/>
        <s v="1-1430261-2" u="1"/>
        <s v="1-1430445-2" u="1"/>
        <s v="1-1434054-4" u="1"/>
        <s v="1-1434638-2" u="1"/>
        <s v="1-1440660-4" u="1"/>
        <s v="1-1440860-3" u="1"/>
        <s v="1-1444961-3" u="1"/>
        <s v="1-1442729-2" u="1"/>
        <s v="1-1446738-2" u="1"/>
        <s v="1-1432345-7" u="1"/>
        <s v="1-1432761-4" u="1"/>
        <s v="1-1440037-1" u="1"/>
        <s v="1-1430145-4" u="1"/>
        <s v="1-1430837-1" u="1"/>
        <s v="1-1434170-3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660-5" u="1"/>
        <s v="1-1440860-4" u="1"/>
        <s v="1-1442837-2" u="1"/>
        <s v="1-1442853-1" u="1"/>
        <s v="1-1446754-2" u="1"/>
        <s v="1-1432345-8" u="1"/>
        <s v="1-1436938-6" u="1"/>
        <s v="1-1444046-2" u="1"/>
        <s v="1-1448055-2" u="1"/>
        <s v="12-1431807-3" u="1"/>
        <s v="1-1430145-5" u="1"/>
        <s v="1-1434170-4" u="1"/>
        <s v="1-1434570-2" u="1"/>
        <s v="1-1434754-2" u="1"/>
        <s v="1-1438763-2" u="1"/>
        <s v="10-1454058-2" u="1"/>
        <s v="1-1440728-7" u="1"/>
        <s v="1-1452229-2" u="1"/>
        <s v="1-1442753-2" u="1"/>
        <s v="1-1446638-4" u="1"/>
        <s v="1-1440029-3" u="1"/>
        <s v="1-1448447-1" u="1"/>
        <s v="11-1431767-4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2-1445058-2" u="1"/>
        <s v="1-1440660-6" u="1"/>
        <s v="1-1452053-2" u="1"/>
        <s v="1-1440237-2" u="1"/>
        <s v="1-1448347-2" u="1"/>
        <s v="1-1448439-2" u="1"/>
        <s v="12-1453330-4" u="1"/>
        <s v="1-1430145-6" u="1"/>
        <s v="1-1430945-2" u="1"/>
        <s v="1-1434170-5" u="1"/>
        <s v="1-1434662-3" u="1"/>
        <s v="1-1436071-2" u="1"/>
        <s v="1-1436347-2" u="1"/>
        <s v="1-1440728-8" u="1"/>
        <s v="1-1452337-2" u="1"/>
        <s v="12-1434071-26" u="1"/>
        <s v="1-1444546-1" u="1"/>
        <s v="1-1448171-2" u="1"/>
        <s v="1-1430261-5" u="1"/>
        <s v="1-1430445-5" u="1"/>
        <s v="1-1430829-4" u="1"/>
        <s v="1-1434070-6" u="1"/>
        <s v="1-1434470-4" u="1"/>
        <s v="13-1432354-2" u="1"/>
        <s v="1-1432254-2" u="1"/>
        <s v="1-1432438-2" u="1"/>
        <s v="1-1439300-1" u="1"/>
        <s v="1-1442961-2" u="1"/>
        <s v="1-1446846-4" u="1"/>
        <s v="1-1428748-1" u="1"/>
        <s v="1-1440253-2" u="1"/>
        <s v="1-1440329-3" u="1"/>
        <s v="1-1444246-3" u="1"/>
        <s v="1-1448071-3" u="1"/>
        <s v="1-1448455-2" u="1"/>
        <s v="10-1429688-2" u="1"/>
        <s v="12-1437755-2" u="1"/>
        <s v="1-1430961-2" u="1"/>
        <s v="1-1434954-3" u="1"/>
        <s v="1-1432446-2" u="1"/>
        <s v="1-1432538-2" u="1"/>
        <s v="1-1436563-1" u="1"/>
        <s v="1-1452629-2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52637-2" u="1"/>
        <s v="1-1446024-11" u="1"/>
        <s v="1-1442929-5" u="1"/>
        <s v="1-1440453-2" u="1"/>
        <s v="1-1440637-2" u="1"/>
        <s v="1-1444554-2" u="1"/>
        <s v="1-1444646-2" u="1"/>
        <s v="1-1448455-3" u="1"/>
        <s v="1-1448655-2" u="1"/>
        <s v="1-1434970-3" u="1"/>
        <s v="12-1453577-3" u="1"/>
        <s v="1-1432554-2" u="1"/>
        <s v="1-1432738-2" u="1"/>
        <s v="1-1436655-2" u="1"/>
        <s v="1-1436855-1" u="1"/>
        <s v="1-1452645-2" u="1"/>
        <s v="1-1452737-2" u="1"/>
        <s v="1-1432379-15" u="1"/>
        <s v="1-1434039-2" u="1"/>
        <s v="1-1440553-2" u="1"/>
        <s v="1-1444146-5" u="1"/>
        <s v="1-1444454-3" u="1"/>
        <s v="1-1444654-2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50053-1" u="1"/>
        <s v="1-1450129-2" u="1"/>
        <s v="1-1435376-12" u="1"/>
        <s v="1-1440653-2" u="1"/>
        <s v="1-1448455-4" u="1"/>
        <s v="1-1448655-3" u="1"/>
        <s v="1-1448855-2" u="1"/>
        <s v="1-1446147-2" u="1"/>
        <s v="12-1449222-1" u="1"/>
        <s v="1-1432846-2" u="1"/>
        <s v="1-1436763-2" u="1"/>
        <s v="1-1436947-2" u="1"/>
        <s v="1-1452645-3" u="1"/>
        <s v="1-1452845-2" u="1"/>
        <s v="10-1431206-2" u="1"/>
        <s v="1-1430046-2" u="1"/>
        <s v="1-1434039-3" u="1"/>
        <s v="1-1434147-2" u="1"/>
        <s v="1-1438064-2" u="1"/>
        <s v="1-1438080-1" u="1"/>
        <s v="1-1454146-2" u="1"/>
        <s v="1-1454238-2" u="1"/>
        <s v="1-1440661-2" u="1"/>
        <s v="1-1440753-2" u="1"/>
        <s v="1-1444946-2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52853-2" u="1"/>
        <s v="1-1436464-17" u="1"/>
        <s v="1-1442619-10" u="1"/>
        <s v="1-1438072-2" u="1"/>
        <s v="1-1450145-2" u="1"/>
        <s v="1-1454154-2" u="1"/>
        <s v="1-1454246-2" u="1"/>
        <s v="1-1429900-5" u="1"/>
        <s v="1-1440653-3" u="1"/>
        <s v="1-1448455-5" u="1"/>
        <s v="1-1448655-4" u="1"/>
        <s v="1-1436871-2" u="1"/>
        <s v="1-1452661-3" u="1"/>
        <s v="13-1431461-1" u="1"/>
        <s v="1-1434039-4" u="1"/>
        <s v="1-1438264-2" u="1"/>
        <s v="1-1435544-14" u="1"/>
        <s v="1-1440953-2" u="1"/>
        <s v="1-1422147-3" u="1"/>
        <s v="1-1442162-2" u="1"/>
        <s v="1-1452561-4" u="1"/>
        <s v="1-1436464-27" u="1"/>
        <s v="13-1453180-2" u="1"/>
        <s v="1-1434371-1" u="1"/>
        <s v="1-1434539-2" u="1"/>
        <s v="1-1454170-2" u="1"/>
        <s v="1-1454354-2" u="1"/>
        <s v="1-1435552-14" u="1"/>
        <s v="1-1440653-4" u="1"/>
        <s v="1-1448655-5" u="1"/>
        <s v="1-1446547-2" u="1"/>
        <s v="1-1446639-2" u="1"/>
        <s v="10-1429687-2" u="1"/>
        <s v="12-1444101-2" u="1"/>
        <s v="1-1430046-4" u="1"/>
        <s v="1-1430446-2" u="1"/>
        <s v="1-1434639-2" u="1"/>
        <s v="1-1438264-3" u="1"/>
        <s v="1-1438372-2" u="1"/>
        <s v="1-1438556-2" u="1"/>
        <s v="1-1440029-9" u="1"/>
        <s v="1-1440661-4" u="1"/>
        <s v="1-1444654-5" u="1"/>
        <s v="1-1444962-3" u="1"/>
        <s v="1-1422147-4" u="1"/>
        <s v="1-1452690-16" u="1"/>
        <s v="1-1454170-3" u="1"/>
        <s v="1-1448217-11" u="1"/>
        <s v="1-1440653-5" u="1"/>
        <s v="12-1431970-8" u="1"/>
        <s v="1-1442646-2" u="1"/>
        <s v="1-1446747-2" u="1"/>
        <s v="12-1438142-5" u="1"/>
        <s v="1-1444039-2" u="1"/>
        <s v="10-1440617-4" u="1"/>
        <s v="1-1430046-5" u="1"/>
        <s v="1-1430446-3" u="1"/>
        <s v="1-1430462-2" u="1"/>
        <s v="1-1430554-2" u="1"/>
        <s v="1-1434471-2" u="1"/>
        <s v="1-1438264-4" u="1"/>
        <s v="1-1438572-2" u="1"/>
        <s v="1-1448317-11" u="1"/>
        <s v="12-1435918-14" u="1"/>
        <s v="1-1424963-4" u="1"/>
        <s v="1-1436048-2" u="1"/>
        <s v="1-1444654-6" u="1"/>
        <s v="1-1422147-5" u="1"/>
        <s v="1-1442746-2" u="1"/>
        <s v="1-1434755-2" u="1"/>
        <s v="1-1438764-2" u="1"/>
        <s v="1-1450729-3" u="1"/>
        <s v="1-1437500-2" u="1"/>
        <s v="1-1440653-6" u="1"/>
        <s v="1-1442262-4" u="1"/>
        <s v="1-1442754-2" u="1"/>
        <s v="1-1446747-3" u="1"/>
        <s v="1-1446947-2" u="1"/>
        <s v="12-1431621-3" u="1"/>
        <s v="12-1452724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49700-2" u="1"/>
        <s v="1-1429658-13" u="1"/>
        <s v="1-1430854-2" u="1"/>
        <s v="1-1434955-2" u="1"/>
        <s v="1-1438980-1" u="1"/>
        <s v="10-1435149-2" u="1"/>
        <s v="1-1432155-2" u="1"/>
        <s v="1-1452246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-1430862-2" u="1"/>
        <s v="1-1430954-2" u="1"/>
        <s v="1-1434855-3" u="1"/>
        <s v="1-1438264-6" u="1"/>
        <s v="1-1432439-2" u="1"/>
        <s v="1-1436264-2" u="1"/>
        <s v="1-1436280-1" u="1"/>
        <s v="1-1452346-2" u="1"/>
        <s v="1-1442946-3" u="1"/>
        <s v="1-1446955-3" u="1"/>
        <s v="1-1429901-2" u="1"/>
        <s v="1-1444371-1" u="1"/>
        <s v="1-1448072-3" u="1"/>
        <s v="1-1448348-3" u="1"/>
        <s v="1-1448364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52370-1" u="1"/>
        <s v="1-1452538-2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6048-1" u="1"/>
        <s v="1-1447200-2" u="1"/>
        <s v="10-1441084-5" u="1"/>
        <s v="11-1444180-2" u="1"/>
        <s v="1-1432547-2" u="1"/>
        <s v="1-1436264-3" u="1"/>
        <s v="1-1436372-2" u="1"/>
        <s v="1-1452438-3" u="1"/>
        <s v="1-1439301-2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52554-2" u="1"/>
        <s v="1-1452738-2" u="1"/>
        <s v="1-1450138-1" u="1"/>
        <s v="1-1444071-4" u="1"/>
        <s v="1-1444455-3" u="1"/>
        <s v="1-1444563-2" u="1"/>
        <s v="1-1448480-2" u="1"/>
        <s v="1-1448664-2" u="1"/>
        <s v="13-1446980-2" u="1"/>
        <s v="1-1434855-5" u="1"/>
        <s v="10-1443176-5" u="1"/>
        <s v="12-1432672-2" u="1"/>
        <s v="12-1433668-3" u="1"/>
        <s v="1-1432839-2" u="1"/>
        <s v="1-1436664-2" u="1"/>
        <s v="1-1452746-2" u="1"/>
        <s v="1-1433892-12" u="1"/>
        <s v="1-1446113-12" u="1"/>
        <s v="1-1430039-2" u="1"/>
        <s v="1-1439501-2" u="1"/>
        <s v="1-1440654-2" u="1"/>
        <s v="1-1444663-2" u="1"/>
        <s v="1-1448472-3" u="1"/>
        <s v="1-1448948-2" u="1"/>
        <s v="1-1438980-4" u="1"/>
        <s v="1-1446148-2" u="1"/>
        <s v="1-1447500-2" u="1"/>
        <s v="1-1432447-4" u="1"/>
        <s v="1-1432847-2" u="1"/>
        <s v="1-1436948-2" u="1"/>
        <s v="1-1452738-3" u="1"/>
        <s v="1-1430047-2" u="1"/>
        <s v="1-1435100-4" u="1"/>
        <s v="1-1438157-2" u="1"/>
        <s v="1-1454439-1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-1452854-2" u="1"/>
        <s v="12-1442415-1" u="1"/>
        <s v="1-1430039-3" u="1"/>
        <s v="1-1430055-2" u="1"/>
        <s v="1-1435600-2" u="1"/>
        <s v="1-1440654-3" u="1"/>
        <s v="1-1444955-2" u="1"/>
        <s v="1-1448764-3" u="1"/>
        <s v="1-1448948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52738-4" u="1"/>
        <s v="1-1430047-3" u="1"/>
        <s v="1-1430063-2" u="1"/>
        <s v="1-1430339-2" u="1"/>
        <s v="1-1435700-2" u="1"/>
        <s v="1-1454239-3" u="1"/>
        <s v="1-1448481-17" u="1"/>
        <s v="1-1442547-1" u="1"/>
        <s v="1-1446648-1" u="1"/>
        <s v="1-1443788-11" u="1"/>
        <s v="11-1429537-2" u="1"/>
        <s v="1-1436264-6" u="1"/>
        <s v="1-1436464-5" u="1"/>
        <s v="1-1452870-2" u="1"/>
        <s v="1-1438273-2" u="1"/>
        <s v="1-1440654-4" u="1"/>
        <s v="1-1440870-2" u="1"/>
        <s v="1-1440946-3" u="1"/>
        <s v="1-1444955-3" u="1"/>
        <s v="1-1444971-2" u="1"/>
        <s v="1-1448948-4" u="1"/>
        <s v="1-1448980-2" u="1"/>
        <s v="1-1444888-15" u="1"/>
        <s v="1-1442447-2" u="1"/>
        <s v="1-1446364-2" u="1"/>
        <s v="1-1432139-8" u="1"/>
        <s v="1-1432447-6" u="1"/>
        <s v="1-1432971-2" u="1"/>
        <s v="1-1445100-2" u="1"/>
        <s v="1-1452738-5" u="1"/>
        <s v="1-1452970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46372-2" u="1"/>
        <s v="1-1446664-1" u="1"/>
        <s v="10-1429685-2" u="1"/>
        <s v="10-1448672-2" u="1"/>
        <s v="1-1436264-7" u="1"/>
        <s v="1-1436464-6" u="1"/>
        <s v="1-1445000-3" u="1"/>
        <s v="1-1430055-4" u="1"/>
        <s v="1-1430547-2" u="1"/>
        <s v="1-1434372-2" u="1"/>
        <s v="1-1434464-2" u="1"/>
        <s v="1-1434480-1" u="1"/>
        <s v="1-1438257-4" u="1"/>
        <s v="1-1450346-3" u="1"/>
        <s v="1-1440654-5" u="1"/>
        <s v="1-1444955-4" u="1"/>
        <s v="1-1448472-6" u="1"/>
        <s v="1-1448948-5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52738-6" u="1"/>
        <s v="1-1430555-2" u="1"/>
        <s v="1-1434380-2" u="1"/>
        <s v="1-1434472-2" u="1"/>
        <s v="1-1438573-2" u="1"/>
        <s v="1-1442747-2" u="1"/>
        <s v="1-1436264-8" u="1"/>
        <s v="1-1436464-7" u="1"/>
        <s v="1-1430039-6" u="1"/>
        <s v="1-1430055-5" u="1"/>
        <s v="1-1430563-2" u="1"/>
        <s v="1-1430839-2" u="1"/>
        <s v="1-1434848-2" u="1"/>
        <s v="1-1435800-4" u="1"/>
        <s v="1-1438073-5" u="1"/>
        <s v="1-1450438-4" u="1"/>
        <s v="1-1454371-3" u="1"/>
        <s v="12-1444078-2" u="1"/>
        <s v="12-1444186-1" u="1"/>
        <s v="1-1436057-2" u="1"/>
        <s v="1-1440654-6" u="1"/>
        <s v="1-1448948-6" u="1"/>
        <s v="12-1434071-19" u="1"/>
        <s v="1-1427701-5" u="1"/>
        <s v="1-1442847-2" u="1"/>
        <s v="1-1442939-2" u="1"/>
        <s v="1-1446764-2" u="1"/>
        <s v="1-1446964-1" u="1"/>
        <s v="1-1448065-2" u="1"/>
        <s v="1-1452738-7" u="1"/>
        <s v="13-1438283-2" u="1"/>
        <s v="1-1430847-2" u="1"/>
        <s v="1-1438773-2" u="1"/>
        <s v="1-1424964-5" u="1"/>
        <s v="1-1436081-1" u="1"/>
        <s v="1-1436157-2" u="1"/>
        <s v="1-1452239-2" u="1"/>
        <s v="1-1442747-3" u="1"/>
        <s v="1-1446956-2" u="1"/>
        <s v="1-1446972-1" u="1"/>
        <s v="1-1429610-2" u="1"/>
        <s v="1-1436464-8" u="1"/>
        <s v="1-1448057-3" u="1"/>
        <s v="1-1448349-2" u="1"/>
        <s v="12-1434071-5" u="1"/>
        <s v="1-1430039-7" u="1"/>
        <s v="1-1430055-6" u="1"/>
        <s v="1-1430855-2" u="1"/>
        <s v="1-1450438-5" u="1"/>
        <s v="1-1432048-3" u="1"/>
        <s v="1-1433600-2" u="1"/>
        <s v="1-1436073-2" u="1"/>
        <s v="1-1452139-3" u="1"/>
        <s v="1-1446872-2" u="1"/>
        <s v="1-1446964-2" u="1"/>
        <s v="1-1452628-10" u="1"/>
        <s v="1-1440247-2" u="1"/>
        <s v="1-1448449-2" u="1"/>
        <s v="1-1452738-8" u="1"/>
        <s v="1-1430955-2" u="1"/>
        <s v="1-1434948-3" u="1"/>
        <s v="1-1432072-2" u="1"/>
        <s v="1-1436357-2" u="1"/>
        <s v="1-1442747-4" u="1"/>
        <s v="1-1442947-3" u="1"/>
        <s v="1-1446972-2" u="1"/>
        <s v="1-1436464-9" u="1"/>
        <s v="1-1448457-2" u="1"/>
        <s v="1-1430039-8" u="1"/>
        <s v="1-1438073-7" u="1"/>
        <s v="1-1440728-10" u="1"/>
        <s v="1-1432448-2" u="1"/>
        <s v="1-1433800-2" u="1"/>
        <s v="1-1436457-2" u="1"/>
        <s v="1-1452263-2" u="1"/>
        <s v="1-1452355-2" u="1"/>
        <s v="1-1437654-14" u="1"/>
        <s v="1-1431000-2" u="1"/>
        <s v="1-1442971-2" u="1"/>
        <s v="1-1429910-2" u="1"/>
        <s v="1-1452738-9" u="1"/>
        <s v="1-1440008-19" u="1"/>
        <s v="10-1447947-2" u="1"/>
        <s v="12-1440790-5" u="1"/>
        <s v="12-1452197-5" u="1"/>
        <s v="13-1432718-2" u="1"/>
        <s v="1-1432072-3" u="1"/>
        <s v="1-1432348-3" u="1"/>
        <s v="1-1432548-2" u="1"/>
        <s v="1-1433700-3" u="1"/>
        <s v="1-1452563-1" u="1"/>
        <s v="1-1443696-29" u="1"/>
        <s v="1-1440547-2" u="1"/>
        <s v="1-1440639-2" u="1"/>
        <s v="1-1444372-2" u="1"/>
        <s v="1-1448457-3" u="1"/>
        <s v="10-1447935-2" u="1"/>
        <s v="10-1448671-2" u="1"/>
        <s v="1-1440728-20" u="1"/>
        <s v="12-1430670-2" u="1"/>
        <s v="12-1448238-2" u="1"/>
        <s v="1-1432372-2" u="1"/>
        <s v="1-1432556-2" u="1"/>
        <s v="1-1433400-5" u="1"/>
        <s v="1-1436473-2" u="1"/>
        <s v="1-1436565-2" u="1"/>
        <s v="1-1452371-2" u="1"/>
        <s v="1-1439402-2" u="1"/>
        <s v="1-1446672-5" u="1"/>
        <s v="1-1440647-2" u="1"/>
        <s v="1-1440663-1" u="1"/>
        <s v="1-1444564-2" u="1"/>
        <s v="1-1448481-2" u="1"/>
        <s v="1-1448665-2" u="1"/>
        <s v="1-1448849-2" u="1"/>
        <s v="1-1430209-11" u="1"/>
        <s v="10-1447323-5" u="1"/>
        <s v="1-1446049-2" u="1"/>
        <s v="1-1447401-2" u="1"/>
        <s v="13-1435362-2" u="1"/>
        <s v="1-1432272-3" u="1"/>
        <s v="1-1432364-3" u="1"/>
        <s v="1-1436757-2" u="1"/>
        <s v="1-1431100-3" u="1"/>
        <s v="1-1439502-2" u="1"/>
        <s v="1-1420564-2" u="1"/>
        <s v="1-1440947-1" u="1"/>
        <s v="1-1448457-4" u="1"/>
        <s v="1-1430963-4" u="1"/>
        <s v="1-1438073-9" u="1"/>
        <s v="1-1446149-2" u="1"/>
        <s v="10-1444786-2" u="1"/>
        <s v="1-1432448-4" u="1"/>
        <s v="1-1432848-2" u="1"/>
        <s v="1-1452371-3" u="1"/>
        <s v="1-1452739-3" u="1"/>
        <s v="1-1452939-2" u="1"/>
        <s v="1-1430064-1" u="1"/>
        <s v="1-1431400-2" u="1"/>
        <s v="1-1439510-2" u="1"/>
        <s v="1-1446964-5" u="1"/>
        <s v="1-1454148-2" u="1"/>
        <s v="1-1440647-3" u="1"/>
        <s v="1-1444672-2" u="1"/>
        <s v="1-1448481-3" u="1"/>
        <s v="1-1448881-1" u="1"/>
        <s v="1-1446049-3" u="1"/>
        <s v="1-1446157-2" u="1"/>
        <s v="1-1446449-1" u="1"/>
        <s v="1-1450338-9" u="1"/>
        <s v="1-1440820-1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54064-2" u="1"/>
        <s v="1-1454156-2" u="1"/>
        <s v="1-1448457-5" u="1"/>
        <s v="1-1448965-2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52371-4" u="1"/>
        <s v="1-1452571-3" u="1"/>
        <s v="1-1452863-2" u="1"/>
        <s v="1-1446964-6" u="1"/>
        <s v="1-1450063-2" u="1"/>
        <s v="1-1440647-4" u="1"/>
        <s v="1-1440939-3" u="1"/>
        <s v="1-1448481-4" u="1"/>
        <s v="1-1430261-10" u="1"/>
        <s v="1-1442164-2" u="1"/>
        <s v="1-1446049-4" u="1"/>
        <s v="1-1446081-2" u="1"/>
        <s v="1-1446157-3" u="1"/>
        <s v="1-1447801-2" u="1"/>
        <s v="1-1443697-11" u="1"/>
        <s v="10-1444934-2" u="1"/>
        <s v="1-1436881-2" u="1"/>
        <s v="1-1449010-2" u="1"/>
        <s v="1-1452871-2" u="1"/>
        <s v="10-1454133-2" u="1"/>
        <s v="1-1434249-3" u="1"/>
        <s v="1-1438166-3" u="1"/>
        <s v="1-1433001-2" u="1"/>
        <s v="1-1440963-2" u="1"/>
        <s v="1-1444772-3" u="1"/>
        <s v="1-1448457-6" u="1"/>
        <s v="1-1442156-3" u="1"/>
        <s v="1-1442556-1" u="1"/>
        <s v="1-1446149-4" u="1"/>
        <s v="1-1446365-2" u="1"/>
        <s v="12-1435918-3" u="1"/>
        <s v="1-1432448-6" u="1"/>
        <s v="1-1445101-2" u="1"/>
        <s v="1-1452371-5" u="1"/>
        <s v="1-1434181-2" u="1"/>
        <s v="1-1434365-2" u="1"/>
        <s v="1-1434381-1" u="1"/>
        <s v="1-1438466-2" u="1"/>
        <s v="1-1438558-2" u="1"/>
        <s v="1-1450539-2" u="1"/>
        <s v="1-1435562-14" u="1"/>
        <s v="1-1440029-10" u="1"/>
        <s v="1-1428666-5" u="1"/>
        <s v="1-1433101-2" u="1"/>
        <s v="1-1440647-5" u="1"/>
        <s v="1-1448481-5" u="1"/>
        <s v="1-1422365-2" u="1"/>
        <s v="1-1442364-2" u="1"/>
        <s v="1-1446049-5" u="1"/>
        <s v="1-1446081-3" u="1"/>
        <s v="1-1446465-2" u="1"/>
        <s v="1-1443697-21" u="1"/>
        <s v="1-1445001-3" u="1"/>
        <s v="13-1433453-2" u="1"/>
        <s v="1-1431500-4" u="1"/>
        <s v="1-1434557-2" u="1"/>
        <s v="1-1434757-1" u="1"/>
        <s v="1-1438166-4" u="1"/>
        <s v="1-1438382-2" u="1"/>
        <s v="1-1428058-9" u="1"/>
        <s v="1-1448457-7" u="1"/>
        <s v="1-1453400-1" u="1"/>
        <s v="12-1429467-8" u="1"/>
        <s v="1-1442264-3" u="1"/>
        <s v="1-1446149-5" u="1"/>
        <s v="1-1449510-1" u="1"/>
        <s v="1-1438758-2" u="1"/>
        <s v="1-1417311-2" u="1"/>
        <s v="1-1428666-6" u="1"/>
        <s v="1-1437202-3" u="1"/>
        <s v="1-1440647-6" u="1"/>
        <s v="1-1442856-1" u="1"/>
        <s v="1-1446081-4" u="1"/>
        <s v="1-1448058-2" u="1"/>
        <s v="1-1430564-2" u="1"/>
        <s v="1-1431500-5" u="1"/>
        <s v="1-1454280-3" u="1"/>
        <s v="1-1433601-1" u="1"/>
        <s v="1-1448457-8" u="1"/>
        <s v="1-1422757-2" u="1"/>
        <s v="1-1446149-6" u="1"/>
        <s v="1-1446565-3" u="1"/>
        <s v="1-1432448-8" u="1"/>
        <s v="1-1444073-1" u="1"/>
        <s v="10-1441933-2" u="1"/>
        <s v="1-1434765-2" u="1"/>
        <s v="1-1434857-2" u="1"/>
        <s v="1-1438758-3" u="1"/>
        <s v="1-1448315-12" u="1"/>
        <s v="12-1435918-23" u="1"/>
        <s v="1-1428666-7" u="1"/>
        <s v="1-1440647-7" u="1"/>
        <s v="1-1442272-4" u="1"/>
        <s v="1-1442764-2" u="1"/>
        <s v="1-1446081-5" u="1"/>
        <s v="1-1444065-2" u="1"/>
        <s v="1-1444357-1" u="1"/>
        <s v="10-1443745-3" u="1"/>
        <s v="1-1430856-2" u="1"/>
        <s v="10-1453144-2" u="1"/>
        <s v="1-1436074-2" u="1"/>
        <s v="1-1437410-3" u="1"/>
        <s v="1-1448457-9" u="1"/>
        <s v="1-1452248-2" u="1"/>
        <s v="1-1453200-4" u="1"/>
        <s v="1-1442956-2" u="1"/>
        <s v="1-1446149-7" u="1"/>
        <s v="1-1446781-2" u="1"/>
        <s v="1-1446965-2" u="1"/>
        <s v="1-1424258-2" u="1"/>
        <s v="1-1440248-2" u="1"/>
        <s v="1-1440356-1" u="1"/>
        <s v="1-1449710-2" u="1"/>
        <s v="1-1430956-2" u="1"/>
        <s v="10-1454052-2" u="1"/>
        <s v="1-1428666-8" u="1"/>
        <s v="1-1428790-6" u="1"/>
        <s v="1-1432165-2" u="1"/>
        <s v="1-1437710-2" u="1"/>
        <s v="1-1440647-8" u="1"/>
        <s v="1-1442964-2" u="1"/>
        <s v="1-1446881-2" u="1"/>
        <s v="1-1440348-2" u="1"/>
        <s v="1-1444081-2" u="1"/>
        <s v="1-1448458-2" u="1"/>
        <s v="1-1429656-14" u="1"/>
        <s v="1-1430964-2" u="1"/>
        <s v="1-1432081-2" u="1"/>
        <s v="1-1432449-2" u="1"/>
        <s v="1-1433801-2" u="1"/>
        <s v="1-1452356-2" u="1"/>
        <s v="1-1453800-2" u="1"/>
        <s v="1-1437655-14" u="1"/>
        <s v="1-1446149-8" u="1"/>
        <s v="1-1440080-2" u="1"/>
        <s v="1-1440448-2" u="1"/>
        <s v="1-1440648-1" u="1"/>
        <s v="1-1444181-2" u="1"/>
        <s v="1-1445901-2" u="1"/>
        <s v="1-1434965-3" u="1"/>
        <s v="1-1447202-2" u="1"/>
        <s v="1-1432181-2" u="1"/>
        <s v="1-1432549-2" u="1"/>
        <s v="1-1433701-3" u="1"/>
        <s v="1-1437710-3" u="1"/>
        <s v="1-1452564-1" u="1"/>
        <s v="1-1453900-2" u="1"/>
        <s v="1-1435110-2" u="1"/>
        <s v="1-1424190-2" u="1"/>
        <s v="1-1429903-3" u="1"/>
        <s v="1-1444281-2" u="1"/>
        <s v="1-1445801-3" u="1"/>
        <s v="1-1448474-2" u="1"/>
        <s v="1-1429656-24" u="1"/>
        <s v="1-1429988-12" u="1"/>
        <s v="1-1443001-3" u="1"/>
        <s v="12-1444000-3" u="1"/>
        <s v="12-1451583-3" u="1"/>
        <s v="13-1433452-2" u="1"/>
        <s v="1-1432557-2" u="1"/>
        <s v="1-1452280-2" u="1"/>
        <s v="1-1452464-2" u="1"/>
        <s v="1-1446149-9" u="1"/>
        <s v="1-1444381-2" u="1"/>
        <s v="1-1444473-2" u="1"/>
        <s v="1-1444749-2" u="1"/>
        <s v="1-1438590-5" u="1"/>
        <s v="1-1443301-2" u="1"/>
        <s v="1-1443501-1" u="1"/>
        <s v="12-1451755-3" u="1"/>
        <s v="1-1436082-4" u="1"/>
        <s v="1-1452748-2" u="1"/>
        <s v="1-1439503-2" u="1"/>
        <s v="1-1450056-1" u="1"/>
        <s v="1-1440180-3" u="1"/>
        <s v="1-1440656-2" u="1"/>
        <s v="1-1444573-2" u="1"/>
        <s v="1-1448382-3" u="1"/>
        <s v="1-1448490-2" u="1"/>
        <s v="1-1448674-2" u="1"/>
        <s v="1-1448858-2" u="1"/>
        <s v="10-1441852-2" u="1"/>
        <s v="1-1436674-2" u="1"/>
        <s v="1-1436690-1" u="1"/>
        <s v="1-1452664-2" u="1"/>
        <s v="1-1435502-2" u="1"/>
        <s v="1-1454057-2" u="1"/>
        <s v="1-1444581-2" u="1"/>
        <s v="1-1444673-2" u="1"/>
        <s v="1-1450153-10" u="1"/>
        <s v="1-1446158-2" u="1"/>
        <s v="1-1450555-7" u="1"/>
        <s v="1-1432949-2" u="1"/>
        <s v="1-1436758-3" u="1"/>
        <s v="1-1436958-2" u="1"/>
        <s v="1-1452764-2" u="1"/>
        <s v="12-1444075-2" u="1"/>
        <s v="1-1430149-2" u="1"/>
        <s v="1-1435510-2" u="1"/>
        <s v="1-1454249-2" u="1"/>
        <s v="1-1440764-2" u="1"/>
        <s v="1-1444773-2" u="1"/>
        <s v="1-1444957-2" u="1"/>
        <s v="1-1446074-2" u="1"/>
        <s v="1-1447610-2" u="1"/>
        <s v="1-1429004-2" u="1"/>
        <s v="1-1432281-4" u="1"/>
        <s v="1-1436658-4" u="1"/>
        <s v="1-1452680-2" u="1"/>
        <s v="1-1452956-2" u="1"/>
        <s v="1-1430065-2" u="1"/>
        <s v="1-1435610-2" u="1"/>
        <s v="1-1435702-2" u="1"/>
        <s v="1-1454073-2" u="1"/>
        <s v="1-1454257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949-3" u="1"/>
        <s v="1-1452856-3" u="1"/>
        <s v="1-1452948-3" u="1"/>
        <s v="1-1430057-3" u="1"/>
        <s v="1-1430149-3" u="1"/>
        <s v="1-1433002-2" u="1"/>
        <s v="1-1448474-5" u="1"/>
        <s v="1-1453001-2" u="1"/>
        <s v="1-1446074-3" u="1"/>
        <s v="1-1446366-2" u="1"/>
        <s v="1-1421002-2" u="1"/>
        <s v="1-1432681-3" u="1"/>
        <s v="1-1445102-2" u="1"/>
        <s v="1-1452480-4" u="1"/>
        <s v="1-1435810-2" u="1"/>
        <s v="1-1451800-2" u="1"/>
        <s v="1-1433010-2" u="1"/>
        <s v="1-1433102-2" u="1"/>
        <s v="1-1440664-4" u="1"/>
        <s v="1-1444381-5" u="1"/>
        <s v="1-1448482-5" u="1"/>
        <s v="1-1442257-3" u="1"/>
        <s v="1-1443701-3" u="1"/>
        <s v="1-1446082-3" u="1"/>
        <s v="1-1432781-3" u="1"/>
        <s v="1-1445002-3" u="1"/>
        <s v="1-1449503-1" u="1"/>
        <s v="1-1452980-2" u="1"/>
        <s v="1-1430257-3" u="1"/>
        <s v="1-1434482-1" u="1"/>
        <s v="1-1434558-2" u="1"/>
        <s v="1-1434758-1" u="1"/>
        <s v="1-1435602-4" u="1"/>
        <s v="1-1450456-2" u="1"/>
        <s v="1-1454281-2" u="1"/>
        <s v="1-1454373-2" u="1"/>
        <s v="1-1433110-2" u="1"/>
        <s v="1-1433202-2" u="1"/>
        <s v="1-1442281-2" u="1"/>
        <s v="1-1442757-1" u="1"/>
        <s v="1-1446074-4" u="1"/>
        <s v="1-1445010-3" u="1"/>
        <s v="1-1445210-2" u="1"/>
        <s v="1-1449403-2" u="1"/>
        <s v="13-1452714-2" u="1"/>
        <s v="1-1430465-2" u="1"/>
        <s v="1-1434182-3" u="1"/>
        <s v="1-1434474-2" u="1"/>
        <s v="1-1434674-1" u="1"/>
        <s v="10-1432179-2" u="1"/>
        <s v="1-1432058-1" u="1"/>
        <s v="1-1433502-1" u="1"/>
        <s v="1-1448482-6" u="1"/>
        <s v="1-1442273-3" u="1"/>
        <s v="1-1442657-2" u="1"/>
        <s v="1-1442949-1" u="1"/>
        <s v="1-1446082-4" u="1"/>
        <s v="10-1447932-2" u="1"/>
        <s v="1-1445110-3" u="1"/>
        <s v="1-1445310-2" u="1"/>
        <s v="1-1448059-2" u="1"/>
        <s v="12-1447207-3" u="1"/>
        <s v="12-1447515-1" u="1"/>
        <s v="12-1448035-3" u="1"/>
        <s v="1-1434390-2" u="1"/>
        <s v="1-1435802-4" u="1"/>
        <s v="1-1438583-2" u="1"/>
        <s v="1-1450180-3" u="1"/>
        <s v="1-1433402-2" u="1"/>
        <s v="1-1437503-2" u="1"/>
        <s v="1-1453401-2" u="1"/>
        <s v="1-1433339-14" u="1"/>
        <s v="1-1446074-5" u="1"/>
        <s v="1-1432139-20" u="1"/>
        <s v="1-1429604-2" u="1"/>
        <s v="1-1445410-2" u="1"/>
        <s v="1-1452680-5" u="1"/>
        <s v="1-1430665-2" u="1"/>
        <s v="1-1434182-4" u="1"/>
        <s v="1-1438264-18" u="1"/>
        <s v="12-1442246-2" u="1"/>
        <s v="1-1432258-1" u="1"/>
        <s v="1-1436067-2" u="1"/>
        <s v="1-1444981-4" u="1"/>
        <s v="1-1448482-7" u="1"/>
        <s v="1-1453501-2" u="1"/>
        <s v="1-1442857-2" u="1"/>
        <s v="1-1440149-2" u="1"/>
        <s v="1-1441501-2" u="1"/>
        <s v="1-1448075-2" u="1"/>
        <s v="1-1448167-2" u="1"/>
        <s v="1-1449703-2" u="1"/>
        <s v="10-1444967-2" u="1"/>
        <s v="1-1430257-5" u="1"/>
        <s v="1-1438767-3" u="1"/>
        <s v="1-1438783-2" u="1"/>
        <s v="1-1450348-5" u="1"/>
        <s v="1-1433602-2" u="1"/>
        <s v="1-1433710-1" u="1"/>
        <s v="1-1452249-2" u="1"/>
        <s v="1-1453601-2" u="1"/>
        <s v="1-1442773-2" u="1"/>
        <s v="1-1446874-2" u="1"/>
        <s v="1-1446966-2" u="1"/>
        <s v="1-1432139-30" u="1"/>
        <s v="1-1430573-3" u="1"/>
        <s v="1-1434182-5" u="1"/>
        <s v="1-1434690-2" u="1"/>
        <s v="1-1438975-2" u="1"/>
        <s v="11-1440554-2" u="1"/>
        <s v="1-1432074-2" u="1"/>
        <s v="1-1432258-2" u="1"/>
        <s v="1-1433702-2" u="1"/>
        <s v="1-1433810-1" u="1"/>
        <s v="1-1436175-2" u="1"/>
        <s v="1-1448482-8" u="1"/>
        <s v="1-1442673-3" u="1"/>
        <s v="1-1446866-3" u="1"/>
        <s v="1-1446974-2" u="1"/>
        <s v="1-1444266-2" u="1"/>
        <s v="1-1448091-2" u="1"/>
        <s v="1-1448275-2" u="1"/>
        <s v="1-1448459-2" u="1"/>
        <s v="1-1430057-7" u="1"/>
        <s v="1-1430873-2" u="1"/>
        <s v="1-1430949-3" u="1"/>
        <s v="1-1438767-4" u="1"/>
        <s v="1-1450348-6" u="1"/>
        <s v="10-1435139-3" u="1"/>
        <s v="1-1432082-2" u="1"/>
        <s v="1-1435103-2" u="1"/>
        <s v="1-1446782-3" u="1"/>
        <s v="1-1446874-3" u="1"/>
        <s v="1-1432139-40" u="1"/>
        <s v="1-1452738-10" u="1"/>
        <s v="1-1440049-4" u="1"/>
        <s v="1-1444274-2" u="1"/>
        <s v="1-1448191-2" u="1"/>
        <s v="1-1434182-6" u="1"/>
        <s v="12-1430794-2" u="1"/>
        <s v="1-1432074-3" u="1"/>
        <s v="1-1432258-3" u="1"/>
        <s v="1-1432458-2" u="1"/>
        <s v="1-1433810-2" u="1"/>
        <s v="1-1448482-9" u="1"/>
        <s v="1-1452381-1" u="1"/>
        <s v="1-1453901-2" u="1"/>
        <s v="1-1442981-2" u="1"/>
        <s v="1-1436464-20" u="1"/>
        <s v="1-1429720-3" u="1"/>
        <s v="1-1429904-3" u="1"/>
        <s v="1-1440073-3" u="1"/>
        <s v="1-1440657-1" u="1"/>
        <s v="1-1444082-3" u="1"/>
        <s v="1-1444282-2" u="1"/>
        <s v="1-1448459-3" u="1"/>
        <s v="1-1430039-10" u="1"/>
        <s v="1-1430057-8" u="1"/>
        <s v="1-1438767-5" u="1"/>
        <s v="1-1440818-11" u="1"/>
        <s v="1-1432374-2" u="1"/>
        <s v="1-1432558-2" u="1"/>
        <s v="1-1433802-3" u="1"/>
        <s v="1-1452373-2" u="1"/>
        <s v="1-1433867-13" u="1"/>
        <s v="1-1431002-3" u="1"/>
        <s v="1-1439220-2" u="1"/>
        <s v="1-1446874-4" u="1"/>
        <s v="1-1420574-1" u="1"/>
        <s v="1-1424567-2" u="1"/>
        <s v="1-1428776-1" u="1"/>
        <s v="1-1440649-2" u="1"/>
        <s v="1-1448067-5" u="1"/>
        <s v="1-1448667-2" u="1"/>
        <s v="12-1441982-5" u="1"/>
        <s v="1-1443302-2" u="1"/>
        <s v="13-1432714-2" u="1"/>
        <s v="13-1452713-2" u="1"/>
        <s v="1-1432258-4" u="1"/>
        <s v="1-1433810-3" u="1"/>
        <s v="1-1436083-4" u="1"/>
        <s v="1-1436283-3" u="1"/>
        <s v="1-1452749-2" u="1"/>
        <s v="1-1436464-30" u="1"/>
        <s v="1-1429720-4" u="1"/>
        <s v="1-1444574-2" u="1"/>
        <s v="1-1448459-4" u="1"/>
        <s v="1-1448859-2" u="1"/>
        <s v="1-1438073-10" u="1"/>
        <s v="10-1447931-2" u="1"/>
        <s v="1-1430057-9" u="1"/>
        <s v="11-1445646-2" u="1"/>
        <s v="1-1432482-2" u="1"/>
        <s v="1-1432574-2" u="1"/>
        <s v="1-1433802-4" u="1"/>
        <s v="1-1436675-2" u="1"/>
        <s v="1-1452573-2" u="1"/>
        <s v="1-1432139-28" u="1"/>
        <s v="1-1432379-16" u="1"/>
        <s v="1-1435503-2" u="1"/>
        <s v="1-1439420-2" u="1"/>
        <s v="1-1439512-2" u="1"/>
        <s v="1-1446874-5" u="1"/>
        <s v="1-1444766-2" u="1"/>
        <s v="1-1445902-4" u="1"/>
        <s v="1-1448391-3" u="1"/>
        <s v="1-1448591-2" u="1"/>
        <s v="1-1438153-11" u="1"/>
        <s v="1-1450338-10" u="1"/>
        <s v="1-1443502-2" u="1"/>
        <s v="1-1433810-4" u="1"/>
        <s v="1-1436667-3" u="1"/>
        <s v="1-1436775-2" u="1"/>
        <s v="1-1436867-2" u="1"/>
        <s v="1-1452581-2" u="1"/>
        <s v="1-1438168-2" u="1"/>
        <s v="1-1439612-2" u="1"/>
        <s v="1-1420582-2" u="1"/>
        <s v="1-1440949-2" u="1"/>
        <s v="1-1444774-2" u="1"/>
        <s v="1-1445910-4" u="1"/>
        <s v="1-1448459-5" u="1"/>
        <s v="1-1448475-4" u="1"/>
        <s v="1-1446075-2" u="1"/>
        <s v="1-1446275-1" u="1"/>
        <s v="1-1447611-2" u="1"/>
        <s v="1-1432482-3" u="1"/>
        <s v="1-1433802-5" u="1"/>
        <s v="1-1436783-2" u="1"/>
        <s v="1-1452681-2" u="1"/>
        <s v="1-1431510-2" u="1"/>
        <s v="1-1435303-4" u="1"/>
        <s v="1-1454258-2" u="1"/>
        <s v="1-1440681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1-1445610-2" u="1"/>
        <s v="12-1452821-3" u="1"/>
        <s v="1-1432874-2" u="1"/>
        <s v="1-1433810-5" u="1"/>
        <s v="1-1436667-4" u="1"/>
        <s v="1-1436883-2" u="1"/>
        <s v="1-1449012-2" u="1"/>
        <s v="1-1452965-2" u="1"/>
        <s v="12-1441301-2" u="1"/>
        <s v="1-1435803-2" u="1"/>
        <s v="1-1438476-1" u="1"/>
        <s v="1-1451362-14" u="1"/>
        <s v="1-1444882-2" u="1"/>
        <s v="1-1432482-4" u="1"/>
        <s v="1-1433802-6" u="1"/>
        <s v="1-1436891-2" u="1"/>
        <s v="1-1452957-3" u="1"/>
        <s v="1-1435303-5" u="1"/>
        <s v="1-1435703-3" u="1"/>
        <s v="1-1438468-2" u="1"/>
        <s v="1-1446874-7" u="1"/>
        <s v="1-1435544-15" u="1"/>
        <s v="1-1428976-3" u="1"/>
        <s v="1-1433103-2" u="1"/>
        <s v="1-1444782-3" u="1"/>
        <s v="1-1448591-4" u="1"/>
        <s v="1-1443502-4" u="1"/>
        <s v="1-1446467-2" u="1"/>
        <s v="1-1432982-2" u="1"/>
        <s v="1-1436667-5" u="1"/>
        <s v="1-1449320-1" u="1"/>
        <s v="1-1436464-28" u="1"/>
        <s v="1-1431902-2" u="1"/>
        <s v="1-1434559-2" u="1"/>
        <s v="1-1434759-1" u="1"/>
        <s v="1-1450165-3" u="1"/>
        <s v="1-1435552-15" u="1"/>
        <s v="1-1444974-3" u="1"/>
        <s v="1-1453310-1" u="1"/>
        <s v="1-1442266-3" u="1"/>
        <s v="1-1442282-2" u="1"/>
        <s v="10-1447954-2" u="1"/>
        <s v="1-1432482-5" u="1"/>
        <s v="1-1433802-7" u="1"/>
        <s v="1-1445011-3" u="1"/>
        <s v="1-1449604-1" u="1"/>
        <s v="12-1431885-2" u="1"/>
        <s v="1-1434275-3" u="1"/>
        <s v="1-1434291-2" u="1"/>
        <s v="1-1438576-2" u="1"/>
        <s v="1-1438668-2" u="1"/>
        <s v="12-1435918-16" u="1"/>
        <s v="1-1437312-2" u="1"/>
        <s v="1-1444782-4" u="1"/>
        <s v="1-1444982-3" u="1"/>
        <s v="1-1448591-5" u="1"/>
        <s v="1-1453302-2" u="1"/>
        <s v="1-1442274-3" u="1"/>
        <s v="1-1442566-2" u="1"/>
        <s v="1-1443502-5" u="1"/>
        <s v="1-1446191-3" u="1"/>
        <s v="1-1446667-2" u="1"/>
        <s v="1-1436667-6" u="1"/>
        <s v="1-1445311-2" u="1"/>
        <s v="1-1452690-17" u="1"/>
        <s v="10-1441857-3" u="1"/>
        <s v="1-1430566-2" u="1"/>
        <s v="1-1434575-2" u="1"/>
        <s v="1-1435603-5" u="1"/>
        <s v="1-1437012-4" u="1"/>
        <s v="1-1437212-3" u="1"/>
        <s v="1-1448475-7" u="1"/>
        <s v="1-1442174-4" u="1"/>
        <s v="1-1442190-3" u="1"/>
        <s v="1-1446491-2" u="1"/>
        <s v="1-1446675-2" u="1"/>
        <s v="1-1432482-6" u="1"/>
        <s v="1-1448068-2" u="1"/>
        <s v="1-1449604-2" u="1"/>
        <s v="11-1445645-2" u="1"/>
        <s v="11-1445737-2" u="1"/>
        <s v="1-1448317-12" u="1"/>
        <s v="1-1448409-1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2-1437502-5" u="1"/>
        <s v="1-1436667-7" u="1"/>
        <s v="1-1444159-2" u="1"/>
        <s v="1-1445711-1" u="1"/>
        <s v="1-1448168-2" u="1"/>
        <s v="12-1435897-2" u="1"/>
        <s v="1-1430582-2" u="1"/>
        <s v="1-1434775-2" u="1"/>
        <s v="1-1438784-2" u="1"/>
        <s v="1-1448457-10" u="1"/>
        <s v="10-1452136-3" u="1"/>
        <s v="1-1433311-3" u="1"/>
        <s v="1-1435104-1" u="1"/>
        <s v="1-1446475-4" u="1"/>
        <s v="1-1446967-2" u="1"/>
        <s v="1-1432482-7" u="1"/>
        <s v="1-1449604-3" u="1"/>
        <s v="1-1449712-2" u="1"/>
        <s v="1-1430774-2" u="1"/>
        <s v="1-1434691-2" u="1"/>
        <s v="1-1432075-2" u="1"/>
        <s v="1-1433411-3" u="1"/>
        <s v="1-1437712-2" u="1"/>
        <s v="1-1435112-1" u="1"/>
        <s v="1-1442582-3" u="1"/>
        <s v="1-1443502-7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0-1453140-2" u="1"/>
        <s v="1-1432175-2" u="1"/>
        <s v="1-1433911-1" u="1"/>
        <s v="1-1437720-2" u="1"/>
        <s v="1-1452158-3" u="1"/>
        <s v="1-1452358-2" u="1"/>
        <s v="1-1452374-1" u="1"/>
        <s v="1-1452558-1" u="1"/>
        <s v="1-1453710-2" u="1"/>
        <s v="1-1439005-3" u="1"/>
        <s v="1-1446691-3" u="1"/>
        <s v="1-1446891-2" u="1"/>
        <s v="1-1444259-3" u="1"/>
        <s v="1-1444275-2" u="1"/>
        <s v="1-1445811-2" u="1"/>
        <s v="1-1448468-2" u="1"/>
        <s v="11-1429538-3" u="1"/>
        <s v="1-1443011-2" u="1"/>
        <s v="12-1442100-3" u="1"/>
        <s v="1-1432091-2" u="1"/>
        <s v="1-1432459-2" u="1"/>
        <s v="1-1433811-2" u="1"/>
        <s v="1-1436084-3" u="1"/>
        <s v="1-1437620-3" u="1"/>
        <s v="1-1452566-1" u="1"/>
        <s v="1-1435020-2" u="1"/>
        <s v="1-1443502-8" u="1"/>
        <s v="1-1446959-4" u="1"/>
        <s v="1-1424468-2" u="1"/>
        <s v="1-1429705-4" u="1"/>
        <s v="1-1440074-3" u="1"/>
        <s v="1-1444375-2" u="1"/>
        <s v="1-1448368-3" u="1"/>
        <s v="1-1429522-17" u="1"/>
        <s v="1-1430982-2" u="1"/>
        <s v="1-1443111-2" u="1"/>
        <s v="1-1432375-2" u="1"/>
        <s v="1-1432467-2" u="1"/>
        <s v="1-1437720-3" u="1"/>
        <s v="1-1437920-2" u="1"/>
        <s v="1-1453710-3" u="1"/>
        <s v="1-1446149-10" u="1"/>
        <s v="1-1435304-2" u="1"/>
        <s v="1-1439005-4" u="1"/>
        <s v="1-1442990-2" u="1"/>
        <s v="1-1440558-2" u="1"/>
        <s v="1-1440758-1" u="1"/>
        <s v="1-1444367-3" u="1"/>
        <s v="1-1448392-2" u="1"/>
        <s v="1-1448468-3" u="1"/>
        <s v="1-1438592-5" u="1"/>
        <s v="1-1443211-2" u="1"/>
        <s v="1-1447004-4" u="1"/>
        <s v="1-1432275-3" u="1"/>
        <s v="1-1432291-2" u="1"/>
        <s v="1-1432475-2" u="1"/>
        <s v="1-1432567-2" u="1"/>
        <s v="1-1431011-3" u="1"/>
        <s v="1-1435312-2" u="1"/>
        <s v="1-1439505-2" u="1"/>
        <s v="1-1442890-3" u="1"/>
        <s v="1-1443502-9" u="1"/>
        <s v="1-1446959-5" u="1"/>
        <s v="1-1451410-1" u="1"/>
        <s v="1-1440074-4" u="1"/>
        <s v="1-1440658-2" u="1"/>
        <s v="1-1444159-5" u="1"/>
        <s v="1-1444191-3" u="1"/>
        <s v="1-1444667-2" u="1"/>
        <s v="1-1439812-8" u="1"/>
        <s v="1-1447320-2" u="1"/>
        <s v="1-1447412-2" u="1"/>
        <s v="1-1447504-2" u="1"/>
        <s v="1-1447612-1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54059-2" u="1"/>
        <s v="1-1429913-4" u="1"/>
        <s v="1-1440190-3" u="1"/>
        <s v="1-1444583-2" u="1"/>
        <s v="1-1448468-4" u="1"/>
        <s v="1-1448668-3" u="1"/>
        <s v="1-1438592-6" u="1"/>
        <s v="12-1450415-6" u="1"/>
        <s v="1-1432075-5" u="1"/>
        <s v="1-1437712-5" u="1"/>
        <s v="1-1452674-2" u="1"/>
        <s v="1-1433892-13" u="1"/>
        <s v="1-1446113-13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168-2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9713-2" u="1"/>
        <s v="1-1454259-2" u="1"/>
        <s v="1-1444691-2" u="1"/>
        <s v="1-1444783-2" u="1"/>
        <s v="1-1448468-5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50074-2" u="1"/>
        <s v="1-1450166-2" u="1"/>
        <s v="1-1454159-3" u="1"/>
        <s v="1-1424284-5" u="1"/>
        <s v="1-1444683-3" u="1"/>
        <s v="1-1444867-3" u="1"/>
        <s v="1-1444975-2" u="1"/>
        <s v="1-1448968-3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-1430359-2" u="1"/>
        <s v="1-1431511-3" u="1"/>
        <s v="1-1450066-3" u="1"/>
        <s v="1-1454167-3" u="1"/>
        <s v="1-1424984-2" u="1"/>
        <s v="1-1433104-2" u="1"/>
        <s v="1-1448481-18" u="1"/>
        <s v="1-1443696-12" u="1"/>
        <s v="1-1425005-3" u="1"/>
        <s v="1-1432075-7" u="1"/>
        <s v="1-1445004-3" u="1"/>
        <s v="1-1445112-2" u="1"/>
        <s v="1-1445204-2" u="1"/>
        <s v="1-1452690-3" u="1"/>
        <s v="13-1432563-2" u="1"/>
        <s v="13-1452146-5" u="1"/>
        <s v="1-1434068-4" u="1"/>
        <s v="1-1434284-2" u="1"/>
        <s v="1-1434468-2" u="1"/>
        <s v="1-1435604-4" u="1"/>
        <s v="1-1435804-3" u="1"/>
        <s v="1-1435912-2" u="1"/>
        <s v="1-1446959-8" u="1"/>
        <s v="1-1433204-2" u="1"/>
        <s v="1-1437013-3" u="1"/>
        <s v="1-1440890-2" u="1"/>
        <s v="1-1444991-2" u="1"/>
        <s v="1-1444888-16" u="1"/>
        <s v="1-1446076-4" u="1"/>
        <s v="1-1446476-2" u="1"/>
        <s v="1-1447920-2" u="1"/>
        <s v="1-1441311-1" u="1"/>
        <s v="1-1445012-3" u="1"/>
        <s v="1-1445212-2" u="1"/>
        <s v="1-1449313-2" u="1"/>
        <s v="10-1435140-2" u="1"/>
        <s v="11-1445679-2" u="1"/>
        <s v="13-1433655-2" u="1"/>
        <s v="1-1430467-2" u="1"/>
        <s v="1-1434292-2" u="1"/>
        <s v="1-1434568-2" u="1"/>
        <s v="1-1435720-3" u="1"/>
        <s v="1-1451910-2" u="1"/>
        <s v="1-1440008-12" u="1"/>
        <s v="1-1437405-2" u="1"/>
        <s v="1-1440774-4" u="1"/>
        <s v="1-1440990-2" u="1"/>
        <s v="1-1444691-4" u="1"/>
        <s v="1-1453011-3" u="1"/>
        <s v="1-1453303-2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49321-2" u="1"/>
        <s v="1-1452690-4" u="1"/>
        <s v="1-1430091-3" u="1"/>
        <s v="1-1434392-2" u="1"/>
        <s v="1-1450090-3" u="1"/>
        <s v="10-1452094-2" u="1"/>
        <s v="1-1433220-2" u="1"/>
        <s v="1-1433404-2" u="1"/>
        <s v="1-1437213-3" u="1"/>
        <s v="1-1437505-2" u="1"/>
        <s v="1-1444791-4" u="1"/>
        <s v="1-1453403-2" u="1"/>
        <s v="1-1442191-3" u="1"/>
        <s v="1-1442267-4" u="1"/>
        <s v="1-1442283-3" u="1"/>
        <s v="12-1437540-4" u="1"/>
        <s v="1-1448069-2" u="1"/>
        <s v="1-1448177-1" u="1"/>
        <s v="1-1435704-5" u="1"/>
        <s v="1-1435812-4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8169-2" u="1"/>
        <s v="1-1449705-2" u="1"/>
        <s v="1-1452690-5" u="1"/>
        <s v="11-1445919-2" u="1"/>
        <s v="1-1430583-2" u="1"/>
        <s v="1-1430767-2" u="1"/>
        <s v="1-1435712-5" u="1"/>
        <s v="1-1450858-2" u="1"/>
        <s v="10-1431519-2" u="1"/>
        <s v="1-1433604-2" u="1"/>
        <s v="1-1444791-5" u="1"/>
        <s v="1-1444991-4" u="1"/>
        <s v="1-1452159-2" u="1"/>
        <s v="1-1453403-3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42783-2" u="1"/>
        <s v="1-1446484-4" u="1"/>
        <s v="1-1429230-4" u="1"/>
        <s v="1-1429722-2" u="1"/>
        <s v="1-1429906-2" u="1"/>
        <s v="1-1440091-1" u="1"/>
        <s v="1-1444284-1" u="1"/>
        <s v="1-1445312-4" u="1"/>
        <s v="1-1449905-2" u="1"/>
        <s v="1-1452690-6" u="1"/>
        <s v="12-1434071-6" u="1"/>
        <s v="1-1430875-2" u="1"/>
        <s v="1-1447105-2" u="1"/>
        <s v="1-1432068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52175-2" u="1"/>
        <s v="1-1453403-4" u="1"/>
        <s v="1-1453711-2" u="1"/>
        <s v="1-1439006-3" u="1"/>
        <s v="1-1446968-3" u="1"/>
        <s v="1-1429730-2" u="1"/>
        <s v="1-1441711-2" u="1"/>
        <s v="13-1439763-1" u="1"/>
        <s v="1-1430791-2" u="1"/>
        <s v="13-1448026-2" u="1"/>
        <s v="1-1432092-2" u="1"/>
        <s v="1-1432368-2" u="1"/>
        <s v="1-1436193-2" u="1"/>
        <s v="1-1452367-2" u="1"/>
        <s v="1-1453811-2" u="1"/>
        <s v="1-1446484-5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-1452690-7" u="1"/>
        <s v="10-1446763-3" u="1"/>
        <s v="13-1443990-3" u="1"/>
        <s v="1-1430783-3" u="1"/>
        <s v="1-1430967-3" u="1"/>
        <s v="1-1435712-7" u="1"/>
        <s v="1-1440728-11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44791-7" u="1"/>
        <s v="1-1444991-6" u="1"/>
        <s v="1-1452191-2" u="1"/>
        <s v="1-1453403-5" u="1"/>
        <s v="1-1453911-2" u="1"/>
        <s v="1-1437654-15" u="1"/>
        <s v="13-1440105-2" u="1"/>
        <s v="1-1439006-4" u="1"/>
        <s v="1-1442991-2" u="1"/>
        <s v="1-1440467-2" u="1"/>
        <s v="1-1448377-3" u="1"/>
        <s v="1-1448669-2" u="1"/>
        <s v="1-1447005-4" u="1"/>
        <s v="1-1447021-3" u="1"/>
        <s v="1-1447405-2" u="1"/>
        <s v="1-1432568-2" u="1"/>
        <s v="1-1436193-3" u="1"/>
        <s v="1-1452367-3" u="1"/>
        <s v="1-1452383-2" u="1"/>
        <s v="1-1431304-2" u="1"/>
        <s v="1-1438078-1" u="1"/>
        <s v="1-1429522-5" u="1"/>
        <s v="1-1440659-2" u="1"/>
        <s v="1-1444192-3" u="1"/>
        <s v="1-1445912-3" u="1"/>
        <s v="1-1448477-3" u="1"/>
        <s v="1-1448677-2" u="1"/>
        <s v="1-1452690-8" u="1"/>
        <s v="1-1430057-10" u="1"/>
        <s v="10-1429884-2" u="1"/>
        <s v="1-1443404-2" u="1"/>
        <s v="1-1440728-21" u="1"/>
        <s v="11-1442906-2" u="1"/>
        <s v="12-1429359-2" u="1"/>
        <s v="1-1432068-5" u="1"/>
        <s v="1-1432084-4" u="1"/>
        <s v="1-1432192-3" u="1"/>
        <s v="1-1432484-2" u="1"/>
        <s v="1-1432668-2" u="1"/>
        <s v="1-1436493-2" u="1"/>
        <s v="1-1444791-8" u="1"/>
        <s v="1-1444991-7" u="1"/>
        <s v="10-1451049-4" u="1"/>
        <s v="1-1431020-3" u="1"/>
        <s v="1-1434077-1" u="1"/>
        <s v="1-1435413-2" u="1"/>
        <s v="1-1435505-2" u="1"/>
        <s v="1-1439422-2" u="1"/>
        <s v="1-1439606-2" u="1"/>
        <s v="1-1440267-4" u="1"/>
        <s v="1-1440667-2" u="1"/>
        <s v="1-1440759-2" u="1"/>
        <s v="1-1445904-4" u="1"/>
        <s v="1-1430209-12" u="1"/>
        <s v="1-1443012-4" u="1"/>
        <s v="1-1443212-3" u="1"/>
        <s v="13-1433722-2" u="1"/>
        <s v="13-1433906-2" u="1"/>
        <s v="1-1436285-4" u="1"/>
        <s v="1-1449014-1" u="1"/>
        <s v="1-1452367-4" u="1"/>
        <s v="1-1452859-2" u="1"/>
        <s v="1-1446206-13" u="1"/>
        <s v="1-1431012-4" u="1"/>
        <s v="1-1431320-2" u="1"/>
        <s v="1-1431412-2" u="1"/>
        <s v="1-1435513-2" u="1"/>
        <s v="1-1435605-2" u="1"/>
        <s v="1-1439522-2" u="1"/>
        <s v="1-1451411-2" u="1"/>
        <s v="1-1429522-6" u="1"/>
        <s v="1-1440659-3" u="1"/>
        <s v="1-1444192-4" u="1"/>
        <s v="1-1444592-2" u="1"/>
        <s v="1-1445912-4" u="1"/>
        <s v="1-1448477-4" u="1"/>
        <s v="1-1448969-2" u="1"/>
        <s v="1-1452690-9" u="1"/>
        <s v="1-1447321-3" u="1"/>
        <s v="12-1451841-3" u="1"/>
        <s v="1-1432192-4" u="1"/>
        <s v="1-1432284-4" u="1"/>
        <s v="1-1432484-3" u="1"/>
        <s v="1-1432576-3" u="1"/>
        <s v="1-1452959-2" u="1"/>
        <s v="10-1431518-2" u="1"/>
        <s v="1-1431512-2" u="1"/>
        <s v="1-1431604-2" u="1"/>
        <s v="1-1434369-1" u="1"/>
        <s v="1-1435413-3" u="1"/>
        <s v="1-1435705-2" u="1"/>
        <s v="1-1451511-2" u="1"/>
        <s v="1-1451603-2" u="1"/>
        <s v="1-1440591-2" u="1"/>
        <s v="1-1440959-2" u="1"/>
        <s v="1-1441911-4" u="1"/>
        <s v="1-1444692-2" u="1"/>
        <s v="1-1444784-2" u="1"/>
        <s v="1-1440820-13" u="1"/>
        <s v="10-1438111-3" u="1"/>
        <s v="1-1432876-2" u="1"/>
        <s v="1-1436885-2" u="1"/>
        <s v="1-1436993-1" u="1"/>
        <s v="1-1445005-2" u="1"/>
        <s v="1-1452367-5" u="1"/>
        <s v="1-1452967-2" u="1"/>
        <s v="13-1445105-2" u="1"/>
        <s v="1-1439906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36893-2" u="1"/>
        <s v="1-1452791-2" u="1"/>
        <s v="1-1430084-2" u="1"/>
        <s v="1-1431912-1" u="1"/>
        <s v="1-1438286-2" u="1"/>
        <s v="1-1451803-2" u="1"/>
        <s v="1-1454276-2" u="1"/>
        <s v="1-1437006-3" u="1"/>
        <s v="1-1440883-2" u="1"/>
        <s v="1-1444984-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-1452691-3" u="1"/>
        <s v="1-1452983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8477-6" u="1"/>
        <s v="1-1440728-19" u="1"/>
        <s v="1-1442192-2" u="1"/>
        <s v="1-1442376-2" u="1"/>
        <s v="1-1443912-2" u="1"/>
        <s v="1-1447921-2" u="1"/>
        <s v="12-1435918-4" u="1"/>
        <s v="1-1425122-2" u="1"/>
        <s v="1-1432576-5" u="1"/>
        <s v="1-1445305-2" u="1"/>
        <s v="1-1452883-3" u="1"/>
        <s v="1-1452991-2" u="1"/>
        <s v="12-1450476-5" u="1"/>
        <s v="1-1439530-4" u="1"/>
        <s v="1-1451911-2" u="1"/>
        <s v="12-1435918-17" u="1"/>
        <s v="1-1433105-3" u="1"/>
        <s v="1-1433121-2" u="1"/>
        <s v="1-1453304-2" u="1"/>
        <s v="1-1442276-3" u="1"/>
        <s v="1-1446577-2" u="1"/>
        <s v="1-1436377-7" u="1"/>
        <s v="12-1430957-3" u="1"/>
        <s v="12-1451968-3" u="1"/>
        <s v="13-1432717-3" u="1"/>
        <s v="1-1434285-3" u="1"/>
        <s v="1-1438494-2" u="1"/>
        <s v="1-1451611-4" u="1"/>
        <s v="1-1454376-3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8477-7" u="1"/>
        <s v="1-1442284-3" u="1"/>
        <s v="1-1442392-2" u="1"/>
        <s v="1-1446677-2" u="1"/>
        <s v="12-1439482-4" u="1"/>
        <s v="1-1432084-8" u="1"/>
        <s v="1-1432576-6" u="1"/>
        <s v="1-1432884-4" u="1"/>
        <s v="1-1441312-2" u="1"/>
        <s v="1-1449514-2" u="1"/>
        <s v="1-1452975-4" u="1"/>
        <s v="1-1434569-3" u="1"/>
        <s v="1-1434585-2" u="1"/>
        <s v="1-1434677-2" u="1"/>
        <s v="1-1435813-4" u="1"/>
        <s v="1-1438578-3" u="1"/>
        <s v="1-1451803-4" u="1"/>
        <s v="12-1431970-20" u="1"/>
        <s v="1-1442676-2" u="1"/>
        <s v="1-1446377-4" u="1"/>
        <s v="1-1436377-8" u="1"/>
        <s v="1-1445421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44792-5" u="1"/>
        <s v="1-1453620-1" u="1"/>
        <s v="1-1446785-2" u="1"/>
        <s v="1-1446969-2" u="1"/>
        <s v="1-1432576-7" u="1"/>
        <s v="1-1440068-2" u="1"/>
        <s v="1-1445705-2" u="1"/>
        <s v="1-1449714-2" u="1"/>
        <s v="1-1448315-13" u="1"/>
        <s v="1-1432077-2" u="1"/>
        <s v="1-1433705-2" u="1"/>
        <s v="1-1437530-2" u="1"/>
        <s v="1-1437730-1" u="1"/>
        <s v="1-1429723-2" u="1"/>
        <s v="1-1436377-9" u="1"/>
        <s v="1-1444085-2" u="1"/>
        <s v="1-1444177-2" u="1"/>
        <s v="1-1448294-1" u="1"/>
        <s v="1-1449614-3" u="1"/>
        <s v="1-1434285-5" u="1"/>
        <s v="1-1450183-5" u="1"/>
        <s v="10-1454172-2" u="1"/>
        <s v="1-1433821-1" u="1"/>
        <s v="1-1437214-5" u="1"/>
        <s v="1-1444792-6" u="1"/>
        <s v="1-1452268-2" u="1"/>
        <s v="1-1431005-2" u="1"/>
        <s v="1-1439207-2" u="1"/>
        <s v="1-1442592-3" u="1"/>
        <s v="1-1424278-2" u="1"/>
        <s v="1-1429915-2" u="1"/>
        <s v="1-1440176-2" u="1"/>
        <s v="1-1444169-3" u="1"/>
        <s v="1-1444385-1" u="1"/>
        <s v="1-1448378-2" u="1"/>
        <s v="1-1430976-2" u="1"/>
        <s v="1-1432169-3" u="1"/>
        <s v="1-1433521-3" u="1"/>
        <s v="1-1437806-3" u="1"/>
        <s v="1-1452184-2" u="1"/>
        <s v="1-1452276-2" u="1"/>
        <s v="1-1439123-2" u="1"/>
        <s v="1-1439215-2" u="1"/>
        <s v="1-1429723-3" u="1"/>
        <s v="1-1444269-3" u="1"/>
        <s v="1-1445821-2" u="1"/>
        <s v="1-1448278-3" u="1"/>
        <s v="1-1448478-2" u="1"/>
        <s v="1-1449922-2" u="1"/>
        <s v="1-1429656-15" u="1"/>
        <s v="1-1430784-3" u="1"/>
        <s v="1-1434285-6" u="1"/>
        <s v="11-1442664-2" u="1"/>
        <s v="1-1432285-2" u="1"/>
        <s v="1-1436094-3" u="1"/>
        <s v="1-1437214-6" u="1"/>
        <s v="1-1453820-2" u="1"/>
        <s v="1-1437655-15" u="1"/>
        <s v="1-1435414-1" u="1"/>
        <s v="1-1439207-3" u="1"/>
        <s v="1-1421005-7" u="1"/>
        <s v="1-1429931-2" u="1"/>
        <s v="1-1444385-2" u="1"/>
        <s v="1-1445721-3" u="1"/>
        <s v="1-1445921-2" u="1"/>
        <s v="1-1448578-2" u="1"/>
        <s v="1-1430992-2" u="1"/>
        <s v="1-1443121-2" u="1"/>
        <s v="1-1447130-2" u="1"/>
        <s v="1-1447222-2" u="1"/>
        <s v="10-1438077-3" u="1"/>
        <s v="1-1432569-2" u="1"/>
        <s v="1-1452276-3" u="1"/>
        <s v="1-1452384-2" u="1"/>
        <s v="1-1452584-1" u="1"/>
        <s v="12-1442299-2" u="1"/>
        <s v="1-1429723-4" u="1"/>
        <s v="1-1444393-2" u="1"/>
        <s v="1-1444577-2" u="1"/>
        <s v="1-1444669-2" u="1"/>
        <s v="1-1448478-3" u="1"/>
        <s v="1-1448678-2" u="1"/>
        <s v="1-1429988-13" u="1"/>
        <s v="1-1434285-7" u="1"/>
        <s v="1-1443021-3" u="1"/>
        <s v="1-1443405-2" u="1"/>
        <s v="1-1447322-2" u="1"/>
        <s v="1-1447614-1" u="1"/>
        <s v="12-1447528-2" u="1"/>
        <s v="13-1432916-2" u="1"/>
        <s v="1-1432669-2" u="1"/>
        <s v="1-1437430-5" u="1"/>
        <s v="1-1452668-2" u="1"/>
        <s v="1-1431021-3" u="1"/>
        <s v="1-1434078-1" u="1"/>
        <s v="1-1435522-1" u="1"/>
        <s v="1-1439515-2" u="1"/>
        <s v="1-1439607-2" u="1"/>
        <s v="1-1440576-2" u="1"/>
        <s v="1-1444293-3" u="1"/>
        <s v="1-1444385-3" u="1"/>
        <s v="1-1448594-2" u="1"/>
        <s v="10-1429882-2" u="1"/>
        <s v="1-1443321-2" u="1"/>
        <s v="1-1443505-2" u="1"/>
        <s v="1-1443521-1" u="1"/>
        <s v="1-1447330-2" u="1"/>
        <s v="1-1437806-5" u="1"/>
        <s v="1-1445006-1" u="1"/>
        <s v="1-1452276-4" u="1"/>
        <s v="12-144126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478-4" u="1"/>
        <s v="1-1448694-2" u="1"/>
        <s v="1-1434285-8" u="1"/>
        <s v="1-1446094-1" u="1"/>
        <s v="1-1447430-2" u="1"/>
        <s v="12-1448240-2" u="1"/>
        <s v="1-1452668-3" u="1"/>
        <s v="1-1452868-2" u="1"/>
        <s v="1-1452884-1" u="1"/>
        <s v="10-1453183-2" u="1"/>
        <s v="1-1454169-2" u="1"/>
        <s v="1-1440776-2" u="1"/>
        <s v="1-1444785-2" u="1"/>
        <s v="1-1448794-2" u="1"/>
        <s v="1-1450153-11" u="1"/>
        <s v="1-1446086-2" u="1"/>
        <s v="1-1447714-2" u="1"/>
        <s v="1-1425007-2" u="1"/>
        <s v="1-1432877-2" u="1"/>
        <s v="1-1452968-2" u="1"/>
        <s v="10-1430120-3" u="1"/>
        <s v="1-1431521-2" u="1"/>
        <s v="1-1435422-3" u="1"/>
        <s v="1-1435530-2" u="1"/>
        <s v="1-1435714-2" u="1"/>
        <s v="1-1438095-2" u="1"/>
        <s v="1-1439415-4" u="1"/>
        <s v="1-1451704-2" u="1"/>
        <s v="1-1454269-2" u="1"/>
        <s v="1-1429723-6" u="1"/>
        <s v="1-1444393-4" u="1"/>
        <s v="1-1444793-2" u="1"/>
        <s v="1-1444885-2" u="1"/>
        <s v="1-1448478-5" u="1"/>
        <s v="1-1453021-1" u="1"/>
        <s v="1-1443421-3" u="1"/>
        <s v="1-1436894-2" u="1"/>
        <s v="1-1445014-2" u="1"/>
        <s v="1-1449115-2" u="1"/>
        <s v="1-1452668-4" u="1"/>
        <s v="11-1442779-2" u="1"/>
        <s v="12-1442423-2" u="1"/>
        <s v="13-1449059-2" u="1"/>
        <s v="1-1431805-2" u="1"/>
        <s v="1-1435814-2" u="1"/>
        <s v="1-1438287-2" u="1"/>
        <s v="1-1454277-2" u="1"/>
        <s v="1-1440884-2" u="1"/>
        <s v="1-1444893-2" u="1"/>
        <s v="1-1444985-2" u="1"/>
        <s v="1-1453013-2" u="1"/>
        <s v="1-1443521-3" u="1"/>
        <s v="1-1446394-1" u="1"/>
        <s v="1-1447730-2" u="1"/>
        <s v="11-1445800-2" u="1"/>
        <s v="1-1432985-2" u="1"/>
        <s v="1-1445206-2" u="1"/>
        <s v="1-1445222-1" u="1"/>
        <s v="1-1452476-5" u="1"/>
        <s v="1-1452984-2" u="1"/>
        <s v="1-1430185-2" u="1"/>
        <s v="1-1430277-2" u="1"/>
        <s v="1-1430369-2" u="1"/>
        <s v="1-1434194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54293-2" u="1"/>
        <s v="1-1433122-2" u="1"/>
        <s v="1-1443521-4" u="1"/>
        <s v="1-1446194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50492-1" u="1"/>
        <s v="1-1429723-8" u="1"/>
        <s v="1-1433222-2" u="1"/>
        <s v="1-1437215-3" u="1"/>
        <s v="1-1444793-4" u="1"/>
        <s v="1-1423914-3" u="1"/>
        <s v="1-1423930-2" u="1"/>
        <s v="1-1442577-2" u="1"/>
        <s v="1-1443821-3" u="1"/>
        <s v="1-1443913-3" u="1"/>
        <s v="12-1435920-3" u="1"/>
        <s v="1-1429240-2" u="1"/>
        <s v="1-1429808-1" u="1"/>
        <s v="1-1432285-7" u="1"/>
        <s v="1-1445414-2" u="1"/>
        <s v="1-1452976-4" u="1"/>
        <s v="12-1432995-2" u="1"/>
        <s v="1-1437715-1" u="1"/>
        <s v="1-1443521-5" u="1"/>
        <s v="1-1446086-5" u="1"/>
        <s v="1-1446594-2" u="1"/>
        <s v="1-1446686-2" u="1"/>
        <s v="1-1432075-10" u="1"/>
        <s v="1-1445206-4" u="1"/>
        <s v="1-1448079-2" u="1"/>
        <s v="11-1445847-2" u="1"/>
        <s v="1-1435422-6" u="1"/>
        <s v="1-1435530-5" u="1"/>
        <s v="1-1438587-3" u="1"/>
        <s v="1-1433314-3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24184-10" u="1"/>
        <s v="1-1438264-19" u="1"/>
        <s v="1-1433522-2" u="1"/>
        <s v="1-1437423-3" u="1"/>
        <s v="1-1437715-2" u="1"/>
        <s v="1-1449730-9" u="1"/>
        <s v="1-1453613-2" u="1"/>
        <s v="1-1442277-5" u="1"/>
        <s v="1-1443521-6" u="1"/>
        <s v="1-1446086-6" u="1"/>
        <s v="1-1446686-3" u="1"/>
        <s v="1-1446978-2" u="1"/>
        <s v="1-1429724-2" u="1"/>
        <s v="1-1429908-2" u="1"/>
        <s v="1-1441813-1" u="1"/>
        <s v="1-1445206-5" u="1"/>
        <s v="1-1445606-3" u="1"/>
        <s v="1-1445714-2" u="1"/>
        <s v="1-1448295-1" u="1"/>
        <s v="1-1449615-3" u="1"/>
        <s v="1-1430585-3" u="1"/>
        <s v="1-1430877-2" u="1"/>
        <s v="1-1434594-3" u="1"/>
        <s v="1-1443022-1" u="1"/>
        <s v="12-1441606-2" u="1"/>
        <s v="1-1437215-5" u="1"/>
        <s v="1-1437707-3" u="1"/>
        <s v="1-1437723-2" u="1"/>
        <s v="1-1444793-6" u="1"/>
        <s v="1-1431006-2" u="1"/>
        <s v="1-1435107-2" u="1"/>
        <s v="1-1439008-3" u="1"/>
        <s v="1-1443821-5" u="1"/>
        <s v="1-1446694-3" u="1"/>
        <s v="1-1432139-31" u="1"/>
        <s v="1-1429240-4" u="1"/>
        <s v="1-1445722-2" u="1"/>
        <s v="1-1448487-1" u="1"/>
        <s v="1-1449807-3" u="1"/>
        <s v="12-1442422-2" u="1"/>
        <s v="13-1449058-2" u="1"/>
        <s v="1-1437715-3" u="1"/>
        <s v="1-1452369-2" u="1"/>
        <s v="1-1431014-2" u="1"/>
        <s v="1-1439216-2" u="1"/>
        <s v="1-1446686-4" u="1"/>
        <s v="1-1436464-11" u="1"/>
        <s v="1-1429724-3" u="1"/>
        <s v="1-1429832-2" u="1"/>
        <s v="1-1444194-2" u="1"/>
        <s v="1-1445206-6" u="1"/>
        <s v="1-1445822-2" u="1"/>
        <s v="11-1442766-2" u="1"/>
        <s v="1-1432286-2" u="1"/>
        <s v="1-1432378-2" u="1"/>
        <s v="1-1433730-2" u="1"/>
        <s v="1-1433822-2" u="1"/>
        <s v="1-1437215-6" u="1"/>
        <s v="1-1437707-4" u="1"/>
        <s v="1-1437723-3" u="1"/>
        <s v="1-1452469-2" u="1"/>
        <s v="1-1435307-2" u="1"/>
        <s v="1-1439208-3" u="1"/>
        <s v="1-1429240-5" u="1"/>
        <s v="1-1429532-4" u="1"/>
        <s v="1-1429732-3" u="1"/>
        <s v="1-1429840-2" u="1"/>
        <s v="1-1444094-3" u="1"/>
        <s v="1-1448395-2" u="1"/>
        <s v="1-1449915-3" u="1"/>
        <s v="1-1430993-2" u="1"/>
        <s v="1-1447331-1" u="1"/>
        <s v="11-1445698-2" u="1"/>
        <s v="1-1433814-3" u="1"/>
        <s v="1-1452385-2" u="1"/>
        <s v="1-1452477-2" u="1"/>
        <s v="1-1439308-3" u="1"/>
        <s v="1-1446686-5" u="1"/>
        <s v="1-1436464-21" u="1"/>
        <s v="1-1445206-7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52193-3" u="1"/>
        <s v="1-1432139-19" u="1"/>
        <s v="1-1433867-14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2-1446330-2" u="1"/>
        <s v="1-1432386-3" u="1"/>
        <s v="1-1431414-2" u="1"/>
        <s v="1-1435315-3" u="1"/>
        <s v="1-1435331-2" u="1"/>
        <s v="1-1435423-2" u="1"/>
        <s v="1-1435515-2" u="1"/>
        <s v="1-1452690-10" u="1"/>
        <s v="1-1440769-2" u="1"/>
        <s v="1-1444594-2" u="1"/>
        <s v="1-1448479-4" u="1"/>
        <s v="1-1447431-2" u="1"/>
        <s v="1-1447707-2" u="1"/>
        <s v="1-1444791-10" u="1"/>
        <s v="1-1432286-4" u="1"/>
        <s v="1-1433822-4" u="1"/>
        <s v="1-1433930-3" u="1"/>
        <s v="1-1437215-8" u="1"/>
        <s v="1-1452193-4" u="1"/>
        <s v="1-1432139-29" u="1"/>
        <s v="1-1435707-2" u="1"/>
        <s v="1-1439532-2" u="1"/>
        <s v="1-1454186-1" u="1"/>
        <s v="1-1429240-7" u="1"/>
        <s v="1-1429532-6" u="1"/>
        <s v="1-1448795-2" u="1"/>
        <s v="1-1448887-2" u="1"/>
        <s v="1-1450338-11" u="1"/>
        <s v="1-1443414-3" u="1"/>
        <s v="1-1432386-4" u="1"/>
        <s v="1-1432494-3" u="1"/>
        <s v="1-1452693-2" u="1"/>
        <s v="1-1452785-2" u="1"/>
        <s v="1-1435515-3" u="1"/>
        <s v="1-1435607-3" u="1"/>
        <s v="1-1454086-2" u="1"/>
        <s v="1-1454178-2" u="1"/>
        <s v="1-1435376-14" u="1"/>
        <s v="1-1429724-6" u="1"/>
        <s v="1-1440293-4" u="1"/>
        <s v="1-1440877-2" u="1"/>
        <s v="1-1444886-2" u="1"/>
        <s v="1-1448479-5" u="1"/>
        <s v="1-1425016-2" u="1"/>
        <s v="1-1432286-5" u="1"/>
        <s v="1-1432778-3" u="1"/>
        <s v="1-1433822-5" u="1"/>
        <s v="1-1436895-2" u="1"/>
        <s v="1-1445015-2" u="1"/>
        <s v="1-1452193-5" u="1"/>
        <s v="1-1452885-2" u="1"/>
        <s v="1-1452977-2" u="1"/>
        <s v="1-1431622-2" u="1"/>
        <s v="1-1435707-3" u="1"/>
        <s v="1-1454278-2" u="1"/>
        <s v="1-1429240-8" u="1"/>
        <s v="1-1429532-7" u="1"/>
        <s v="1-1433107-2" u="1"/>
        <s v="1-1440977-2" u="1"/>
        <s v="1-1444986-2" u="1"/>
        <s v="1-1448795-3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2-1444261-2" u="1"/>
        <s v="1-1435515-4" u="1"/>
        <s v="1-1435731-2" u="1"/>
        <s v="1-1435823-2" u="1"/>
        <s v="1-1435915-2" u="1"/>
        <s v="1-1438388-2" u="1"/>
        <s v="1-1454286-2" u="1"/>
        <s v="1-1429724-7" u="1"/>
        <s v="1-1433207-2" u="1"/>
        <s v="1-1448479-6" u="1"/>
        <s v="1-1438749-11" u="1"/>
        <s v="1-1442194-2" u="1"/>
        <s v="1-1446387-2" u="1"/>
        <s v="1-1429225-2" u="1"/>
        <s v="1-1432286-6" u="1"/>
        <s v="1-1432886-3" u="1"/>
        <s v="1-1433822-6" u="1"/>
        <s v="1-1433930-5" u="1"/>
        <s v="1-1445107-3" u="1"/>
        <s v="1-1449132-2" u="1"/>
        <s v="1-1452993-2" u="1"/>
        <s v="10-1433514-2" u="1"/>
        <s v="10-1452301-3" u="1"/>
        <s v="1-1434387-2" u="1"/>
        <s v="1-1434479-2" u="1"/>
        <s v="1-1435923-2" u="1"/>
        <s v="1-1439440-4" u="1"/>
        <s v="1-1439840-2" u="1"/>
        <s v="1-1454386-2" u="1"/>
        <s v="1-1435544-16" u="1"/>
        <s v="12-1435918-18" u="1"/>
        <s v="1-1433031-2" u="1"/>
        <s v="1-1440977-3" u="1"/>
        <s v="1-1453214-2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-1449524-1" u="1"/>
        <s v="1-1449708-1" u="1"/>
        <s v="10-1435250-2" u="1"/>
        <s v="13-1453180-4" u="1"/>
        <s v="13-1453580-2" u="1"/>
        <s v="1-1434487-2" u="1"/>
        <s v="1-1435515-5" u="1"/>
        <s v="1-1439340-5" u="1"/>
        <s v="1-1451921-2" u="1"/>
        <s v="1-1429522-10" u="1"/>
        <s v="1-1429724-8" u="1"/>
        <s v="1-1433407-2" u="1"/>
        <s v="1-1437216-3" u="1"/>
        <s v="1-1437416-2" u="1"/>
        <s v="1-1444994-3" u="1"/>
        <s v="1-1453130-2" u="1"/>
        <s v="1-1429225-3" u="1"/>
        <s v="1-1429333-2" u="1"/>
        <s v="1-1433930-6" u="1"/>
        <s v="1-1449608-2" u="1"/>
        <s v="1-1452993-3" u="1"/>
        <s v="12-1447337-3" u="1"/>
        <s v="12-1451976-3" u="1"/>
        <s v="13-1432725-3" u="1"/>
        <s v="1-1434295-3" u="1"/>
        <s v="1-1439640-4" u="1"/>
        <s v="12-1442296-2" u="1"/>
        <s v="12-1435918-26" u="1"/>
        <s v="1-1433031-3" u="1"/>
        <s v="1-1437224-3" u="1"/>
        <s v="1-1437424-2" u="1"/>
        <s v="1-1440977-4" u="1"/>
        <s v="1-1444894-4" u="1"/>
        <s v="1-1453306-3" u="1"/>
        <s v="1-1423923-3" u="1"/>
        <s v="1-1432386-7" u="1"/>
        <s v="1-1432986-4" u="1"/>
        <s v="1-1445115-4" u="1"/>
        <s v="1-1445315-3" u="1"/>
        <s v="1-1452690-18" u="1"/>
        <s v="11-1445673-2" u="1"/>
        <s v="12-1431781-3" u="1"/>
        <s v="13-1433725-3" u="1"/>
        <s v="13-1452820-2" u="1"/>
        <s v="1-1430586-2" u="1"/>
        <s v="1-1429522-20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52993-4" u="1"/>
        <s v="1-1430594-2" u="1"/>
        <s v="1-1448317-13" u="1"/>
        <s v="1-1448409-13" u="1"/>
        <s v="1-1432079-2" u="1"/>
        <s v="1-1433431-2" u="1"/>
        <s v="1-1433615-2" u="1"/>
        <s v="1-1433707-2" u="1"/>
        <s v="1-1437440-2" u="1"/>
        <s v="1-1437716-2" u="1"/>
        <s v="1-1440977-5" u="1"/>
        <s v="1-1453430-2" u="1"/>
        <s v="1-1453614-2" u="1"/>
        <s v="1-1453706-2" u="1"/>
        <s v="1-1439309-1" u="1"/>
        <s v="1-1436377-10" u="1"/>
        <s v="1-1429725-2" u="1"/>
        <s v="1-1432386-8" u="1"/>
        <s v="1-1432986-5" u="1"/>
        <s v="1-1441522-2" u="1"/>
        <s v="1-1441706-2" u="1"/>
        <s v="1-1445115-5" u="1"/>
        <s v="1-1447108-2" u="1"/>
        <s v="10-1433349-3" u="1"/>
        <s v="12-1441232-3" u="1"/>
        <s v="1-1432087-2" u="1"/>
        <s v="1-1433715-2" u="1"/>
        <s v="1-1433731-1" u="1"/>
        <s v="1-1437216-5" u="1"/>
        <s v="1-1437632-2" u="1"/>
        <s v="1-1431007-2" u="1"/>
        <s v="1-1435108-2" u="1"/>
        <s v="1-1442594-3" u="1"/>
        <s v="1-1433930-8" u="1"/>
        <s v="1-1440086-2" u="1"/>
        <s v="1-1441222-4" u="1"/>
        <s v="1-1444187-2" u="1"/>
        <s v="1-1444279-2" u="1"/>
        <s v="1-1445631-2" u="1"/>
        <s v="1-1445815-2" u="1"/>
        <s v="1-1448488-1" u="1"/>
        <s v="1-1449240-4" u="1"/>
        <s v="1-1449824-2" u="1"/>
        <s v="10-1452340-2" u="1"/>
        <s v="1-1433815-2" u="1"/>
        <s v="1-1433907-2" u="1"/>
        <s v="1-1437640-2" u="1"/>
        <s v="1-1437732-2" u="1"/>
        <s v="1-1452278-2" u="1"/>
        <s v="1-1453814-2" u="1"/>
        <s v="1-1431015-2" u="1"/>
        <s v="1-1435024-2" u="1"/>
        <s v="1-1429833-2" u="1"/>
        <s v="1-1429909-3" u="1"/>
        <s v="1-1432386-9" u="1"/>
        <s v="1-1440094-2" u="1"/>
        <s v="1-1440186-2" u="1"/>
        <s v="1-1444195-2" u="1"/>
        <s v="1-1444379-2" u="1"/>
        <s v="1-1445115-6" u="1"/>
        <s v="1-1445915-2" u="1"/>
        <s v="1-1449924-2" u="1"/>
        <s v="1-1429658-15" u="1"/>
        <s v="1-1432087-3" u="1"/>
        <s v="1-1432287-2" u="1"/>
        <s v="1-1437216-6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295-2" u="1"/>
        <s v="1-1444387-2" u="1"/>
        <s v="1-1445907-3" u="1"/>
        <s v="1-1447132-2" u="1"/>
        <s v="1-1432095-3" u="1"/>
        <s v="1-1452278-3" u="1"/>
        <s v="1-1452294-2" u="1"/>
        <s v="1-1453830-2" u="1"/>
        <s v="1-1439125-3" u="1"/>
        <s v="1-1439617-1" u="1"/>
        <s v="1-1440094-3" u="1"/>
        <s v="1-1444179-4" u="1"/>
        <s v="1-1444395-2" u="1"/>
        <s v="1-1444687-1" u="1"/>
        <s v="1-1429522-18" u="1"/>
        <s v="1-1447140-2" u="1"/>
        <s v="1-1440727-12" u="1"/>
        <s v="11-1445696-2" u="1"/>
        <s v="13-1431740-2" u="1"/>
        <s v="1-1432287-3" u="1"/>
        <s v="1-1432379-3" u="1"/>
        <s v="1-1432487-2" u="1"/>
        <s v="1-1433731-3" u="1"/>
        <s v="1-1433931-2" u="1"/>
        <s v="1-1437216-7" u="1"/>
        <s v="12-1441295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-1448481-21" u="1"/>
        <s v="11-1445684-2" u="1"/>
        <s v="11-1445776-2" u="1"/>
        <s v="1-1432495-2" u="1"/>
        <s v="1-1437640-4" u="1"/>
        <s v="1-1452586-2" u="1"/>
        <s v="1-1452678-2" u="1"/>
        <s v="1-1431415-2" u="1"/>
        <s v="1-1431507-2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40727-22" u="1"/>
        <s v="1-1429118-1" u="1"/>
        <s v="1-1432379-4" u="1"/>
        <s v="1-1432779-2" u="1"/>
        <s v="1-1433731-4" u="1"/>
        <s v="1-1433931-3" u="1"/>
        <s v="1-1452778-2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7624-2" u="1"/>
        <s v="12-1448616-2" u="1"/>
        <s v="12-1450415-7" u="1"/>
        <s v="1-1433831-4" u="1"/>
        <s v="1-1445008-2" u="1"/>
        <s v="1-1449017-2" u="1"/>
        <s v="1-1452694-2" u="1"/>
        <s v="1-1433892-14" u="1"/>
        <s v="1-1446113-14" u="1"/>
        <s v="1-1451706-2" u="1"/>
        <s v="1-1440094-5" u="1"/>
        <s v="1-1444795-2" u="1"/>
        <s v="1-1444995-1" u="1"/>
        <s v="1-1445115-9" u="1"/>
        <s v="1-1447540-2" u="1"/>
        <s v="1-1432379-5" u="1"/>
        <s v="1-1432979-2" u="1"/>
        <s v="1-1433731-5" u="1"/>
        <s v="1-1445016-2" u="1"/>
        <s v="1-1452886-2" u="1"/>
        <s v="1-1452978-2" u="1"/>
        <s v="1-1435540-2" u="1"/>
        <s v="1-1435724-2" u="1"/>
        <s v="1-1439825-2" u="1"/>
        <s v="1-1433108-2" u="1"/>
        <s v="1-1443523-3" u="1"/>
        <s v="1-1433831-5" u="1"/>
        <s v="1-1436888-3" u="1"/>
        <s v="1-1445116-2" u="1"/>
        <s v="1-1449017-3" u="1"/>
        <s v="1-1449033-2" u="1"/>
        <s v="1-1452894-2" u="1"/>
        <s v="1-1435608-4" u="1"/>
        <s v="1-1435824-2" u="1"/>
        <s v="1-1450094-2" u="1"/>
        <s v="1-1437217-2" u="1"/>
        <s v="1-1444995-2" u="1"/>
        <s v="1-1453007-3" u="1"/>
        <s v="1-1453207-2" u="1"/>
        <s v="1-1447740-2" u="1"/>
        <s v="1-1433731-6" u="1"/>
        <s v="1-1449317-2" u="1"/>
        <s v="1-1452994-2" u="1"/>
        <s v="10-1433524-2" u="1"/>
        <s v="10-1440999-3" u="1"/>
        <s v="10-1453431-2" u="1"/>
        <s v="12-1444719-2" u="1"/>
        <s v="1-1430087-3" u="1"/>
        <s v="1-1430179-3" u="1"/>
        <s v="1-1431915-2" u="1"/>
        <s v="1-1434388-2" u="1"/>
        <s v="1-1450194-2" u="1"/>
        <s v="1-1433032-2" u="1"/>
        <s v="1-1440794-3" u="1"/>
        <s v="1-1444987-3" u="1"/>
        <s v="1-1443831-2" u="1"/>
        <s v="1-1446196-3" u="1"/>
        <s v="1-1443696-13" u="1"/>
        <s v="1-1443788-13" u="1"/>
        <s v="1-1445208-3" u="1"/>
        <s v="1-1445408-2" u="1"/>
        <s v="1-1449017-4" u="1"/>
        <s v="1-1452986-3" u="1"/>
        <s v="10-1434232-3" u="1"/>
        <s v="12-1444723-1" u="1"/>
        <s v="1-1435932-2" u="1"/>
        <s v="10-1430387-2" u="1"/>
        <s v="1-1433224-2" u="1"/>
        <s v="1-1437233-2" u="1"/>
        <s v="1-1437417-2" u="1"/>
        <s v="1-1453007-4" u="1"/>
        <s v="1-1453023-3" u="1"/>
        <s v="1-1453131-2" u="1"/>
        <s v="1-1444888-17" u="1"/>
        <s v="1-1450491-10" u="1"/>
        <s v="1-1423932-2" u="1"/>
        <s v="1-1442287-3" u="1"/>
        <s v="1-1429334-2" u="1"/>
        <s v="1-1432379-7" u="1"/>
        <s v="1-1445324-2" u="1"/>
        <s v="1-1449241-2" u="1"/>
        <s v="1-1431931-2" u="1"/>
        <s v="1-1440008-13" u="1"/>
        <s v="1-1437425-2" u="1"/>
        <s v="1-1423924-3" u="1"/>
        <s v="1-1442679-2" u="1"/>
        <s v="1-1446396-3" u="1"/>
        <s v="1-1443696-23" u="1"/>
        <s v="1-1441323-2" u="1"/>
        <s v="10-1436416-3" u="1"/>
        <s v="1-1430587-2" u="1"/>
        <s v="1-1431907-4" u="1"/>
        <s v="1-1434488-3" u="1"/>
        <s v="1-1434688-2" u="1"/>
        <s v="1-1433332-2" u="1"/>
        <s v="1-1453007-5" u="1"/>
        <s v="1-1453331-2" u="1"/>
        <s v="1-1442579-3" u="1"/>
        <s v="1-1446496-3" u="1"/>
        <s v="1-1429626-2" u="1"/>
        <s v="1-1432379-8" u="1"/>
        <s v="1-1441331-2" u="1"/>
        <s v="1-1449641-1" u="1"/>
        <s v="12-1432991-2" u="1"/>
        <s v="13-1433723-3" u="1"/>
        <s v="1-1430395-3" u="1"/>
        <s v="1-1435740-4" u="1"/>
        <s v="1-1433232-3" u="1"/>
        <s v="1-1433308-4" u="1"/>
        <s v="1-1433432-2" u="1"/>
        <s v="1-1437733-1" u="1"/>
        <s v="1-1446796-2" u="1"/>
        <s v="1-1423985-14" u="1"/>
        <s v="1-1429726-2" u="1"/>
        <s v="1-1441123-4" u="1"/>
        <s v="1-1445532-2" u="1"/>
        <s v="1-1445624-2" u="1"/>
        <s v="1-1448297-1" u="1"/>
        <s v="1-1449541-2" u="1"/>
        <s v="10-1438708-2" u="1"/>
        <s v="1-1430695-2" u="1"/>
        <s v="1-1430879-2" u="1"/>
        <s v="1-1431831-4" u="1"/>
        <s v="1-1447109-2" u="1"/>
        <s v="1-1432088-2" u="1"/>
        <s v="1-1433808-2" u="1"/>
        <s v="1-1435017-2" u="1"/>
        <s v="1-1432285-10" u="1"/>
        <s v="1-1429550-2" u="1"/>
        <s v="1-1432379-9" u="1"/>
        <s v="1-1441531-2" u="1"/>
        <s v="1-1448489-1" u="1"/>
        <s v="10-1445879-4" u="1"/>
        <s v="1-1430179-6" u="1"/>
        <s v="1-1430395-4" u="1"/>
        <s v="1-1435940-4" u="1"/>
        <s v="1-1443016-2" u="1"/>
        <s v="10-1433347-3" u="1"/>
        <s v="12-1440202-4" u="1"/>
        <s v="1-1433908-2" u="1"/>
        <s v="1-1452187-2" u="1"/>
        <s v="1-1452279-2" u="1"/>
        <s v="1-1453707-3" u="1"/>
        <s v="1-1435117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0895-2" u="1"/>
        <s v="1-1438897-3" u="1"/>
        <s v="1-1447217-2" u="1"/>
        <s v="10-1433335-3" u="1"/>
        <s v="10-1452522-2" u="1"/>
        <s v="1-1432288-2" u="1"/>
        <s v="1-1433732-2" u="1"/>
        <s v="1-1433808-3" u="1"/>
        <s v="1-1433840-1" u="1"/>
        <s v="1-1437633-3" u="1"/>
        <s v="1-1453823-2" u="1"/>
        <s v="1-1431208-2" u="1"/>
        <s v="1-1435125-2" u="1"/>
        <s v="1-1429550-3" u="1"/>
        <s v="1-1429750-2" u="1"/>
        <s v="1-1429842-2" u="1"/>
        <s v="1-1440087-3" u="1"/>
        <s v="1-1441731-2" u="1"/>
        <s v="1-1444296-2" u="1"/>
        <s v="1-1445908-3" u="1"/>
        <s v="1-1449733-3" u="1"/>
        <s v="1-1430995-2" u="1"/>
        <s v="1-1443216-2" u="1"/>
        <s v="1-1443232-1" u="1"/>
        <s v="1-1447041-2" u="1"/>
        <s v="10-1435639-2" u="1"/>
        <s v="10-1440998-3" u="1"/>
        <s v="13-1447030-2" u="1"/>
        <s v="1-1432388-2" u="1"/>
        <s v="1-1433832-2" u="1"/>
        <s v="1-1452295-2" u="1"/>
        <s v="1-1452387-2" u="1"/>
        <s v="1-1453831-2" u="1"/>
        <s v="1-1453923-2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8389-3" u="1"/>
        <s v="1-1443316-2" u="1"/>
        <s v="1-1447325-2" u="1"/>
        <s v="1-1447709-1" u="1"/>
        <s v="1-1440728-12" u="1"/>
        <s v="12-1444722-1" u="1"/>
        <s v="1-1432196-3" u="1"/>
        <s v="1-1433808-4" u="1"/>
        <s v="1-1433840-2" u="1"/>
        <s v="1-1452195-3" u="1"/>
        <s v="1-1453931-2" u="1"/>
        <s v="1-1437654-16" u="1"/>
        <s v="1-1435417-2" u="1"/>
        <s v="1-1435525-1" u="1"/>
        <s v="1-1439518-2" u="1"/>
        <s v="1-1429550-4" u="1"/>
        <s v="1-1444496-2" u="1"/>
        <s v="1-1445924-3" u="1"/>
        <s v="1-1421313-28" u="1"/>
        <s v="1-1443416-2" u="1"/>
        <s v="1-1447225-3" u="1"/>
        <s v="10-1438467-2" u="1"/>
        <s v="11-1439307-2" u="1"/>
        <s v="11-1445694-2" u="1"/>
        <s v="1-1432296-3" u="1"/>
        <s v="1-1452679-2" u="1"/>
        <s v="1-1453907-4" u="1"/>
        <s v="1-1435425-2" u="1"/>
        <s v="1-1448389-4" u="1"/>
        <s v="1-1448697-2" u="1"/>
        <s v="1-1430057-11" u="1"/>
        <s v="1-1431907-8" u="1"/>
        <s v="1-1443316-3" u="1"/>
        <s v="1-1443332-2" u="1"/>
        <s v="1-1447617-2" u="1"/>
        <s v="1-1440728-22" u="1"/>
        <s v="1-1433808-5" u="1"/>
        <s v="1-1433840-3" u="1"/>
        <s v="1-1452195-4" u="1"/>
        <s v="1-1452687-2" u="1"/>
        <s v="10-1451049-5" u="1"/>
        <s v="1-1431332-2" u="1"/>
        <s v="1-1431424-2" u="1"/>
        <s v="1-1435141-3" u="1"/>
        <s v="1-1435433-2" u="1"/>
        <s v="1-1439242-3" u="1"/>
        <s v="1-1429550-5" u="1"/>
        <s v="1-1448797-2" u="1"/>
        <s v="1-1443216-4" u="1"/>
        <s v="1-1443432-2" u="1"/>
        <s v="1-1443524-2" u="1"/>
        <s v="1-1447609-3" u="1"/>
        <s v="12-1447414-3" u="1"/>
        <s v="1-1432788-2" u="1"/>
        <s v="1-1445009-2" u="1"/>
        <s v="1-1445117-1" u="1"/>
        <s v="1-1452695-2" u="1"/>
        <s v="1-1446206-14" u="1"/>
        <s v="1-1431908-1" u="1"/>
        <s v="1-1439526-3" u="1"/>
        <s v="1-1450095-1" u="1"/>
        <s v="1-1451431-2" u="1"/>
        <s v="1-1451523-2" u="1"/>
        <s v="1-1433009-2" u="1"/>
        <s v="1-1444796-2" u="1"/>
        <s v="1-1448389-5" u="1"/>
        <s v="1-1453008-2" u="1"/>
        <s v="1-1443624-2" u="1"/>
        <s v="1-1446189-2" u="1"/>
        <s v="1-1432796-2" u="1"/>
        <s v="1-1432888-2" u="1"/>
        <s v="1-1433808-6" u="1"/>
        <s v="1-1433840-4" u="1"/>
        <s v="1-1436897-2" u="1"/>
        <s v="1-1445017-2" u="1"/>
        <s v="1-1452195-5" u="1"/>
        <s v="1-1452687-3" u="1"/>
        <s v="1-1452979-2" u="1"/>
        <s v="12-1444185-3" u="1"/>
        <s v="1-1431516-3" u="1"/>
        <s v="1-1434097-2" u="1"/>
        <s v="1-1439550-2" u="1"/>
        <s v="1-1454188-2" u="1"/>
        <s v="1-1429550-6" u="1"/>
        <s v="1-1433109-2" u="1"/>
        <s v="1-1443524-3" u="1"/>
        <s v="1-1443632-2" u="1"/>
        <s v="1-1446289-2" u="1"/>
        <s v="1-1440820-14" u="1"/>
        <s v="1-1429143-1" u="1"/>
        <s v="1-1452695-3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2196-2" u="1"/>
        <s v="1-1446189-3" u="1"/>
        <s v="1-1447925-2" u="1"/>
        <s v="1-1433808-7" u="1"/>
        <s v="12-1441601-2" u="1"/>
        <s v="1-1431516-4" u="1"/>
        <s v="1-1434389-2" u="1"/>
        <s v="1-1435741-2" u="1"/>
        <s v="1-1435925-2" u="1"/>
        <s v="1-1438598-1" u="1"/>
        <s v="12-1431970-14" u="1"/>
        <s v="1-1433109-3" u="1"/>
        <s v="1-1453308-2" u="1"/>
        <s v="1-1423925-2" u="1"/>
        <s v="1-1443832-2" u="1"/>
        <s v="1-1447609-5" u="1"/>
        <s v="1-1447917-3" u="1"/>
        <s v="13-1438934-2" u="1"/>
        <s v="1-1445209-3" u="1"/>
        <s v="1-1445225-2" u="1"/>
        <s v="1-1445409-2" u="1"/>
        <s v="10-1435638-2" u="1"/>
        <s v="1-1434197-3" u="1"/>
        <s v="1-1435933-2" u="1"/>
        <s v="1-1451831-2" u="1"/>
        <s v="1-1433117-3" u="1"/>
        <s v="1-1433225-2" u="1"/>
        <s v="1-1453024-3" u="1"/>
        <s v="1-1453224-2" u="1"/>
        <s v="1-1443916-3" u="1"/>
        <s v="1-1446389-3" u="1"/>
        <s v="1-1447541-4" u="1"/>
        <s v="12-1435918-5" u="1"/>
        <s v="1-1429319-3" u="1"/>
        <s v="1-1441132-2" u="1"/>
        <s v="1-1445325-2" u="1"/>
        <s v="1-1445417-2" u="1"/>
        <s v="1-1449318-3" u="1"/>
        <s v="10-1436546-2" u="1"/>
        <s v="1-1430396-2" u="1"/>
        <s v="1-1431516-5" u="1"/>
        <s v="1-1435541-4" u="1"/>
        <s v="12-1431970-22" u="1"/>
        <s v="12-1435918-27" u="1"/>
        <s v="1-1433325-2" u="1"/>
        <s v="1-1433509-2" u="1"/>
        <s v="1-1433709-1" u="1"/>
        <s v="1-1437426-2" u="1"/>
        <s v="1-1440979-4" u="1"/>
        <s v="1-1446397-3" u="1"/>
        <s v="1-1445317-3" u="1"/>
        <s v="1-1445609-2" u="1"/>
        <s v="1-1449434-2" u="1"/>
        <s v="12-1448465-2" u="1"/>
        <s v="1-1434197-4" u="1"/>
        <s v="1-1434597-2" u="1"/>
        <s v="1-1434689-2" u="1"/>
        <s v="1-1433241-2" u="1"/>
        <s v="1-1433517-2" u="1"/>
        <s v="1-1437418-3" u="1"/>
        <s v="1-1437434-2" u="1"/>
        <s v="1-1453516-2" u="1"/>
        <s v="1-1442596-2" u="1"/>
        <s v="1-1446097-5" u="1"/>
        <s v="1-1446189-5" u="1"/>
        <s v="1-1446497-3" u="1"/>
        <s v="1-1441240-2" u="1"/>
        <s v="1-1445341-2" u="1"/>
        <s v="1-1449350-2" u="1"/>
        <s v="1-1449918-1" u="1"/>
        <s v="11-1445681-2" u="1"/>
        <s v="11-1445773-2" u="1"/>
        <s v="1-1431516-6" u="1"/>
        <s v="1-1435941-3" u="1"/>
        <s v="10-1430929-1" u="1"/>
        <s v="1-1433525-2" u="1"/>
        <s v="1-1437350-2" u="1"/>
        <s v="1-1437442-2" u="1"/>
        <s v="1-1437718-2" u="1"/>
        <s v="1-1437734-1" u="1"/>
        <s v="1-1446489-4" u="1"/>
        <s v="1-1446797-2" u="1"/>
        <s v="1-1441416-3" u="1"/>
        <s v="1-1448298-1" u="1"/>
        <s v="1-1449142-4" u="1"/>
        <s v="1-1449434-3" u="1"/>
        <s v="1-1434197-5" u="1"/>
        <s v="1-1443009-2" u="1"/>
        <s v="1-1428698-7" u="1"/>
        <s v="1-1432089-2" u="1"/>
        <s v="1-1433441-2" u="1"/>
        <s v="1-1433717-2" u="1"/>
        <s v="1-1437742-1" u="1"/>
        <s v="1-1453008-6" u="1"/>
        <s v="1-1453624-2" u="1"/>
        <s v="1-1453808-2" u="1"/>
        <s v="1-1435018-2" u="1"/>
        <s v="1-1446189-6" u="1"/>
        <s v="1-1429719-3" u="1"/>
        <s v="1-1429735-2" u="1"/>
        <s v="1-1444189-2" u="1"/>
        <s v="1-1448198-2" u="1"/>
        <s v="10-1439534-2" u="1"/>
        <s v="1-1434897-2" u="1"/>
        <s v="1-1435941-4" u="1"/>
        <s v="1-1443033-1" u="1"/>
        <s v="1-1448315-14" u="1"/>
        <s v="1-1433817-2" u="1"/>
        <s v="1-1437642-2" u="1"/>
        <s v="1-1452188-2" u="1"/>
        <s v="1-1453908-2" u="1"/>
        <s v="1-1435318-1" u="1"/>
        <s v="1-1439127-2" u="1"/>
        <s v="1-1442896-2" u="1"/>
        <s v="1-1432386-10" u="1"/>
        <s v="1-1440096-2" u="1"/>
        <s v="1-1441432-3" u="1"/>
        <s v="1-1441632-2" u="1"/>
        <s v="1-1444197-2" u="1"/>
        <s v="1-1444397-1" u="1"/>
        <s v="1-1445317-5" u="1"/>
        <s v="1-1449742-2" u="1"/>
        <s v="1-1434197-6" u="1"/>
        <s v="1-1434689-4" u="1"/>
        <s v="1-1447034-2" u="1"/>
        <s v="10-1433145-4" u="1"/>
        <s v="10-1433345-3" u="1"/>
        <s v="1-1432197-2" u="1"/>
        <s v="1-1433825-2" u="1"/>
        <s v="1-1453824-2" u="1"/>
        <s v="1-1453916-2" u="1"/>
        <s v="1-1446189-7" u="1"/>
        <s v="1-1436415-14" u="1"/>
        <s v="1-1429551-3" u="1"/>
        <s v="1-1429843-2" u="1"/>
        <s v="1-1429935-2" u="1"/>
        <s v="1-1441732-2" u="1"/>
        <s v="1-1444297-2" u="1"/>
        <s v="1-1445741-2" u="1"/>
        <s v="1-1445909-3" u="1"/>
        <s v="1-1449842-2" u="1"/>
        <s v="1-1435941-5" u="1"/>
        <s v="1-1438998-3" u="1"/>
        <s v="1-1443309-2" u="1"/>
        <s v="1-1443325-1" u="1"/>
        <s v="1-1432389-2" u="1"/>
        <s v="1-1437426-5" u="1"/>
        <s v="1-1452296-2" u="1"/>
        <s v="1-1452388-2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51108-3" u="1"/>
        <s v="1-1429943-2" u="1"/>
        <s v="1-1444489-2" u="1"/>
        <s v="1-1449542-4" u="1"/>
        <s v="1-1449834-3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52196-3" u="1"/>
        <s v="1-1452688-1" u="1"/>
        <s v="1-1453008-8" u="1"/>
        <s v="1-1453640-3" u="1"/>
        <s v="1-1453840-2" u="1"/>
        <s v="1-1437655-16" u="1"/>
        <s v="1-1437747-16" u="1"/>
        <s v="1-1431025-3" u="1"/>
        <s v="1-1431225-2" u="1"/>
        <s v="1-1435050-2" u="1"/>
        <s v="1-1435418-2" u="1"/>
        <s v="1-1439519-2" u="1"/>
        <s v="1-1446189-8" u="1"/>
        <s v="1-1429951-2" u="1"/>
        <s v="1-1445925-3" u="1"/>
        <s v="1-1435941-6" u="1"/>
        <s v="1-1443233-2" u="1"/>
        <s v="10-1436545-2" u="1"/>
        <s v="1-1432497-2" u="1"/>
        <s v="1-1437842-3" u="1"/>
        <s v="1-1431141-2" u="1"/>
        <s v="1-1435150-2" u="1"/>
        <s v="1-1435518-2" u="1"/>
        <s v="1-1451216-3" u="1"/>
        <s v="1-1429943-3" u="1"/>
        <s v="1-1440696-1" u="1"/>
        <s v="1-1444197-4" u="1"/>
        <s v="1-1444689-2" u="1"/>
        <s v="1-1448698-2" u="1"/>
        <s v="1-1434197-8" u="1"/>
        <s v="1-1443041-3" u="1"/>
        <s v="1-1447342-2" u="1"/>
        <s v="1-1447618-2" u="1"/>
        <s v="10-1435121-4" u="1"/>
        <s v="1-1432797-1" u="1"/>
        <s v="11-1433236-2" u="1"/>
        <s v="1-1435142-3" u="1"/>
        <s v="1-1446189-9" u="1"/>
        <s v="1-1451240-2" u="1"/>
        <s v="1-1429919-5" u="1"/>
        <s v="1-1444589-3" u="1"/>
        <s v="1-1444789-2" u="1"/>
        <s v="1-1443525-2" u="1"/>
        <s v="1-1443633-1" u="1"/>
        <s v="1-1447242-3" u="1"/>
        <s v="1-1447350-2" u="1"/>
        <s v="11-1445772-2" u="1"/>
        <s v="12-1446320-3" u="1"/>
        <s v="1-1436798-2" u="1"/>
        <s v="1-1449035-1" u="1"/>
        <s v="1-1452696-2" u="1"/>
        <s v="1-1431341-2" u="1"/>
        <s v="1-1435334-3" u="1"/>
        <s v="1-1439619-3" u="1"/>
        <s v="1-1451416-3" u="1"/>
        <s v="1-1429943-4" u="1"/>
        <s v="1-1440588-3" u="1"/>
        <s v="1-1440788-2" u="1"/>
        <s v="1-1434197-9" u="1"/>
        <s v="1-1443641-1" u="1"/>
        <s v="1-1443733-1" u="1"/>
        <s v="1-1443809-2" u="1"/>
        <s v="1-1447034-5" u="1"/>
        <s v="1-1447250-3" u="1"/>
        <s v="1-1447450-2" u="1"/>
        <s v="1-1447542-2" u="1"/>
        <s v="1-1447742-1" u="1"/>
        <s v="1-1445018-2" u="1"/>
        <s v="1-1452796-2" u="1"/>
        <s v="1-1430089-2" u="1"/>
        <s v="1-1431441-2" u="1"/>
        <s v="1-1435434-3" u="1"/>
        <s v="1-1450088-2" u="1"/>
        <s v="1-1451716-2" u="1"/>
        <s v="1-1444789-3" u="1"/>
        <s v="1-1448998-2" u="1"/>
        <s v="1-1453017-2" u="1"/>
        <s v="1-1438264-12" u="1"/>
        <s v="1-1450153-12" u="1"/>
        <s v="1-1442189-2" u="1"/>
        <s v="1-1443417-4" u="1"/>
        <s v="1-1443525-3" u="1"/>
        <s v="1-1447350-3" u="1"/>
        <s v="1-1447842-1" u="1"/>
        <s v="1-1425119-2" u="1"/>
        <s v="1-1429128-2" u="1"/>
        <s v="1-1432897-2" u="1"/>
        <s v="1-1452988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-1452888-3" u="1"/>
        <s v="1-1452996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51824-2" u="1"/>
        <s v="1-1444789-4" u="1"/>
        <s v="1-1444989-3" u="1"/>
        <s v="1-1448798-4" u="1"/>
        <s v="1-1453033-2" u="1"/>
        <s v="1-1453309-2" u="1"/>
        <s v="1-1442389-2" u="1"/>
        <s v="1-1447442-4" u="1"/>
        <s v="1-1447918-3" u="1"/>
        <s v="1-1425227-2" u="1"/>
        <s v="1-1445134-2" u="1"/>
        <s v="1-1449343-1" u="1"/>
        <s v="1-1449527-1" u="1"/>
        <s v="1-1430389-2" u="1"/>
        <s v="1-1435550-3" u="1"/>
        <s v="1-1439943-2" u="1"/>
        <s v="1-1450096-3" u="1"/>
        <s v="1-1433134-2" u="1"/>
        <s v="1-1433318-2" u="1"/>
        <s v="1-1440988-3" u="1"/>
        <s v="1-1444997-3" u="1"/>
        <s v="1-1453409-2" u="1"/>
        <s v="1-1447942-2" u="1"/>
        <s v="1-1441133-2" u="1"/>
        <s v="1-1445142-2" u="1"/>
        <s v="1-1445326-2" u="1"/>
        <s v="1-1445418-2" u="1"/>
        <s v="1-1439919-4" u="1"/>
        <s v="1-1451640-3" u="1"/>
        <s v="1-1451824-3" u="1"/>
        <s v="1-1437427-2" u="1"/>
        <s v="1-1444789-5" u="1"/>
        <s v="1-1453233-2" u="1"/>
        <s v="1-1442297-3" u="1"/>
        <s v="1-1447950-2" u="1"/>
        <s v="1-1441233-2" u="1"/>
        <s v="1-1441509-2" u="1"/>
        <s v="1-1445318-3" u="1"/>
        <s v="1-1449435-2" u="1"/>
        <s v="11-1445795-2" u="1"/>
        <s v="12-1451994-3" u="1"/>
        <s v="1-1430589-2" u="1"/>
        <s v="1-1435842-3" u="1"/>
        <s v="1-1429943-7" u="1"/>
        <s v="1-1433318-3" u="1"/>
        <s v="1-1433518-2" u="1"/>
        <s v="1-1437435-2" u="1"/>
        <s v="1-1440988-4" u="1"/>
        <s v="1-1432139-12" u="1"/>
        <s v="1-1441241-2" u="1"/>
        <s v="1-1441333-2" u="1"/>
        <s v="1-1441517-2" u="1"/>
        <s v="1-1449735-1" u="1"/>
        <s v="12-1448155-4" u="1"/>
        <s v="1-1435942-3" u="1"/>
        <s v="1-1451824-4" u="1"/>
        <s v="1-1433434-2" u="1"/>
        <s v="1-1433618-2" u="1"/>
        <s v="1-1444789-6" u="1"/>
        <s v="1-1439036-1" u="1"/>
        <s v="1-1442789-2" u="1"/>
        <s v="1-1429728-2" u="1"/>
        <s v="1-1441433-2" u="1"/>
        <s v="1-1445442-2" u="1"/>
        <s v="1-1445718-2" u="1"/>
        <s v="1-1449835-1" u="1"/>
        <s v="12-1429356-3" u="1"/>
        <s v="1-1430897-1" u="1"/>
        <s v="1-1450496-3" u="1"/>
        <s v="10-1448019-2" u="1"/>
        <s v="1-1433318-4" u="1"/>
        <s v="1-1440988-5" u="1"/>
        <s v="13-1440097-2" u="1"/>
        <s v="1-1447850-4" u="1"/>
        <s v="1-1432139-22" u="1"/>
        <s v="1-1432379-10" u="1"/>
        <s v="1-1429552-2" u="1"/>
        <s v="1-1445726-2" u="1"/>
        <s v="1-1445834-1" u="1"/>
        <s v="1-1430889-2" u="1"/>
        <s v="1-1435942-4" u="1"/>
        <s v="1-1433634-2" u="1"/>
        <s v="1-1433818-2" u="1"/>
        <s v="1-1437443-3" u="1"/>
        <s v="1-1437643-2" u="1"/>
        <s v="1-1453541-2" u="1"/>
        <s v="1-1453909-2" u="1"/>
        <s v="1-1442989-2" u="1"/>
        <s v="1-1429728-3" u="1"/>
        <s v="1-1445318-5" u="1"/>
        <s v="1-1445934-1" u="1"/>
        <s v="1-1448299-2" u="1"/>
        <s v="1-1449743-2" u="1"/>
        <s v="1-1430789-3" u="1"/>
        <s v="12-1444182-3" u="1"/>
        <s v="13-1447154-2" u="1"/>
        <s v="1-1437635-3" u="1"/>
        <s v="1-1437743-2" u="1"/>
        <s v="1-1440988-6" u="1"/>
        <s v="1-1451409-1" u="1"/>
        <s v="1-1432139-32" u="1"/>
        <s v="1-1432379-20" u="1"/>
        <s v="1-1429828-3" u="1"/>
        <s v="1-1429844-2" u="1"/>
        <s v="12-1435691-4" u="1"/>
        <s v="1-1430997-2" u="1"/>
        <s v="1-1435942-5" u="1"/>
        <s v="1-1443034-2" u="1"/>
        <s v="10-1452622-2" u="1"/>
        <s v="1-1433742-2" u="1"/>
        <s v="1-1433834-2" u="1"/>
        <s v="1-1437427-5" u="1"/>
        <s v="1-1437843-2" u="1"/>
        <s v="1-1453833-2" u="1"/>
        <s v="1-1431018-3" u="1"/>
        <s v="1-1439236-2" u="1"/>
        <s v="1-1442897-3" u="1"/>
        <s v="1-1441741-2" u="1"/>
        <s v="1-1447235-2" u="1"/>
        <s v="10-1435647-2" u="1"/>
        <s v="12-1443222-4" u="1"/>
        <s v="12-1444250-3" u="1"/>
        <s v="1-1437743-3" u="1"/>
        <s v="1-1453841-2" u="1"/>
        <s v="1-1435051-2" u="1"/>
        <s v="1-1435343-1" u="1"/>
        <s v="1-1451333-1" u="1"/>
        <s v="1-1435942-6" u="1"/>
        <s v="1-1447151-2" u="1"/>
        <s v="10-1434315-4" u="1"/>
        <s v="12-1430794-4" u="1"/>
        <s v="12-1445250-3" u="1"/>
        <s v="1-1453941-2" u="1"/>
        <s v="1-1431142-2" u="1"/>
        <s v="1-1435427-2" u="1"/>
        <s v="1-1436464-22" u="1"/>
        <s v="1-1452858-11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51609-2" u="1"/>
        <s v="1-1440689-2" u="1"/>
        <s v="1-1448799-2" u="1"/>
        <s v="1-1443526-2" u="1"/>
        <s v="1-1443634-1" u="1"/>
        <s v="1-1447627-2" u="1"/>
        <s v="11-1445690-2" u="1"/>
        <s v="1-1435335-3" u="1"/>
        <s v="1-1435351-2" u="1"/>
        <s v="1-1435427-3" u="1"/>
        <s v="1-1451617-2" u="1"/>
        <s v="1-1452690-11" u="1"/>
        <s v="1-1429728-6" u="1"/>
        <s v="1-1443534-2" u="1"/>
        <s v="12-1453993-3" u="1"/>
        <s v="13-1447177-2" u="1"/>
        <s v="1-1431626-2" u="1"/>
        <s v="1-1435143-4" u="1"/>
        <s v="1-1439352-3" u="1"/>
        <s v="1-1439552-2" u="1"/>
        <s v="1-1451117-5" u="1"/>
        <s v="1-1451717-2" u="1"/>
        <s v="1-1433019-2" u="1"/>
        <s v="1-1448799-3" u="1"/>
        <s v="1-1448999-2" u="1"/>
        <s v="1-1450338-12" u="1"/>
        <s v="1-1447351-3" u="1"/>
        <s v="1-1447535-3" u="1"/>
        <s v="1-1447919-2" u="1"/>
        <s v="1-1433850-4" u="1"/>
        <s v="1-1445227-1" u="1"/>
        <s v="1-1449128-2" u="1"/>
        <s v="13-1451696-3" u="1"/>
        <s v="1-1435427-4" u="1"/>
        <s v="1-1435443-3" u="1"/>
        <s v="1-1435551-2" u="1"/>
        <s v="1-1451325-4" u="1"/>
        <s v="1-1451541-2" u="1"/>
        <s v="1-1454198-2" u="1"/>
        <s v="1-1435376-15" u="1"/>
        <s v="1-1429728-7" u="1"/>
        <s v="1-1443734-2" u="1"/>
        <s v="1-1446299-2" u="1"/>
        <s v="13-1445021-3" u="1"/>
        <s v="1-1435543-3" u="1"/>
        <s v="1-1439352-4" u="1"/>
        <s v="1-1450089-3" u="1"/>
        <s v="1-1451117-6" u="1"/>
        <s v="1-1451825-2" u="1"/>
        <s v="10-1441005-2" u="1"/>
        <s v="12-1431970-15" u="1"/>
        <s v="1-1429752-6" u="1"/>
        <s v="1-1433035-2" u="1"/>
        <s v="1-1433127-2" u="1"/>
        <s v="1-1440689-4" u="1"/>
        <s v="1-1423927-2" u="1"/>
        <s v="1-1446199-3" u="1"/>
        <s v="1-1447551-3" u="1"/>
        <s v="1-1441326-1" u="1"/>
        <s v="1-1445135-2" u="1"/>
        <s v="1-1445319-2" u="1"/>
        <s v="1-1452989-3" u="1"/>
        <s v="10-1434370-2" u="1"/>
        <s v="12-1444353-3" u="1"/>
        <s v="13-1451872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7236-2" u="1"/>
        <s v="1-1438749-12" u="1"/>
        <s v="1-1443842-2" u="1"/>
        <s v="1-1446499-2" u="1"/>
        <s v="1-1429061-2" u="1"/>
        <s v="1-1449152-2" u="1"/>
        <s v="11-1437222-2" u="1"/>
        <s v="12-1446749-2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53618-1" u="1"/>
        <s v="1-1446199-4" u="1"/>
        <s v="1-1441342-1" u="1"/>
        <s v="1-1449528-2" u="1"/>
        <s v="10-1438394-2" u="1"/>
        <s v="12-1445817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53626-1" u="1"/>
        <s v="1-1453718-1" u="1"/>
        <s v="1-1429045-4" u="1"/>
        <s v="1-1441242-2" u="1"/>
        <s v="1-1449152-3" u="1"/>
        <s v="10-1435806-2" u="1"/>
        <s v="12-1448381-2" u="1"/>
        <s v="1-1434699-2" u="1"/>
        <s v="1-1439352-6" u="1"/>
        <s v="1-1451117-8" u="1"/>
        <s v="1-1451733-4" u="1"/>
        <s v="1-1451933-3" u="1"/>
        <s v="11-1433337-2" u="1"/>
        <s v="1-1433435-2" u="1"/>
        <s v="1-1437444-2" u="1"/>
        <s v="1-1437536-2" u="1"/>
        <s v="1-1437736-1" u="1"/>
        <s v="1-1440689-6" u="1"/>
        <s v="1-1453034-4" u="1"/>
        <s v="1-1453434-2" u="1"/>
        <s v="1-1453526-2" u="1"/>
        <s v="1-1446199-5" u="1"/>
        <s v="1-1441434-2" u="1"/>
        <s v="1-1449544-2" u="1"/>
        <s v="1-1434799-2" u="1"/>
        <s v="1-1435551-5" u="1"/>
        <s v="1-1451325-7" u="1"/>
        <s v="1-1437436-3" u="1"/>
        <s v="1-1437744-1" u="1"/>
        <s v="1-1453350-2" u="1"/>
        <s v="1-1429045-5" u="1"/>
        <s v="1-1429553-2" u="1"/>
        <s v="1-1429829-2" u="1"/>
        <s v="1-1441334-3" u="1"/>
        <s v="1-1445635-2" u="1"/>
        <s v="1-1449628-3" u="1"/>
        <s v="1-1449828-2" u="1"/>
        <s v="1-1439352-7" u="1"/>
        <s v="1-1448409-14" u="1"/>
        <s v="13-1447176-2" u="1"/>
        <s v="1-1432099-2" u="1"/>
        <s v="1-1433451-2" u="1"/>
        <s v="1-1433635-2" u="1"/>
        <s v="1-1437460-2" u="1"/>
        <s v="1-1437644-2" u="1"/>
        <s v="1-1440689-7" u="1"/>
        <s v="1-1453250-3" u="1"/>
        <s v="1-1436377-11" u="1"/>
        <s v="1-1429529-4" u="1"/>
        <s v="1-1429929-2" u="1"/>
        <s v="1-1441142-4" u="1"/>
        <s v="1-1441250-3" u="1"/>
        <s v="1-1441450-2" u="1"/>
        <s v="1-1445827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53826-2" u="1"/>
        <s v="1-1453918-2" u="1"/>
        <s v="1-1429045-6" u="1"/>
        <s v="1-1444299-2" u="1"/>
        <s v="1-1449152-5" u="1"/>
        <s v="1-1449628-4" u="1"/>
        <s v="1-1432299-2" u="1"/>
        <s v="1-1433819-3" u="1"/>
        <s v="1-1433835-2" u="1"/>
        <s v="1-1437352-4" u="1"/>
        <s v="1-1437628-4" u="1"/>
        <s v="1-1437644-3" u="1"/>
        <s v="1-1440689-8" u="1"/>
        <s v="1-1453834-2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51325-9" u="1"/>
        <s v="13-1451871-2" u="1"/>
        <s v="1-1433827-3" u="1"/>
        <s v="1-1453934-2" u="1"/>
        <s v="1-1435528-1" u="1"/>
        <s v="1-1442798-4" u="1"/>
        <s v="1-1429845-3" u="1"/>
        <s v="1-1445819-4" u="1"/>
        <s v="1-1445851-2" u="1"/>
        <s v="1-1449860-2" u="1"/>
        <s v="1-1435709-10" u="1"/>
        <s v="1-1443127-3" u="1"/>
        <s v="1-1443235-2" u="1"/>
        <s v="1-1443527-1" u="1"/>
        <s v="1-1447060-2" u="1"/>
        <s v="10-1433421-3" u="1"/>
        <s v="12-1446472-2" u="1"/>
        <s v="1-1432499-2" u="1"/>
        <s v="1-1437860-2" u="1"/>
        <s v="1-1440689-9" u="1"/>
        <s v="1-1452298-3" u="1"/>
        <s v="1-1452698-1" u="1"/>
        <s v="10-1430388-3" u="1"/>
        <s v="1-1439529-2" u="1"/>
        <s v="1-1451234-2" u="1"/>
        <s v="1-1429161-6" u="1"/>
        <s v="1-1429529-6" u="1"/>
        <s v="1-1445935-3" u="1"/>
        <s v="1-1429522-19" u="1"/>
        <s v="1-1443151-2" u="1"/>
        <s v="1-1443335-2" u="1"/>
        <s v="1-1443519-2" u="1"/>
        <s v="1-1444888-10" u="1"/>
        <s v="10-1435633-2" u="1"/>
        <s v="10-1437657-2" u="1"/>
        <s v="10-1454404-4" u="1"/>
        <s v="1-1453950-2" u="1"/>
        <s v="1-1446189-10" u="1"/>
        <s v="1-1431335-2" u="1"/>
        <s v="1-1431427-2" u="1"/>
        <s v="1-1435452-1" u="1"/>
        <s v="1-1435528-2" u="1"/>
        <s v="1-1439537-2" u="1"/>
        <s v="1-1429045-8" u="1"/>
        <s v="1-1441950-2" u="1"/>
        <s v="1-1443051-3" u="1"/>
        <s v="1-1443251-2" u="1"/>
        <s v="1-1443635-1" u="1"/>
        <s v="1-1443819-1" u="1"/>
        <s v="1-1447260-2" u="1"/>
        <s v="1-1447428-3" u="1"/>
        <s v="1-1437644-5" u="1"/>
        <s v="1-1445028-1" u="1"/>
        <s v="1-1452498-3" u="1"/>
        <s v="11-1433336-2" u="1"/>
        <s v="11-1433428-2" u="1"/>
        <s v="13-1422324-2" u="1"/>
        <s v="1-1435152-3" u="1"/>
        <s v="1-1435352-2" u="1"/>
        <s v="1-1451250-2" u="1"/>
        <s v="1-1451434-2" u="1"/>
        <s v="1-1451618-2" u="1"/>
        <s v="1-1429529-7" u="1"/>
        <s v="1-1440498-3" u="1"/>
        <s v="1-1445935-4" u="1"/>
        <s v="1-1434197-10" u="1"/>
        <s v="1-1443351-2" u="1"/>
        <s v="1-1447560-1" u="1"/>
        <s v="1-1447728-2" u="1"/>
        <s v="1-1432799-2" u="1"/>
        <s v="1-1452798-2" u="1"/>
        <s v="1-1431535-2" u="1"/>
        <s v="1-1431627-2" u="1"/>
        <s v="1-1435544-2" u="1"/>
        <s v="1-1439445-3" u="1"/>
        <s v="1-1439553-2" u="1"/>
        <s v="1-1439629-3" u="1"/>
        <s v="1-1439737-2" u="1"/>
        <s v="1-1439829-2" u="1"/>
        <s v="1-1451718-2" u="1"/>
        <s v="1-1429045-9" u="1"/>
        <s v="1-1443727-2" u="1"/>
        <s v="12-1447604-3" u="1"/>
        <s v="1-1432899-2" u="1"/>
        <s v="1-1433851-4" u="1"/>
        <s v="1-1437644-6" u="1"/>
        <s v="1-1433892-15" u="1"/>
        <s v="1-1446113-15" u="1"/>
        <s v="1-1430099-2" u="1"/>
        <s v="1-1435260-3" u="1"/>
        <s v="1-1435552-2" u="1"/>
        <s v="1-1454199-2" u="1"/>
        <s v="1-1429529-8" u="1"/>
        <s v="1-1440898-2" u="1"/>
        <s v="1-1445935-5" u="1"/>
        <s v="1-1447744-2" u="1"/>
        <s v="10-1445896-4" u="1"/>
        <s v="12-1448620-2" u="1"/>
        <s v="1-1449137-2" u="1"/>
        <s v="10-1433348-4" u="1"/>
        <s v="10-1434668-2" u="1"/>
        <s v="10-1453639-3" u="1"/>
        <s v="11-1436336-2" u="1"/>
        <s v="13-1451694-3" u="1"/>
        <s v="1-1431551-2" u="1"/>
        <s v="1-1435544-3" u="1"/>
        <s v="1-1451550-2" u="1"/>
        <s v="1-1451826-2" u="1"/>
        <s v="1-1451934-1" u="1"/>
        <s v="1-1454099-3" u="1"/>
        <s v="1-1445213-11" u="1"/>
        <s v="1-1423928-2" u="1"/>
        <s v="1-1437644-7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0-1452803-2" u="1"/>
        <s v="10-1453431-3" u="1"/>
        <s v="1-1431919-3" u="1"/>
        <s v="1-1435544-4" u="1"/>
        <s v="1-1435944-2" u="1"/>
        <s v="1-1450598-1" u="1"/>
        <s v="1-1451918-3" u="1"/>
        <s v="1-1433144-2" u="1"/>
        <s v="1-1433328-2" u="1"/>
        <s v="1-1453127-3" u="1"/>
        <s v="1-1447952-2" u="1"/>
        <s v="1-1443696-14" u="1"/>
        <s v="1-1443788-14" u="1"/>
        <s v="1-1421528-1" u="1"/>
        <s v="1-1432899-4" u="1"/>
        <s v="1-1437644-8" u="1"/>
        <s v="1-1441251-1" u="1"/>
        <s v="1-1441419-2" u="1"/>
        <s v="1-1445244-2" u="1"/>
        <s v="13-1448415-2" u="1"/>
        <s v="1-1435260-5" u="1"/>
        <s v="1-1435552-4" u="1"/>
        <s v="1-1435660-3" u="1"/>
        <s v="1-1435752-3" u="1"/>
        <s v="1-1451926-3" u="1"/>
        <s v="1-1429761-7" u="1"/>
        <s v="1-1445935-7" u="1"/>
        <s v="1-1453427-2" u="1"/>
        <s v="1-1444888-18" u="1"/>
        <s v="1-1443643-4" u="1"/>
        <s v="1-1429046-4" u="1"/>
        <s v="1-1441243-2" u="1"/>
        <s v="1-1445344-2" u="1"/>
        <s v="1-1445436-2" u="1"/>
        <s v="1-1449153-3" u="1"/>
        <s v="10-1435908-2" u="1"/>
        <s v="1-1431951-2" u="1"/>
        <s v="1-1435544-5" u="1"/>
        <s v="1-1435728-5" u="1"/>
        <s v="1-1435744-4" u="1"/>
        <s v="1-1451950-2" u="1"/>
        <s v="1-1440008-14" u="1"/>
        <s v="1-1453251-2" u="1"/>
        <s v="1-1443696-24" u="1"/>
        <s v="1-1437644-9" u="1"/>
        <s v="1-1445352-2" u="1"/>
        <s v="1-1430899-1" u="1"/>
        <s v="1-1435552-5" u="1"/>
        <s v="1-1435752-4" u="1"/>
        <s v="10-1432679-2" u="1"/>
        <s v="1-1433260-2" u="1"/>
        <s v="1-1437453-2" u="1"/>
        <s v="1-1445935-8" u="1"/>
        <s v="1-1453443-2" u="1"/>
        <s v="1-1453627-2" u="1"/>
        <s v="1-1453719-2" u="1"/>
        <s v="12-1438144-10" u="1"/>
        <s v="1-1442799-2" u="1"/>
        <s v="1-1443643-5" u="1"/>
        <s v="1-1429046-5" u="1"/>
        <s v="1-1429554-2" u="1"/>
        <s v="1-1429662-1" u="1"/>
        <s v="1-1441443-2" u="1"/>
        <s v="1-1441719-2" u="1"/>
        <s v="1-1449461-2" u="1"/>
        <s v="1-1449737-2" u="1"/>
        <s v="1-1435544-6" u="1"/>
        <s v="11-1433231-2" u="1"/>
        <s v="1-1433360-2" u="1"/>
        <s v="1-1453727-2" u="1"/>
        <s v="1-1441251-3" u="1"/>
        <s v="1-1441451-2" u="1"/>
        <s v="1-1445644-2" u="1"/>
        <s v="1-1435552-6" u="1"/>
        <s v="1-1450698-3" u="1"/>
        <s v="1-1429943-10" u="1"/>
        <s v="1-1433828-2" u="1"/>
        <s v="1-1437453-3" u="1"/>
        <s v="1-1437637-3" u="1"/>
        <s v="1-1445935-9" u="1"/>
        <s v="1-1453827-2" u="1"/>
        <s v="1-1435037-2" u="1"/>
        <s v="1-1443643-6" u="1"/>
        <s v="1-1429046-6" u="1"/>
        <s v="1-1429846-2" u="1"/>
        <s v="1-1445836-2" u="1"/>
        <s v="1-1449645-3" u="1"/>
        <s v="1-1430399-5" u="1"/>
        <s v="1-1435544-7" u="1"/>
        <s v="1-1443036-2" u="1"/>
        <s v="1-1447137-2" u="1"/>
        <s v="1-1447229-2" u="1"/>
        <s v="10-1434667-2" u="1"/>
        <s v="12-1442734-2" u="1"/>
        <s v="1-1433852-1" u="1"/>
        <s v="1-1437737-3" u="1"/>
        <s v="1-1437845-2" u="1"/>
        <s v="1-1453619-4" u="1"/>
        <s v="11-1431094-2" u="1"/>
        <s v="1-1431128-2" u="1"/>
        <s v="1-1435045-2" u="1"/>
        <s v="1-1435137-2" u="1"/>
        <s v="1-1442899-3" u="1"/>
        <s v="1-1432141-14" u="1"/>
        <s v="1-1429838-3" u="1"/>
        <s v="1-1440099-3" u="1"/>
        <s v="1-1441651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51227-2" u="1"/>
        <s v="1-1429046-7" u="1"/>
        <s v="1-1445852-2" u="1"/>
        <s v="1-1445944-2" u="1"/>
        <s v="1-1449861-2" u="1"/>
        <s v="1-1435544-8" u="1"/>
        <s v="1-1447261-1" u="1"/>
        <s v="1-1447429-2" u="1"/>
        <s v="1-1433852-2" u="1"/>
        <s v="10-1443014-2" u="1"/>
        <s v="1-1439346-2" u="1"/>
        <s v="1-1451051-2" u="1"/>
        <s v="1-1429162-6" u="1"/>
        <s v="1-1429870-2" u="1"/>
        <s v="1-1429962-2" u="1"/>
        <s v="1-1440699-1" u="1"/>
        <s v="1-1441651-3" u="1"/>
        <s v="1-1445952-2" u="1"/>
        <s v="1-1435260-9" u="1"/>
        <s v="1-1435552-8" u="1"/>
        <s v="1-1443336-2" u="1"/>
        <s v="1-1447161-2" u="1"/>
        <s v="1-1447345-2" u="1"/>
        <s v="1-1447437-2" u="1"/>
        <s v="1-1440728-13" u="1"/>
        <s v="12-1448386-3" u="1"/>
        <s v="13-1435998-2" u="1"/>
        <s v="13-1452745-4" u="1"/>
        <s v="13-1452961-2" u="1"/>
        <s v="1-1433860-2" u="1"/>
        <s v="1-1437637-5" u="1"/>
        <s v="1-1452599-2" u="1"/>
        <s v="1-1453951-2" u="1"/>
        <s v="1-1437654-17" u="1"/>
        <s v="10-1430386-3" u="1"/>
        <s v="1-1435145-3" u="1"/>
        <s v="1-1435161-2" u="1"/>
        <s v="1-1435453-1" u="1"/>
        <s v="1-1439370-1" u="1"/>
        <s v="1-1439446-2" u="1"/>
        <s v="1-1435544-9" u="1"/>
        <s v="1-1443252-2" u="1"/>
        <s v="1-1443636-1" u="1"/>
        <s v="1-1447245-3" u="1"/>
        <s v="1-1433960-2" u="1"/>
        <s v="1-1449038-1" u="1"/>
        <s v="1-1435153-3" u="1"/>
        <s v="1-1435353-2" u="1"/>
        <s v="1-1451143-3" u="1"/>
        <s v="1-1451619-2" u="1"/>
        <s v="1-1429162-7" u="1"/>
        <s v="1-1430057-12" u="1"/>
        <s v="1-1435552-9" u="1"/>
        <s v="1-1443044-4" u="1"/>
        <s v="1-1443644-1" u="1"/>
        <s v="1-1447729-2" u="1"/>
        <s v="1-1440728-23" u="1"/>
        <s v="10-1438471-2" u="1"/>
        <s v="1-1437637-6" u="1"/>
        <s v="1-1452799-2" u="1"/>
        <s v="12-1442293-3" u="1"/>
        <s v="1-1431044-4" u="1"/>
        <s v="1-1431352-2" u="1"/>
        <s v="1-1431628-2" u="1"/>
        <s v="1-1439462-2" u="1"/>
        <s v="1-1439846-1" u="1"/>
        <s v="1-1451719-2" u="1"/>
        <s v="1-1430209-14" u="1"/>
        <s v="1-1447629-3" u="1"/>
        <s v="1-1447737-2" u="1"/>
        <s v="1-1437753-5" u="1"/>
        <s v="1-1452899-2" u="1"/>
      </sharedItems>
    </cacheField>
    <cacheField name="Anunciante" numFmtId="0">
      <sharedItems/>
    </cacheField>
    <cacheField name="Cod. Neg." numFmtId="0">
      <sharedItems containsBlank="1" count="3146">
        <s v="277347"/>
        <m/>
        <s v="279379"/>
        <s v="279386"/>
        <s v="279334"/>
        <s v="279382"/>
        <s v="279385"/>
        <s v="279383"/>
        <s v="279333"/>
        <s v="279534"/>
        <s v="279533"/>
        <s v="19 marzo arquitect"/>
        <s v="19 marzo albañil"/>
        <s v="279152"/>
        <s v="279156"/>
        <s v="28085"/>
        <s v="277350 12"/>
        <s v="279752 1232"/>
        <s v="279751 456"/>
        <s v="22MARZO 2021"/>
        <s v="277348 12"/>
        <s v="279384"/>
        <s v="19 marzo resp carpint."/>
        <s v="mecanico 19 marzo"/>
        <s v="279155"/>
        <s v="HUANUCO"/>
        <s v="89"/>
        <s v="279331"/>
        <s v="279380"/>
        <s v="279330"/>
        <s v="90902"/>
        <s v="279397"/>
        <s v="1303"/>
        <s v="279347"/>
        <s v="279332"/>
        <s v="151120M2"/>
        <s v="&gt;PENDIENTE&lt;"/>
        <s v="032021 Imp"/>
        <s v="2653"/>
        <s v="26505"/>
        <s v="1542"/>
        <s v="4964"/>
        <s v="032021"/>
        <s v="2303020"/>
        <s v="279381"/>
        <s v="279371"/>
        <s v="279377"/>
        <s v="279378"/>
        <s v="279390"/>
        <s v="279320"/>
        <s v="279321"/>
        <s v="279322"/>
        <s v="279323"/>
        <s v="279324"/>
        <s v="279325"/>
        <s v="279326"/>
        <s v="279327"/>
        <s v="279328"/>
        <s v="279329"/>
        <s v="m2021"/>
        <s v="mar2303"/>
        <s v="1235"/>
        <s v="4838" u="1"/>
        <s v="BSE2020" u="1"/>
        <s v="21656" u="1"/>
        <s v="274454" u="1"/>
        <s v="256639" u="1"/>
        <s v="275718" u="1"/>
        <s v="278386" u="1"/>
        <s v="279398" u="1"/>
        <s v="171020201" u="1"/>
        <s v="3300" u="1"/>
        <s v="276442" u="1"/>
        <s v="278374" u="1"/>
        <s v="279294" u="1"/>
        <s v="279478" u="1"/>
        <s v="1542369" u="1"/>
        <s v="2743261" u="1"/>
        <s v="090720cd" u="1"/>
        <s v="1711" u="1"/>
        <s v="277350" u="1"/>
        <s v="278546" u="1"/>
        <s v="279190" u="1"/>
        <s v="279282" u="1"/>
        <s v="279466" u="1"/>
        <s v="2770741" u="1"/>
        <s v="278534" u="1"/>
        <s v="278626" u="1"/>
        <s v="279270" u="1"/>
        <s v="279362" u="1"/>
        <s v="279454" u="1"/>
        <s v="279546" u="1"/>
        <s v="279638" u="1"/>
        <s v="280008" u="1"/>
        <s v="278522" u="1"/>
        <s v="278614" u="1"/>
        <s v="279350" u="1"/>
        <s v="279626" u="1"/>
        <s v="279718" u="1"/>
        <s v="278510" u="1"/>
        <s v="278602" u="1"/>
        <s v="279430" u="1"/>
        <s v="279522" u="1"/>
        <s v="279614" u="1"/>
        <s v="279706" u="1"/>
        <s v="2809893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268812 1" u="1"/>
        <s v="2oct 20901" u="1"/>
        <s v="070806" u="1"/>
        <s v="150520" u="1"/>
        <s v="030520" u="1"/>
        <s v="25690" u="1"/>
        <s v="0410020200" u="1"/>
        <s v="275728" u="1"/>
        <s v="7287" u="1"/>
        <s v="256361" u="1"/>
        <s v="279396" u="1"/>
        <s v="279488" u="1"/>
        <s v="276440" u="1"/>
        <s v="278648" u="1"/>
        <s v="279292" u="1"/>
        <s v="279476" u="1"/>
        <s v="279568" u="1"/>
        <s v="07112020" u="1"/>
        <s v="23102020" u="1"/>
        <s v="11102020" u="1"/>
        <s v="22202" u="1"/>
        <s v="278544" u="1"/>
        <s v="278636" u="1"/>
        <s v="279280" u="1"/>
        <s v="279464" u="1"/>
        <s v="279648" u="1"/>
        <s v="298635" u="1"/>
        <s v="18febrero" u="1"/>
        <s v="280018" u="1"/>
        <s v="278532" u="1"/>
        <s v="278624" u="1"/>
        <s v="279360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4961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080321UB" u="1"/>
        <s v="25691" u="1"/>
        <s v="275726" u="1"/>
        <s v="279498" u="1"/>
        <s v="280667 2" u="1"/>
        <s v="275714" u="1"/>
        <s v="276450" u="1"/>
        <s v="278382" u="1"/>
        <s v="279394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474" u="1"/>
        <s v="279566" u="1"/>
        <s v="279658" u="1"/>
        <s v="280028" u="1"/>
        <s v="278542" u="1"/>
        <s v="278634" u="1"/>
        <s v="279370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51120M" u="1"/>
        <s v="14092020" u="1"/>
        <s v="200920200" u="1"/>
        <s v="02092020" u="1"/>
        <s v="8MARZO NUMANCIA" u="1"/>
        <s v="310520" u="1"/>
        <s v="21febrero 2021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0903" u="1"/>
        <s v="275712" u="1"/>
        <s v="279392" u="1"/>
        <s v="279484" u="1"/>
        <s v="279576" u="1"/>
        <s v="279668" u="1"/>
        <s v="07122020" u="1"/>
        <s v="280038" u="1"/>
        <s v="278644" u="1"/>
        <s v="279472" u="1"/>
        <s v="279564" u="1"/>
        <s v="279656" u="1"/>
        <s v="279748" u="1"/>
        <s v="280026" u="1"/>
        <s v="280118" u="1"/>
        <s v="22febrero" u="1"/>
        <s v="280930 10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8804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4962" u="1"/>
        <s v="261003" u="1"/>
        <s v="274454 oct20" u="1"/>
        <s v="279700" u="1"/>
        <s v="390482" u="1"/>
        <s v="I" u="1"/>
        <s v="10092020" u="1"/>
        <s v="9228" u="1"/>
        <s v="154236U" u="1"/>
        <s v="10820" u="1"/>
        <s v="2785441 marzo" u="1"/>
        <s v="28nov" u="1"/>
        <s v="290023 2" u="1"/>
        <s v="151120W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279598" u="1"/>
        <s v="302020UC" u="1"/>
        <s v="280944 11" u="1"/>
        <s v="275722" u="1"/>
        <s v="279494" u="1"/>
        <s v="279586" u="1"/>
        <s v="279678" u="1"/>
        <s v="27122020" u="1"/>
        <s v="4512" u="1"/>
        <s v="dic op 03 2020" u="1"/>
        <s v="275710" u="1"/>
        <s v="278654" u="1"/>
        <s v="278838" u="1"/>
        <s v="279482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171903" u="1"/>
        <s v="080321 cd" u="1"/>
        <s v="277676" u="1"/>
        <s v="275732" u="1"/>
        <s v="278676" u="1"/>
        <s v="279688" u="1"/>
        <s v="298675" u="1"/>
        <s v="275720" u="1"/>
        <s v="278572" u="1"/>
        <s v="279492" u="1"/>
        <s v="279584" u="1"/>
        <s v="279676" u="1"/>
        <s v="23122020" u="1"/>
        <s v="280046" u="1"/>
        <s v="280138" u="1"/>
        <s v="11122020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8824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4953" u="1"/>
        <s v="280102" u="1"/>
        <s v="25698 11" u="1"/>
        <s v="26531" u="1"/>
        <s v="279720" u="1"/>
        <s v="279812" u="1"/>
        <s v="279904" u="1"/>
        <s v="303039" u="1"/>
        <s v="1546283" u="1"/>
        <s v="4963" u="1"/>
        <s v="101105" u="1"/>
        <s v="182021" u="1"/>
        <s v="2563" u="1"/>
        <s v="082020" u="1"/>
        <s v="222001" u="1"/>
        <s v="21286" u="1"/>
        <s v="nov1020" u="1"/>
        <s v="3901901" u="1"/>
        <s v="269234 5" u="1"/>
        <s v="102020 aj" u="1"/>
        <s v="25695" u="1"/>
        <s v="277698" u="1"/>
        <s v="277686" u="1"/>
        <s v="278698" u="1"/>
        <s v="10015" u="1"/>
        <s v="275742" u="1"/>
        <s v="277674" u="1"/>
        <s v="278686" u="1"/>
        <s v="279698" u="1"/>
        <s v="280068" u="1"/>
        <s v="15012021" u="1"/>
        <s v="275730" u="1"/>
        <s v="277662" u="1"/>
        <s v="278674" u="1"/>
        <s v="278858" u="1"/>
        <s v="279594" u="1"/>
        <s v="279686" u="1"/>
        <s v="03012021" u="1"/>
        <s v="2103" u="1"/>
        <s v="10123" u="1"/>
        <s v="280148" u="1"/>
        <s v="277926" u="1"/>
        <s v="278938" u="1"/>
        <s v="279490" u="1"/>
        <s v="279582" u="1"/>
        <s v="279674" u="1"/>
        <s v="279858" u="1"/>
        <s v="280044" u="1"/>
        <s v="280136" u="1"/>
        <s v="280228" u="1"/>
        <s v="277914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22021" u="1"/>
        <s v="042020" u="1"/>
        <s v="4593" u="1"/>
        <s v="13-112020" u="1"/>
        <s v="FEFER 07-20" u="1"/>
        <s v="25688" u="1"/>
        <s v="25696" u="1"/>
        <s v="290911" u="1"/>
        <s v="0708060" u="1"/>
        <s v="00279058" u="1"/>
        <s v="49996" u="1"/>
        <s v="2800085" u="1"/>
        <s v="275672" u="1"/>
        <s v="277696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8948" u="1"/>
        <s v="279592" u="1"/>
        <s v="279684" u="1"/>
        <s v="279868" u="1"/>
        <s v="280146" u="1"/>
        <s v="280238" u="1"/>
        <s v="279427 11" u="1"/>
        <s v="278936" u="1"/>
        <s v="279580" u="1"/>
        <s v="279672" u="1"/>
        <s v="279856" u="1"/>
        <s v="279948" u="1"/>
        <s v="14425" u="1"/>
        <s v="14517" u="1"/>
        <s v="280042" u="1"/>
        <s v="280134" u="1"/>
        <s v="280226" u="1"/>
        <s v="278924" u="1"/>
        <s v="279660" u="1"/>
        <s v="279752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150520 MON" u="1"/>
        <s v="279900" u="1"/>
        <s v="8 marzo" u="1"/>
        <s v="28 agosto" u="1"/>
        <s v="16 AGOSTO" u="1"/>
        <s v="122020" u="1"/>
        <s v="202102" u="1"/>
        <s v="290091 1" u="1"/>
        <s v="30042020 CP" u="1"/>
        <s v="8TERRENO" u="1"/>
        <s v="NOV2020" u="1"/>
        <s v="274798" u="1"/>
        <s v="carp 25 feb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78878" u="1"/>
        <s v="280076" u="1"/>
        <s v="280168" u="1"/>
        <s v="277670" u="1"/>
        <s v="278682" u="1"/>
        <s v="278866" u="1"/>
        <s v="279694" u="1"/>
        <s v="279878" u="1"/>
        <s v="280064" u="1"/>
        <s v="280156" u="1"/>
        <s v="280248" u="1"/>
        <s v="277325 20" u="1"/>
        <s v="279457 10" u="1"/>
        <s v="278670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7910" u="1"/>
        <s v="278922" u="1"/>
        <s v="279750" u="1"/>
        <s v="279842" u="1"/>
        <s v="279934" u="1"/>
        <s v="4544" u="1"/>
        <s v="260121" u="1"/>
        <s v="280120" u="1"/>
        <s v="280212" u="1"/>
        <s v="22441" u="1"/>
        <s v="278910" u="1"/>
        <s v="279830" u="1"/>
        <s v="279922" u="1"/>
        <s v="4554" u="1"/>
        <s v="14450" u="1"/>
        <s v="280200" u="1"/>
        <s v="FIAT WEEKEND" u="1"/>
        <s v="279910" u="1"/>
        <s v="202020" u="1"/>
        <s v="04 -2020" u="1"/>
        <s v="26598feb" u="1"/>
        <s v="01-2/2021" u="1"/>
        <s v="25698" u="1"/>
        <s v="280908 101" u="1"/>
        <s v="209032" u="1"/>
        <s v="275784" u="1"/>
        <s v="080321 LT" u="1"/>
        <s v="277652 MY20" u="1"/>
        <s v="250220211" u="1"/>
        <s v="277692" u="1"/>
        <s v="280086" u="1"/>
        <s v="280178" u="1"/>
        <s v="19032021" u="1"/>
        <s v="277680" u="1"/>
        <s v="278692" u="1"/>
        <s v="279888" u="1"/>
        <s v="07032021" u="1"/>
        <s v="07052020" u="1"/>
        <s v="280074" u="1"/>
        <s v="280166" u="1"/>
        <s v="277944" u="1"/>
        <s v="278680" u="1"/>
        <s v="278864" u="1"/>
        <s v="279692" u="1"/>
        <s v="279876" u="1"/>
        <s v="280062" u="1"/>
        <s v="280154" u="1"/>
        <s v="280246" u="1"/>
        <s v="277323 20" u="1"/>
        <s v="278852" u="1"/>
        <s v="278944" u="1"/>
        <s v="279680" u="1"/>
        <s v="279772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03032021" u="1"/>
        <s v="50233" u="1"/>
        <s v="280072" u="1"/>
        <s v="280164" u="1"/>
        <s v="280256" u="1"/>
        <s v="278862" u="1"/>
        <s v="279690" u="1"/>
        <s v="279874" u="1"/>
        <s v="280152" u="1"/>
        <s v="280244" u="1"/>
        <s v="280428" u="1"/>
        <s v="278942" u="1"/>
        <s v="279862" u="1"/>
        <s v="279954" u="1"/>
        <s v="10 MARZO aviso 2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094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8872" u="1"/>
        <s v="279884" u="1"/>
        <s v="279976" u="1"/>
        <s v="ab2020" u="1"/>
        <s v="280162" u="1"/>
        <s v="280254" u="1"/>
        <s v="280438" u="1"/>
        <s v="278860" u="1"/>
        <s v="27978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180321" u="1"/>
        <s v="279940" u="1"/>
        <s v="8965" u="1"/>
        <s v="280402" u="1"/>
        <s v="121220" u="1"/>
        <s v="sep" u="1"/>
        <s v="´280276" u="1"/>
        <s v="´280277" u="1"/>
        <s v="2220011" u="1"/>
        <s v="2090190 1" u="1"/>
        <s v="273882" u="1"/>
        <s v="273648 0720" u="1"/>
        <s v="277998" u="1"/>
        <s v="277333 13" u="1"/>
        <s v="022021 JUJUY FM" u="1"/>
        <s v="042020 JUJUY FM" u="1"/>
        <s v="280196" u="1"/>
        <s v="279998" u="1"/>
        <s v="280184" u="1"/>
        <s v="279894" u="1"/>
        <s v="279986" u="1"/>
        <s v="4516" u="1"/>
        <s v="280080" u="1"/>
        <s v="280172" u="1"/>
        <s v="280448" u="1"/>
        <s v="26538" u="1"/>
        <s v="278870" u="1"/>
        <s v="279882" u="1"/>
        <s v="279974" u="1"/>
        <s v="4526" u="1"/>
        <s v="280160" u="1"/>
        <s v="280436" u="1"/>
        <s v="278950" u="1"/>
        <s v="279870" u="1"/>
        <s v="279962" u="1"/>
        <s v="4536" u="1"/>
        <s v="280240" u="1"/>
        <s v="280424" u="1"/>
        <s v="sep2020" u="1"/>
        <s v="9755" u="1"/>
        <s v="279950" u="1"/>
        <s v="4546" u="1"/>
        <s v="280412" u="1"/>
        <s v="280504" u="1"/>
        <s v="140321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122020 JUJUY FM" u="1"/>
        <s v="22238" u="1"/>
        <s v="280194" u="1"/>
        <s v="280286" u="1"/>
        <s v="19072020" u="1"/>
        <s v="279996" u="1"/>
        <s v="280090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20321" u="1"/>
        <s v="280410" u="1"/>
        <s v="280502" u="1"/>
        <s v="277994 29" u="1"/>
        <s v="13noviembre" u="1"/>
        <s v="273648 3004" u="1"/>
        <s v="02563" u="1"/>
        <s v="0811200" u="1"/>
        <s v="25698 23" u="1"/>
        <s v="27000" u="1"/>
        <s v="27100" u="1"/>
        <s v="28100020" u="1"/>
        <s v="2090190 2" u="1"/>
        <s v="269234 7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412020" u="1"/>
        <s v="280946 112" u="1"/>
        <s v="290910 01" u="1"/>
        <s v="268709" u="1"/>
        <s v="151120W2" u="1"/>
        <s v="4marzo" u="1"/>
        <s v="280398" u="1"/>
        <s v="032020 FM SOL" u="1"/>
        <s v="280294" u="1"/>
        <s v="280386" u="1"/>
        <s v="280478" u="1"/>
        <s v="22256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7329 112" u="1"/>
        <s v="273648 3105" u="1"/>
        <s v="102020 bm" u="1"/>
        <s v="16102020" u="1"/>
        <s v="2598" u="1"/>
        <s v="04102020" u="1"/>
        <s v="ENE2021 FM SOL" u="1"/>
        <s v="268719" u="1"/>
        <s v="mar1603" u="1"/>
        <s v="273648 0920" u="1"/>
        <s v="2220" u="1"/>
        <s v="1020" u="1"/>
        <s v="268707" u="1"/>
        <s v="279407 101" u="1"/>
        <s v="4650" u="1"/>
        <s v="6marzo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2365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8MARZO" u="1"/>
        <s v="171805 2" u="1"/>
        <s v="3050" u="1"/>
        <s v="280498" u="1"/>
        <s v="26359" u="1"/>
        <s v="280394" u="1"/>
        <s v="280486" u="1"/>
        <s v="23082020" u="1"/>
        <s v="2509" u="1"/>
        <s v="280474" u="1"/>
        <s v="1octubre 29010" u="1"/>
        <s v="3080" u="1"/>
        <s v="280462" u="1"/>
        <s v="280646" u="1"/>
        <s v="280450" u="1"/>
        <s v="280542" u="1"/>
        <s v="280634" u="1"/>
        <s v="280818" u="1"/>
        <s v="4949" u="1"/>
        <s v="279019" u="1"/>
        <s v="280622" u="1"/>
        <s v="240520" u="1"/>
        <s v="279007" u="1"/>
        <s v="277994 39" u="1"/>
        <s v="277327 123" u="1"/>
        <s v="1212201" u="1"/>
        <s v="12130620" u="1"/>
        <s v="16112020" u="1"/>
        <s v="266715" u="1"/>
        <s v="268739" u="1"/>
        <s v="4621" u="1"/>
        <s v="27febrero" u="1"/>
        <s v="268727" u="1"/>
        <s v="24feb 2" u="1"/>
        <s v="268715" u="1"/>
        <s v="1 SEPTIEMBRE VENTAS" u="1"/>
        <s v="6082020" u="1"/>
        <s v="27704" u="1"/>
        <s v="50249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79029" u="1"/>
        <s v="280540" u="1"/>
        <s v="280632" u="1"/>
        <s v="280816" u="1"/>
        <s v="280908" u="1"/>
        <s v="26584" u="1"/>
        <s v="4549" u="1"/>
        <s v="262829" u="1"/>
        <s v="279017" u="1"/>
        <s v="280620" u="1"/>
        <s v="102020 aj1" u="1"/>
        <s v="ene202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2602" u="1"/>
        <s v="268749" u="1"/>
        <s v="11020" u="1"/>
        <s v="12112020" u="1"/>
        <s v="290810 12" u="1"/>
        <s v="268737" u="1"/>
        <s v="23febrero" u="1"/>
        <s v="274586 2" u="1"/>
        <s v="11febrero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79039" u="1"/>
        <s v="280550" u="1"/>
        <s v="280642" u="1"/>
        <s v="280826" u="1"/>
        <s v="280918" u="1"/>
        <s v="279027" u="1"/>
        <s v="280630" u="1"/>
        <s v="280906" u="1"/>
        <s v="261723" u="1"/>
        <s v="279015" u="1"/>
        <s v="120620" u="1"/>
        <s v="279003" u="1"/>
        <s v="282906" u="1"/>
        <s v="26985" u="1"/>
        <s v="12345." u="1"/>
        <s v="10 octubre" u="1"/>
        <s v="101120201" u="1"/>
        <s v="11021" u="1"/>
        <s v="268747" u="1"/>
        <s v="04122020" u="1"/>
        <s v="1823" u="1"/>
        <s v="268735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277645 22" u="1"/>
        <s v="280688" u="1"/>
        <s v="277956 1" u="1"/>
        <s v="280492" u="1"/>
        <s v="280676" u="1"/>
        <s v="280768" u="1"/>
        <s v="cpn adm cont 25 feb" u="1"/>
        <s v="280480" u="1"/>
        <s v="280848" u="1"/>
        <s v="CFA2121" u="1"/>
        <s v="274579 30/04" u="1"/>
        <s v="280744" u="1"/>
        <s v="280836" u="1"/>
        <s v="280928" u="1"/>
        <s v="279037" u="1"/>
        <s v="280640" u="1"/>
        <s v="280824" u="1"/>
        <s v="280916" u="1"/>
        <s v="94682" u="1"/>
        <s v="277001" u="1"/>
        <s v="279025" u="1"/>
        <s v="279209" u="1"/>
        <s v="280812" u="1"/>
        <s v="280904" u="1"/>
        <s v="1254125" u="1"/>
        <s v="200620" u="1"/>
        <s v="279013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0203" u="1"/>
        <s v="12122020" u="1"/>
        <s v="268745" u="1"/>
        <s v="268733" u="1"/>
        <s v="268721" u="1"/>
        <s v="171805 3" u="1"/>
        <s v="289904" u="1"/>
        <s v="192021" u="1"/>
        <s v="092020" u="1"/>
        <s v="280698" u="1"/>
        <s v="032021 UNJU" u="1"/>
        <s v="ILPO" u="1"/>
        <s v="280686" u="1"/>
        <s v="280490" u="1"/>
        <s v="280674" u="1"/>
        <s v="280766" u="1"/>
        <s v="280858" u="1"/>
        <s v="UCA012021" u="1"/>
        <s v="279059" u="1"/>
        <s v="280754" u="1"/>
        <s v="280846" u="1"/>
        <s v="280938" u="1"/>
        <s v="280650" u="1"/>
        <s v="280926" u="1"/>
        <s v="279035" u="1"/>
        <s v="279219" u="1"/>
        <s v="280822" u="1"/>
        <s v="280914" u="1"/>
        <s v="240720" u="1"/>
        <s v="279023" u="1"/>
        <s v="279207" u="1"/>
        <s v="280902" u="1"/>
        <s v="9 agosto" u="1"/>
        <s v="279011" u="1"/>
        <s v="101012020" u="1"/>
        <s v="161902" u="1"/>
        <s v="1118 1" u="1"/>
        <s v="15octubre 2" u="1"/>
        <s v="290932 12" u="1"/>
        <s v="sep20 1" u="1"/>
        <s v="20122020" u="1"/>
        <s v="268743" u="1"/>
        <s v="268731" u="1"/>
        <s v="sep20 2" u="1"/>
        <s v="20 diciembre" u="1"/>
        <s v="289902" u="1"/>
        <s v="4663" u="1"/>
        <s v="052020" u="1"/>
        <s v="280696" u="1"/>
        <s v="280788" u="1"/>
        <s v="121906 0221" u="1"/>
        <s v="280684" u="1"/>
        <s v="280868" u="1"/>
        <s v="0902  1607" u="1"/>
        <s v="279069" u="1"/>
        <s v="280672" u="1"/>
        <s v="280856" u="1"/>
        <s v="280948" u="1"/>
        <s v="6MARZO2" u="1"/>
        <s v="279057" u="1"/>
        <s v="280844" u="1"/>
        <s v="280936" u="1"/>
        <s v="278217" u="1"/>
        <s v="279229" u="1"/>
        <s v="280832" u="1"/>
        <s v="280924" u="1"/>
        <s v="280414 1" u="1"/>
        <s v="279033" u="1"/>
        <s v="279217" u="1"/>
        <s v="279309" u="1"/>
        <s v="280820" u="1"/>
        <s v="280912" u="1"/>
        <s v="279021" u="1"/>
        <s v="279205" u="1"/>
        <s v="280900" u="1"/>
        <s v="181911" u="1"/>
        <s v="080321 CM" u="1"/>
        <s v="BM09/2020" u="1"/>
        <s v="30141618" u="1"/>
        <s v="1516192020" u="1"/>
        <s v="24012021" u="1"/>
        <s v="3814" u="1"/>
        <s v="269857" u="1"/>
        <s v="279453 101" u="1"/>
        <s v="268741" u="1"/>
        <s v="290122" u="1"/>
        <s v="dic20124" u="1"/>
        <s v="2654" u="1"/>
        <s v="22188" u="1"/>
        <s v="289900" u="1"/>
        <s v="29 AGOSTO" u="1"/>
        <s v="272111" u="1"/>
        <s v="280798" u="1"/>
        <s v="277067" u="1"/>
        <s v="280694" u="1"/>
        <s v="280786" u="1"/>
        <s v="280878" u="1"/>
        <s v="279079" u="1"/>
        <s v="280682" u="1"/>
        <s v="280866" u="1"/>
        <s v="280958" u="1"/>
        <s v="3083" u="1"/>
        <s v="26589" u="1"/>
        <s v="277319" u="1"/>
        <s v="279067" u="1"/>
        <s v="279159" u="1"/>
        <s v="280670" u="1"/>
        <s v="280854" u="1"/>
        <s v="280946" u="1"/>
        <s v="26597" u="1"/>
        <s v="279055" u="1"/>
        <s v="279239" u="1"/>
        <s v="280750" u="1"/>
        <s v="280934" u="1"/>
        <s v="20212223241" u="1"/>
        <s v="278215" u="1"/>
        <s v="279043" u="1"/>
        <s v="279227" u="1"/>
        <s v="279319" u="1"/>
        <s v="280830" u="1"/>
        <s v="280922" u="1"/>
        <s v="279031" u="1"/>
        <s v="279215" u="1"/>
        <s v="280910" u="1"/>
        <s v="274454 AGO20" u="1"/>
        <s v="279203" u="1"/>
        <s v="290932 13" u="1"/>
        <s v="28022021" u="1"/>
        <s v="30122020 UNJU" u="1"/>
        <s v="4UL" u="1"/>
        <s v="4614" u="1"/>
        <s v="carp. metalurg. 25feb" u="1"/>
        <s v="9863" u="1"/>
        <s v="4654" u="1"/>
        <s v="275169" u="1"/>
        <s v="2814625" u="1"/>
        <s v="289910" u="1"/>
        <s v="27998,5" u="1"/>
        <s v="4664" u="1"/>
        <s v="4674" u="1"/>
        <s v="15742" u="1"/>
        <s v="274317" u="1"/>
        <s v="280796" u="1"/>
        <s v="280888" u="1"/>
        <s v="2814626" u="1"/>
        <s v="26398" u="1"/>
        <s v="4684" u="1"/>
        <s v="278169" u="1"/>
        <s v="279089" u="1"/>
        <s v="280692" u="1"/>
        <s v="280876" u="1"/>
        <s v="280968" u="1"/>
        <s v="020.92020" u="1"/>
        <s v="277053" u="1"/>
        <s v="277329" u="1"/>
        <s v="279077" u="1"/>
        <s v="279169" u="1"/>
        <s v="280680" u="1"/>
        <s v="280864" u="1"/>
        <s v="280956" u="1"/>
        <s v="2814627" u="1"/>
        <s v="26598" u="1"/>
        <s v="277317" u="1"/>
        <s v="279065" u="1"/>
        <s v="279157" u="1"/>
        <s v="279249" u="1"/>
        <s v="280852" u="1"/>
        <s v="280944" u="1"/>
        <s v="277305" u="1"/>
        <s v="278133" u="1"/>
        <s v="279053" u="1"/>
        <s v="279237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08032021" u="1"/>
        <s v="24022021" u="1"/>
        <s v="28 agosto 2020" u="1"/>
        <s v="277907 jul-dic2020" u="1"/>
        <s v="1415" u="1"/>
        <s v="2635" u="1"/>
        <s v="27635" u="1"/>
        <s v="15451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79099" u="1"/>
        <s v="280886" u="1"/>
        <s v="280978" u="1"/>
        <s v="277339" u="1"/>
        <s v="279087" u="1"/>
        <s v="280690" u="1"/>
        <s v="280874" u="1"/>
        <s v="280966" u="1"/>
        <s v="277327" u="1"/>
        <s v="279259" u="1"/>
        <s v="280862" u="1"/>
        <s v="280954" u="1"/>
        <s v="279247" u="1"/>
        <s v="279339" u="1"/>
        <s v="280850" u="1"/>
        <s v="277303" u="1"/>
        <s v="278131" u="1"/>
        <s v="279051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ag2020" u="1"/>
        <s v="4625" u="1"/>
        <s v="062020nov" u="1"/>
        <s v="UCA300420" u="1"/>
        <s v="128932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7349" u="1"/>
        <s v="278177" u="1"/>
        <s v="279097" u="1"/>
        <s v="279189" u="1"/>
        <s v="280792" u="1"/>
        <s v="280884" u="1"/>
        <s v="280976" u="1"/>
        <s v="277337" u="1"/>
        <s v="279085" u="1"/>
        <s v="279177" u="1"/>
        <s v="279269" u="1"/>
        <s v="280780" u="1"/>
        <s v="280872" u="1"/>
        <s v="280964" u="1"/>
        <s v="277325" u="1"/>
        <s v="279073" u="1"/>
        <s v="279257" u="1"/>
        <s v="279349" u="1"/>
        <s v="280860" u="1"/>
        <s v="280952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0414 2" u="1"/>
        <s v="279233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52020" u="1"/>
        <s v="12032021" u="1"/>
        <s v="279453 121" u="1"/>
        <s v="UCA070520" u="1"/>
        <s v="290201 1octubre" u="1"/>
        <s v="1011feb" u="1"/>
        <s v="190321" u="1"/>
        <s v="131220" u="1"/>
        <s v="280998" u="1"/>
        <s v="1711020" u="1"/>
        <s v="21 marzo" u="1"/>
        <s v="280894" u="1"/>
        <s v="280986" u="1"/>
        <s v="020.102020" u="1"/>
        <s v="279095" u="1"/>
        <s v="279279" u="1"/>
        <s v="280882" u="1"/>
        <s v="280974" u="1"/>
        <s v="277335" u="1"/>
        <s v="279083" u="1"/>
        <s v="279267" u="1"/>
        <s v="279359" u="1"/>
        <s v="280870" u="1"/>
        <s v="280962" u="1"/>
        <s v="21julio" u="1"/>
        <s v="0910202" u="1"/>
        <s v="277323" u="1"/>
        <s v="279255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415" u="1"/>
        <s v="279507" u="1"/>
        <s v="290932 15" u="1"/>
        <s v="080321MSSJ" u="1"/>
        <s v="279311" u="1"/>
        <s v="279403" u="1"/>
        <s v="22octubre" u="1"/>
        <s v="052020 JUJUY FM" u="1"/>
        <s v="12 marzo oficial" u="1"/>
        <s v="28062020" u="1"/>
        <s v="20032021" u="1"/>
        <s v="15 SEPTIEMBRE - AVISO 2" u="1"/>
        <s v="4616" u="1"/>
        <s v="4626" u="1"/>
        <s v="UCA240520" u="1"/>
        <s v="24feb" u="1"/>
        <s v="2910200" u="1"/>
        <s v="275253" u="1"/>
        <s v="278197" u="1"/>
        <s v="280996" u="1"/>
        <s v="65" u="1"/>
        <s v="2712051" u="1"/>
        <s v="279289" u="1"/>
        <s v="280892" u="1"/>
        <s v="280984" u="1"/>
        <s v="277345" u="1"/>
        <s v="279093" u="1"/>
        <s v="279277" u="1"/>
        <s v="279369" u="1"/>
        <s v="280880" u="1"/>
        <s v="280972" u="1"/>
        <s v="277333" u="1"/>
        <s v="278529" u="1"/>
        <s v="279081" u="1"/>
        <s v="279265" u="1"/>
        <s v="279357" u="1"/>
        <s v="280960" u="1"/>
        <s v="277321" u="1"/>
        <s v="278241" u="1"/>
        <s v="278517" u="1"/>
        <s v="278609" u="1"/>
        <s v="279253" u="1"/>
        <s v="279345" u="1"/>
        <s v="279529" u="1"/>
        <s v="278505" u="1"/>
        <s v="279425" u="1"/>
        <s v="279517" u="1"/>
        <s v="279609" u="1"/>
        <s v="279413" u="1"/>
        <s v="279505" u="1"/>
        <s v="054" u="1"/>
        <s v="mecanico 12 marzo" u="1"/>
        <s v="279401" u="1"/>
        <s v="055" u="1"/>
        <s v="056" u="1"/>
        <s v="279453 131" u="1"/>
        <s v="08072020" u="1"/>
        <s v="057" u="1"/>
        <s v="23082020 1" u="1"/>
        <s v="289892" u="1"/>
        <s v="058" u="1"/>
        <s v="290209 10" u="1"/>
        <s v="059" u="1"/>
        <s v="2627" u="1"/>
        <s v="154287" u="1"/>
        <s v="KANGOO" u="1"/>
        <s v="23654" u="1"/>
        <s v="NOV2020 K" u="1"/>
        <s v="2721471" u="1"/>
        <s v="279299" u="1"/>
        <s v="280994" u="1"/>
        <s v="280668 1" u="1"/>
        <s v="279195" u="1"/>
        <s v="279287" u="1"/>
        <s v="280890" u="1"/>
        <s v="280982" u="1"/>
        <s v="27 NOV VENDO CENTRO" u="1"/>
        <s v="130" u="1"/>
        <s v="200974" u="1"/>
        <s v="277343" u="1"/>
        <s v="278263" u="1"/>
        <s v="278539" u="1"/>
        <s v="279091" u="1"/>
        <s v="279275" u="1"/>
        <s v="279367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256" u="1"/>
        <s v="15248" u="1"/>
        <s v="136" u="1"/>
        <s v="4607" u="1"/>
        <s v="289381 11" u="1"/>
        <s v="20062020" u="1"/>
        <s v="4617" u="1"/>
        <s v="138" u="1"/>
        <s v="272469" u="1"/>
        <s v="274579 07/05" u="1"/>
        <s v="4637" u="1"/>
        <s v="290420" u="1"/>
        <s v="151617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469" u="1"/>
        <s v="280980" u="1"/>
        <s v="09102020" u="1"/>
        <s v="278537" u="1"/>
        <s v="278629" u="1"/>
        <s v="279273" u="1"/>
        <s v="279365" u="1"/>
        <s v="279457" u="1"/>
        <s v="279549" u="1"/>
        <s v="278525" u="1"/>
        <s v="279261" u="1"/>
        <s v="279353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14marzo" u="1"/>
        <s v="279501" u="1"/>
        <s v="042020 FM SOL" u="1"/>
        <s v="AÑO2021" u="1"/>
        <s v="24072020" u="1"/>
        <s v="12072020" u="1"/>
        <s v="274586 5" u="1"/>
        <s v="090520" u="1"/>
        <s v="274455" u="1"/>
        <s v="27865" u="1"/>
        <s v="275719" u="1"/>
        <s v="279399" u="1"/>
        <s v="271917 Nov y Dic" u="1"/>
        <s v="275707" u="1"/>
        <s v="276351" u="1"/>
        <s v="279295" u="1"/>
        <s v="279387" u="1"/>
        <s v="279479" u="1"/>
        <s v="280990" u="1"/>
        <s v="112020 bm" u="1"/>
        <s v="154511" u="1"/>
        <s v="17102020" u="1"/>
        <s v="278547" u="1"/>
        <s v="279191" u="1"/>
        <s v="279283" u="1"/>
        <s v="279375" u="1"/>
        <s v="279467" u="1"/>
        <s v="05102020" u="1"/>
        <s v="mar21" u="1"/>
        <s v="278535" u="1"/>
        <s v="278627" u="1"/>
        <s v="279271" u="1"/>
        <s v="279363" u="1"/>
        <s v="279455" u="1"/>
        <s v="279547" u="1"/>
        <s v="279639" u="1"/>
        <s v="274454 300420" u="1"/>
        <s v="280009" u="1"/>
        <s v="278523" u="1"/>
        <s v="278615" u="1"/>
        <s v="279351" u="1"/>
        <s v="279535" u="1"/>
        <s v="279627" u="1"/>
        <s v="279719" u="1"/>
        <s v="278511" u="1"/>
        <s v="278603" u="1"/>
        <s v="279431" u="1"/>
        <s v="279523" u="1"/>
        <s v="279615" u="1"/>
        <s v="279707" u="1"/>
        <s v="4750" u="1"/>
        <s v="121906 1" u="1"/>
        <s v="279511" u="1"/>
        <s v="279603" u="1"/>
        <s v="KO" u="1"/>
        <s v="122020 FM SOL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489" u="1"/>
        <s v="271120200" u="1"/>
        <s v="4698" u="1"/>
        <s v="275705" u="1"/>
        <s v="278373" u="1"/>
        <s v="278649" u="1"/>
        <s v="279293" u="1"/>
        <s v="279477" u="1"/>
        <s v="279569" u="1"/>
        <s v="25102020" u="1"/>
        <s v="3456 4" u="1"/>
        <s v="278545" u="1"/>
        <s v="278637" u="1"/>
        <s v="279281" u="1"/>
        <s v="279373" u="1"/>
        <s v="279465" u="1"/>
        <s v="279649" u="1"/>
        <s v="280019" u="1"/>
        <s v="20201" u="1"/>
        <s v="278533" u="1"/>
        <s v="278625" u="1"/>
        <s v="279361" u="1"/>
        <s v="279453" u="1"/>
        <s v="279545" u="1"/>
        <s v="279637" u="1"/>
        <s v="279729" u="1"/>
        <s v="280007" u="1"/>
        <s v="278521" u="1"/>
        <s v="278613" u="1"/>
        <s v="279717" u="1"/>
        <s v="279809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112200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9487" u="1"/>
        <s v="279579" u="1"/>
        <s v="29112020" u="1"/>
        <s v="17112020" u="1"/>
        <s v="275703" u="1"/>
        <s v="278371" u="1"/>
        <s v="278647" u="1"/>
        <s v="279475" u="1"/>
        <s v="279567" u="1"/>
        <s v="279659" u="1"/>
        <s v="21102020" u="1"/>
        <s v="280029" u="1"/>
        <s v="28febrero" u="1"/>
        <s v="278543" u="1"/>
        <s v="278635" u="1"/>
        <s v="278819" u="1"/>
        <s v="279463" u="1"/>
        <s v="279647" u="1"/>
        <s v="279739" u="1"/>
        <s v="298634" u="1"/>
        <s v="280017" u="1"/>
        <s v="280109" u="1"/>
        <s v="278531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uca feb21" u="1"/>
        <s v="290392" u="1"/>
        <s v="16092020" u="1"/>
        <s v="32082020" u="1"/>
        <s v="04092020" u="1"/>
        <s v="4619" u="1"/>
        <s v="289029" u="1"/>
        <s v="170620" u="1"/>
        <s v="4659" u="1"/>
        <s v="050620" u="1"/>
        <s v="277669" u="1"/>
        <s v="FEB2021 FM SOL" u="1"/>
        <s v="275725" u="1"/>
        <s v="279497" u="1"/>
        <s v="279589" u="1"/>
        <s v="275713" u="1"/>
        <s v="279393" u="1"/>
        <s v="279485" u="1"/>
        <s v="279577" u="1"/>
        <s v="279669" u="1"/>
        <s v="09122020" u="1"/>
        <s v="280039" u="1"/>
        <s v="27570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8805" u="1"/>
        <s v="279541" u="1"/>
        <s v="279725" u="1"/>
        <s v="279817" u="1"/>
        <s v="279909" u="1"/>
        <s v="280003" u="1"/>
        <s v="060802020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4586 6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jul2020" u="1"/>
        <s v="275723" u="1"/>
        <s v="279495" u="1"/>
        <s v="279587" u="1"/>
        <s v="279679" u="1"/>
        <s v="29122020" u="1"/>
        <s v="4712" u="1"/>
        <s v="275711" u="1"/>
        <s v="278655" u="1"/>
        <s v="279391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0febrero" u="1"/>
        <s v="278631" u="1"/>
        <s v="278907" u="1"/>
        <s v="279643" u="1"/>
        <s v="279735" u="1"/>
        <s v="279827" u="1"/>
        <s v="279919" u="1"/>
        <s v="280105" u="1"/>
        <s v="16062002" u="1"/>
        <s v="278803" u="1"/>
        <s v="279631" u="1"/>
        <s v="279723" u="1"/>
        <s v="279815" u="1"/>
        <s v="279907" u="1"/>
        <s v="7516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155665" u="1"/>
        <s v="277677" u="1"/>
        <s v="278597" u="1"/>
        <s v="278689" u="1"/>
        <s v="275733" u="1"/>
        <s v="277665" u="1"/>
        <s v="278677" u="1"/>
        <s v="279597" u="1"/>
        <s v="279689" u="1"/>
        <s v="280059" u="1"/>
        <s v="280943 11" u="1"/>
        <s v="275721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757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813" u="1"/>
        <s v="278905" u="1"/>
        <s v="279641" u="1"/>
        <s v="279733" u="1"/>
        <s v="279825" u="1"/>
        <s v="279917" u="1"/>
        <s v="280103" u="1"/>
        <s v="278801" u="1"/>
        <s v="279721" u="1"/>
        <s v="279813" u="1"/>
        <s v="279905" u="1"/>
        <s v="21092020Z" u="1"/>
        <s v="feb2021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9012021" u="1"/>
        <s v="1diciembre" u="1"/>
        <s v="280069" u="1"/>
        <s v="275731" u="1"/>
        <s v="277663" u="1"/>
        <s v="278675" u="1"/>
        <s v="278859" u="1"/>
        <s v="279687" u="1"/>
        <s v="05012021" u="1"/>
        <s v="280948 2" u="1"/>
        <s v="280057" u="1"/>
        <s v="280149" u="1"/>
        <s v="2763510" u="1"/>
        <s v="278571" u="1"/>
        <s v="278939" u="1"/>
        <s v="279491" u="1"/>
        <s v="279583" u="1"/>
        <s v="279675" u="1"/>
        <s v="279859" u="1"/>
        <s v="280045" u="1"/>
        <s v="280137" u="1"/>
        <s v="280229" u="1"/>
        <s v="278927" u="1"/>
        <s v="279571" u="1"/>
        <s v="279663" u="1"/>
        <s v="279847" u="1"/>
        <s v="279939" u="1"/>
        <s v="280033" u="1"/>
        <s v="280125" u="1"/>
        <s v="280217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CM0803" u="1"/>
        <s v="062020" u="1"/>
        <s v="4783" u="1"/>
        <s v="dic612" u="1"/>
        <s v="4793" u="1"/>
        <s v="1011mar" u="1"/>
        <s v="274789" u="1"/>
        <s v="jul0720" u="1"/>
        <s v="8MARZO RUTA 9" u="1"/>
        <s v="27009 1 octubre" u="1"/>
        <s v="275765" u="1"/>
        <s v="277697" u="1"/>
        <s v="8MARZO -." u="1"/>
        <s v="277685" u="1"/>
        <s v="3DICIEMBRE" u="1"/>
        <s v="280079" u="1"/>
        <s v="00279060" u="1"/>
        <s v="275741" u="1"/>
        <s v="277673" u="1"/>
        <s v="278685" u="1"/>
        <s v="278869" u="1"/>
        <s v="279697" u="1"/>
        <s v="280159" u="1"/>
        <s v="277661" u="1"/>
        <s v="278673" u="1"/>
        <s v="278857" u="1"/>
        <s v="278949" u="1"/>
        <s v="279593" u="1"/>
        <s v="279685" u="1"/>
        <s v="279869" u="1"/>
        <s v="280147" u="1"/>
        <s v="280239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833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7 marzo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279799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8855" u="1"/>
        <s v="279591" u="1"/>
        <s v="279683" u="1"/>
        <s v="279775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751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3012120200" u="1"/>
        <s v="277693" u="1"/>
        <s v="280087" u="1"/>
        <s v="280179" u="1"/>
        <s v="277681" u="1"/>
        <s v="278693" u="1"/>
        <s v="279889" u="1"/>
        <s v="09032021" u="1"/>
        <s v="25022021" u="1"/>
        <s v="280075" u="1"/>
        <s v="280167" u="1"/>
        <s v="280259" u="1"/>
        <s v="24234" u="1"/>
        <s v="278681" u="1"/>
        <s v="278865" u="1"/>
        <s v="279693" u="1"/>
        <s v="279877" u="1"/>
        <s v="279969" u="1"/>
        <s v="271701 JUN" u="1"/>
        <s v="280063" u="1"/>
        <s v="280155" u="1"/>
        <s v="280247" u="1"/>
        <s v="277324 20" u="1"/>
        <s v="278853" u="1"/>
        <s v="278945" u="1"/>
        <s v="279681" u="1"/>
        <s v="279865" u="1"/>
        <s v="279957" u="1"/>
        <s v="280143" u="1"/>
        <s v="280419" u="1"/>
        <s v="279853" u="1"/>
        <s v="279945" u="1"/>
        <s v="279451 0" u="1"/>
        <s v="280131" u="1"/>
        <s v="280223" u="1"/>
        <s v="280407" u="1"/>
        <s v="UCA2405201" u="1"/>
        <s v="3945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189" u="1"/>
        <s v="277691" u="1"/>
        <s v="279899" u="1"/>
        <s v="280668 4" u="1"/>
        <s v="280177" u="1"/>
        <s v="280269" u="1"/>
        <s v="279795" u="1"/>
        <s v="279887" u="1"/>
        <s v="279979" u="1"/>
        <s v="05032021" u="1"/>
        <s v="21022021" u="1"/>
        <s v="280165" u="1"/>
        <s v="278863" u="1"/>
        <s v="279691" u="1"/>
        <s v="279875" u="1"/>
        <s v="280153" u="1"/>
        <s v="280245" u="1"/>
        <s v="280429" u="1"/>
        <s v="278851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236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1020321 MARZO" u="1"/>
        <s v="21092020 E" u="1"/>
        <s v="280095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40221" u="1"/>
        <s v="280403" u="1"/>
        <s v="277652 ab20" u="1"/>
        <s v="274454 AGOSTO20" u="1"/>
        <s v="021220" u="1"/>
        <s v="303040" u="1"/>
        <s v="290209 33" u="1"/>
        <s v="10 MARZO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adfsadfas" u="1"/>
        <s v="277975" u="1"/>
        <s v="279999" u="1"/>
        <s v="21092020 D" u="1"/>
        <s v="4706" u="1"/>
        <s v="280093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7322 21" u="1"/>
        <s v="278871" u="1"/>
        <s v="279791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063" u="1"/>
        <s v="064" u="1"/>
        <s v="277997" u="1"/>
        <s v="280195" u="1"/>
        <s v="279997" u="1"/>
        <s v="09072020" u="1"/>
        <s v="21092020 C" u="1"/>
        <s v="280091" u="1"/>
        <s v="280183" u="1"/>
        <s v="280275" u="1"/>
        <s v="280459" u="1"/>
        <s v="279893" u="1"/>
        <s v="01062020" u="1"/>
        <s v="240449" u="1"/>
        <s v="280171" u="1"/>
        <s v="280447" u="1"/>
        <s v="280539" u="1"/>
        <s v="122020 modo" u="1"/>
        <s v="279881" u="1"/>
        <s v="279973" u="1"/>
        <s v="277331 2" u="1"/>
        <s v="279463 1" u="1"/>
        <s v="10marzo 2021" u="1"/>
        <s v="280435" u="1"/>
        <s v="280619" u="1"/>
        <s v="279961" u="1"/>
        <s v="280423" u="1"/>
        <s v="uca mar21" u="1"/>
        <s v="280411" u="1"/>
        <s v="280503" u="1"/>
        <s v="120321" u="1"/>
        <s v="121517" u="1"/>
        <s v="AGRALE" u="1"/>
        <s v="140" u="1"/>
        <s v="1420201" u="1"/>
        <s v="ene21 distancia" u="1"/>
        <s v="141" u="1"/>
        <s v="021" u="1"/>
        <s v="142" u="1"/>
        <s v="14 jun" u="1"/>
        <s v="143" u="1"/>
        <s v="144" u="1"/>
        <s v="265" u="1"/>
        <s v="1marzo" u="1"/>
        <s v="092020 FM SOL" u="1"/>
        <s v="280297" u="1"/>
        <s v="280389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1020321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5marzo" u="1"/>
        <s v="080321 ME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01202" u="1"/>
        <s v="268350" u="1"/>
        <s v="268718" u="1"/>
        <s v="3032021" u="1"/>
        <s v="2020" u="1"/>
        <s v="010820 p" u="1"/>
        <s v="274475 2" u="1"/>
        <s v="7MARZO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79008" u="1"/>
        <s v="280611" u="1"/>
        <s v="140520" u="1"/>
        <s v="300420" u="1"/>
        <s v="141520" u="1"/>
        <s v="277328 123" u="1"/>
        <s v="147568" u="1"/>
        <s v="081120201" u="1"/>
        <s v="1589" u="1"/>
        <s v="20973" u="1"/>
        <s v="18112020" u="1"/>
        <s v="06112020" u="1"/>
        <s v="0001" u="1"/>
        <s v="10102020" u="1"/>
        <s v="268728" u="1"/>
        <s v="5062020" u="1"/>
        <s v="9MARZO" u="1"/>
        <s v="274454 SEPT20" u="1"/>
        <s v="2563 11" u="1"/>
        <s v="28084" u="1"/>
        <s v="280497" u="1"/>
        <s v="4881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79018" u="1"/>
        <s v="280621" u="1"/>
        <s v="agos20 2" u="1"/>
        <s v="220520" u="1"/>
        <s v="279006" u="1"/>
        <s v="100520" u="1"/>
        <s v="274454 MAY20" u="1"/>
        <s v="4779" u="1"/>
        <s v="022021 DImp" u="1"/>
        <s v="265622" u="1"/>
        <s v="30102020" u="1"/>
        <s v="268738" u="1"/>
        <s v="268726" u="1"/>
        <s v="2021" u="1"/>
        <s v="279406 111" u="1"/>
        <s v="268714" u="1"/>
        <s v="289909" u="1"/>
        <s v="EDADAS" u="1"/>
        <s v="277959 1" u="1"/>
        <s v="280495" u="1"/>
        <s v="280679" u="1"/>
        <s v="2893211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79028" u="1"/>
        <s v="280631" u="1"/>
        <s v="280907" u="1"/>
        <s v="279016" u="1"/>
        <s v="280803" u="1"/>
        <s v="125497" u="1"/>
        <s v="300520" u="1"/>
        <s v="281002020" u="1"/>
        <s v="279004" u="1"/>
        <s v="161002020" u="1"/>
        <s v="49939 1" u="1"/>
        <s v="18122020" u="1"/>
        <s v="268748" u="1"/>
        <s v="06122020" u="1"/>
        <s v="22112020" u="1"/>
        <s v="12aq" u="1"/>
        <s v="271846 20" u="1"/>
        <s v="268736" u="1"/>
        <s v="21febrero" u="1"/>
        <s v="268724" u="1"/>
        <s v="271917 2" u="1"/>
        <s v="21320" u="1"/>
        <s v="268712" u="1"/>
        <s v="289907" u="1"/>
        <s v="12 julio." u="1"/>
        <s v="4872" u="1"/>
        <s v="280689" u="1"/>
        <s v="12 marzo arquitecto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79038" u="1"/>
        <s v="280641" u="1"/>
        <s v="280825" u="1"/>
        <s v="280917" u="1"/>
        <s v="277002" u="1"/>
        <s v="279026" u="1"/>
        <s v="280813" u="1"/>
        <s v="280905" u="1"/>
        <s v="220620" u="1"/>
        <s v="279014" u="1"/>
        <s v="265390" u="1"/>
        <s v="279002" u="1"/>
        <s v="125145 1" u="1"/>
        <s v="160920N88" u="1"/>
        <s v="274454 dic20" u="1"/>
        <s v="1603" u="1"/>
        <s v="02202011" u="1"/>
        <s v="14122020" u="1"/>
        <s v="269957 5" u="1"/>
        <s v="30112020" u="1"/>
        <s v="21213" u="1"/>
        <s v="268746" u="1"/>
        <s v="268734" u="1"/>
        <s v="268722" u="1"/>
        <s v="268710" u="1"/>
        <s v="289905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79036" u="1"/>
        <s v="280823" u="1"/>
        <s v="280915" u="1"/>
        <s v="04/102020" u="1"/>
        <s v="1 SEPTIEM ALQUILA" u="1"/>
        <s v="278012" u="1"/>
        <s v="279024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79058" u="1"/>
        <s v="280845" u="1"/>
        <s v="280937" u="1"/>
        <s v="278218" u="1"/>
        <s v="280833" u="1"/>
        <s v="280925" u="1"/>
        <s v="279034" u="1"/>
        <s v="279218" u="1"/>
        <s v="280821" u="1"/>
        <s v="280913" u="1"/>
        <s v="279206" u="1"/>
        <s v="280901" u="1"/>
        <s v="279010" u="1"/>
        <s v="30122020A" u="1"/>
        <s v="14012021" u="1"/>
        <s v="25052020 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79068" u="1"/>
        <s v="280671" u="1"/>
        <s v="280855" u="1"/>
        <s v="280947" u="1"/>
        <s v="277308" u="1"/>
        <s v="279056" u="1"/>
        <s v="280935" u="1"/>
        <s v="278216" u="1"/>
        <s v="279044" u="1"/>
        <s v="279228" u="1"/>
        <s v="280831" u="1"/>
        <s v="280923" u="1"/>
        <s v="256082020 1" u="1"/>
        <s v="279032" u="1"/>
        <s v="279216" u="1"/>
        <s v="279308" u="1"/>
        <s v="280911" u="1"/>
        <s v="dic20" u="1"/>
        <s v="2814631" u="1"/>
        <s v="56987" u="1"/>
        <s v="204859" u="1"/>
        <s v="279020" u="1"/>
        <s v="279204" u="1"/>
        <s v="279100" u="1"/>
        <s v="2814632" u="1"/>
        <s v="232020oct" u="1"/>
        <s v="289190 01" u="1"/>
        <s v="9marzo 2021" u="1"/>
        <s v="10012021" u="1"/>
        <s v="269082 1" u="1"/>
        <s v="4834" u="1"/>
        <s v="jul20" u="1"/>
        <s v="268740" u="1"/>
        <s v="4844" u="1"/>
        <s v="891011" u="1"/>
        <s v="1234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79078" u="1"/>
        <s v="280681" u="1"/>
        <s v="280773" u="1"/>
        <s v="280865" u="1"/>
        <s v="280957" u="1"/>
        <s v="20-112020" u="1"/>
        <s v="277318" u="1"/>
        <s v="280761" u="1"/>
        <s v="280853" u="1"/>
        <s v="280945" u="1"/>
        <s v="279054" u="1"/>
        <s v="279238" u="1"/>
        <s v="280841" u="1"/>
        <s v="28093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022021" u="1"/>
        <s v="269957 6" u="1"/>
        <s v="268750" u="1"/>
        <s v="312019 W" u="1"/>
        <s v="26 julio" u="1"/>
        <s v="73631" u="1"/>
        <s v="151120" u="1"/>
        <s v="3" u="1"/>
        <s v="277088" u="1"/>
        <s v="280899" u="1"/>
        <s v="154236" u="1"/>
        <s v="23 agosto" u="1"/>
        <s v="274316" u="1"/>
        <s v="280887" u="1"/>
        <s v="280979" u="1"/>
        <s v="278168" u="1"/>
        <s v="279088" u="1"/>
        <s v="280691" u="1"/>
        <s v="280783" u="1"/>
        <s v="280875" u="1"/>
        <s v="280967" u="1"/>
        <s v="2740281" u="1"/>
        <s v="36598" u="1"/>
        <s v="277052" u="1"/>
        <s v="277328" u="1"/>
        <s v="279076" u="1"/>
        <s v="279168" u="1"/>
        <s v="280955" u="1"/>
        <s v="2814617" u="1"/>
        <s v="277316" u="1"/>
        <s v="279064" u="1"/>
        <s v="279248" u="1"/>
        <s v="280851" u="1"/>
        <s v="280943" u="1"/>
        <s v="JUN20ml" u="1"/>
        <s v="277304" u="1"/>
        <s v="278132" u="1"/>
        <s v="279052" u="1"/>
        <s v="280931" u="1"/>
        <s v="260920" u="1"/>
        <s v="278212" u="1"/>
        <s v="279040" u="1"/>
        <s v="279224" u="1"/>
        <s v="279316" u="1"/>
        <s v="279408" u="1"/>
        <s v="279212" u="1"/>
        <s v="279304" u="1"/>
        <s v="18032021" u="1"/>
        <s v="277658 17" u="1"/>
        <s v="21318" u="1"/>
        <s v="269876" u="1"/>
        <s v="73432" u="1"/>
        <s v="277652 DIC20" u="1"/>
        <s v="21350" u="1"/>
        <s v="277994 11" u="1"/>
        <s v="responsable taller 12 marzo" u="1"/>
        <s v="21450" u="1"/>
        <s v="25643" u="1"/>
        <s v="29071 091" u="1"/>
        <s v="274326" u="1"/>
        <s v="280897" u="1"/>
        <s v="280989" u="1"/>
        <s v="20 febrero terrenos" u="1"/>
        <s v="279098" u="1"/>
        <s v="280793" u="1"/>
        <s v="280885" u="1"/>
        <s v="280977" u="1"/>
        <s v="49951" u="1"/>
        <s v="277338" u="1"/>
        <s v="278166" u="1"/>
        <s v="279086" u="1"/>
        <s v="280873" u="1"/>
        <s v="280965" u="1"/>
        <s v="20432551" u="1"/>
        <s v="277326" u="1"/>
        <s v="279258" u="1"/>
        <s v="280861" u="1"/>
        <s v="280953" u="1"/>
        <s v="158246" u="1"/>
        <s v="277652 SE20" u="1"/>
        <s v="277314" u="1"/>
        <s v="279062" u="1"/>
        <s v="279154" u="1"/>
        <s v="279246" u="1"/>
        <s v="279338" u="1"/>
        <s v="280941" u="1"/>
        <s v="feb21" u="1"/>
        <s v="279234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15octubre." u="1"/>
        <s v="14032021" u="1"/>
        <s v="30042020" u="1"/>
        <s v="272164" u="1"/>
        <s v="25636" u="1"/>
        <s v="270312" u="1"/>
        <s v="25644" u="1"/>
        <s v="29653" u="1"/>
        <s v="9674" u="1"/>
        <s v="277096" u="1"/>
        <s v="280999" u="1"/>
        <s v="280895" u="1"/>
        <s v="280987" u="1"/>
        <s v="00279065" u="1"/>
        <s v="277348" u="1"/>
        <s v="279096" u="1"/>
        <s v="279188" u="1"/>
        <s v="280791" u="1"/>
        <s v="280883" u="1"/>
        <s v="280975" u="1"/>
        <s v="290209 49" u="1"/>
        <s v="277336" u="1"/>
        <s v="279084" u="1"/>
        <s v="279176" u="1"/>
        <s v="279268" u="1"/>
        <s v="280871" u="1"/>
        <s v="280963" u="1"/>
        <s v="256313" u="1"/>
        <s v="277324" u="1"/>
        <s v="279164" u="1"/>
        <s v="279256" u="1"/>
        <s v="279348" u="1"/>
        <s v="280951" u="1"/>
        <s v="277312" u="1"/>
        <s v="279060" u="1"/>
        <s v="279244" u="1"/>
        <s v="279336" u="1"/>
        <s v="279428" u="1"/>
        <s v="271846 16" u="1"/>
        <s v="279232" u="1"/>
        <s v="279416" u="1"/>
        <s v="279508" u="1"/>
        <s v="279220" u="1"/>
        <s v="279312" u="1"/>
        <s v="279404" u="1"/>
        <s v="279300" u="1"/>
        <s v="072020 JUJUY FM" u="1"/>
        <s v="204851" u="1"/>
        <s v="21144" u="1"/>
        <s v="06062020" u="1"/>
        <s v="122020nov" u="1"/>
        <s v="26feb" u="1"/>
        <s v="111220" u="1"/>
        <s v="131403" u="1"/>
        <s v="280997" u="1"/>
        <s v="276438" u="1"/>
        <s v="280893" u="1"/>
        <s v="280985" u="1"/>
        <s v="277346" u="1"/>
        <s v="278266" u="1"/>
        <s v="279094" u="1"/>
        <s v="279186" u="1"/>
        <s v="279278" u="1"/>
        <s v="280881" u="1"/>
        <s v="280973" u="1"/>
        <s v="159456 m" u="1"/>
        <s v="15985172" u="1"/>
        <s v="277334" u="1"/>
        <s v="279082" u="1"/>
        <s v="279266" u="1"/>
        <s v="279358" u="1"/>
        <s v="280961" u="1"/>
        <s v="277322" u="1"/>
        <s v="279070" u="1"/>
        <s v="279254" u="1"/>
        <s v="279346" u="1"/>
        <s v="277310" u="1"/>
        <s v="278506" u="1"/>
        <s v="279242" u="1"/>
        <s v="279426" u="1"/>
        <s v="279518" u="1"/>
        <s v="279230" u="1"/>
        <s v="279414" u="1"/>
        <s v="279506" u="1"/>
        <s v="EFDS" u="1"/>
        <s v="141520 1" u="1"/>
        <s v="279310" u="1"/>
        <s v="279402" u="1"/>
        <s v="24 feb" u="1"/>
        <s v="012021 JUJUY FM" u="1"/>
        <s v="032020 JUJUY FM" u="1"/>
        <s v="125145 3" u="1"/>
        <s v="26062020" u="1"/>
        <s v="14062020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092" u="1"/>
        <s v="279276" u="1"/>
        <s v="279368" u="1"/>
        <s v="280971" u="1"/>
        <s v="secr ejec. 25 feb" u="1"/>
        <s v="277332" u="1"/>
        <s v="279080" u="1"/>
        <s v="279264" u="1"/>
        <s v="279356" u="1"/>
        <s v="152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424" u="1"/>
        <s v="279516" u="1"/>
        <s v="279608" u="1"/>
        <s v="154" u="1"/>
        <s v="279412" u="1"/>
        <s v="279504" u="1"/>
        <s v="279400" u="1"/>
        <s v="1992020" u="1"/>
        <s v="112020 JUJUY FM" u="1"/>
        <s v="25639" u="1"/>
        <s v="CFA010721" u="1"/>
        <s v="49939" u="1"/>
        <s v="29856" u="1"/>
        <s v="280938 4agosto" u="1"/>
        <s v="4867" u="1"/>
        <s v="275170" u="1"/>
        <s v="280495 1" u="1"/>
        <s v="279298" u="1"/>
        <s v="280993" u="1"/>
        <s v="280667 1" u="1"/>
        <s v="279286" u="1"/>
        <s v="280981" u="1"/>
        <s v="277342" u="1"/>
        <s v="278170" u="1"/>
        <s v="278538" u="1"/>
        <s v="279090" u="1"/>
        <s v="279274" u="1"/>
        <s v="279366" u="1"/>
        <s v="279458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80991" u="1"/>
        <s v="1511201" u="1"/>
        <s v="256341" u="1"/>
        <s v="278180" u="1"/>
        <s v="278548" u="1"/>
        <s v="279192" u="1"/>
        <s v="279284" u="1"/>
        <s v="279376" u="1"/>
        <s v="279468" u="1"/>
        <s v="07102020" u="1"/>
        <s v="158456" u="1"/>
        <s v="280926 10" u="1"/>
        <s v="278536" u="1"/>
        <s v="278628" u="1"/>
        <s v="279272" u="1"/>
        <s v="279364" u="1"/>
        <s v="279456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4950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/>
    </cacheField>
    <cacheField name="Comentario" numFmtId="0">
      <sharedItems containsBlank="1" count="946">
        <s v="Gabiota Sport"/>
        <s v="NISSAN FRONTIER 2.5 4x4 cuero-Ca"/>
        <s v="TOYOTA HILUX SRV 2013 3.0 full, "/>
        <s v="TOYOTA SW4 full,  mod/2016, 76.0"/>
        <s v="GNC MYN GRAN PROMOCION..."/>
        <s v="NORTE GNC"/>
        <s v="LCB POLARIZADOS ..."/>
        <s v="BIO GNC ENERGIA “Siempre más GAS"/>
        <s v="IMPORTANTE  TERRENO *ESQUINA* 1."/>
        <s v="PERICO  VENDO 2 TERRENOS juntos "/>
        <s v="RQ VENTA DE TERRENOS"/>
        <s v="VENDO TERRENO  15x40, DIQUE La C"/>
        <s v="DÑO. VDE. LOTE. PALPALÁ. B° Virg"/>
        <s v="ARNEDO INMOBILIARIA  VENDE 2 Dpt"/>
        <s v="DUEÑO VENDE DUPLEX a estrenar, 2"/>
        <s v="SEVERINO  VENDO  100 HAS PERICO "/>
        <s v="GESPO INMOBILIARIA  ALQUILERES -"/>
        <s v="CAÑAS VENTA *Excluisiva propieda"/>
        <s v="FERRETERIA CARBAJAL"/>
        <s v="DERGAM"/>
        <s v="CARMOTO FERRETERIA INDUSTRIAL"/>
        <s v="VENDEDOR IMPORTANTE EMPRESA DEL "/>
        <s v="RECEPCIONISTA  PARA CONSULTORIO "/>
        <s v="BUSCO CAMIONES, SEMIACOPLADOS-CA"/>
        <s v="SE NECESITA SECRETARIA  CON EXPE"/>
        <s v="EMP DE BEBIDAS SOMMELIER"/>
        <s v="EMP DEL MEDIO - PREVENTISTAS"/>
        <s v="EMPRESA CONSTRUCTORA NECESITA AR"/>
        <s v="OFICIAL ½ OFICIAL Empresa constr"/>
        <s v="SE  BUSCA MEDICO /A para turno d"/>
        <s v="Buscamos ASESOR DE VENTAS con Ex"/>
        <s v="IMPORTANTE EMPRESA ONSTRUCTORA  "/>
        <s v="CONSTRUCTORA BUSCA OFICIAL ALBAÑ"/>
        <s v="JUBILACIONES - PENSION por falle"/>
        <s v="VENDO KTM DUKE 200  MOD 2016. IM"/>
        <s v="METALNOR-METALES-CHATARRA"/>
        <s v="¡¡¡URGENTE BUSCAMOS A VALENTINA!"/>
        <s v="HORMIGONERA + DE 20 AÑOS"/>
        <s v="HORMIGONERA -VENTA DE HORMIGON E"/>
        <s v="HORMIGONERA  JUJUY S.R.L. VENTA "/>
        <s v="JUZGADO DE PRIMERA INSTANCIA EN "/>
        <s v="EDICTO DRA. NORMA BEATRIZ ISSA, "/>
        <s v="EDICTO SUCESORIO -  -  -  JUZGAD"/>
        <s v="EDICTO SUCESORIO .-.-.-.-JUZGADO"/>
        <s v="EDICTO-- --------EN EL EXPTE. N°"/>
        <s v="EDICTO- -------------JUZGADO DE "/>
        <s v="                                "/>
        <s v="  EDICTO --- Juzgado de Primera "/>
        <s v="---EDICTO SUCESORIO--  ---JUZGAD"/>
        <s v="EDICTO SUCESORIO  = = = El JUZGA"/>
        <s v="EFECTIVO EN 1 MINUTO..."/>
        <s v="JULIO PANERO"/>
        <s v="TASADOR   CRISTIAN L. VILAR Tel "/>
        <s v="TASACIONES CASAS- TERRENOS- FINC"/>
        <s v="VALVERDI PROPIEDADES VENTA - ALQ"/>
        <s v="ASAMBLEA GENERAL ORDINARIA La Co"/>
        <s v="CONVOCATORIA San Salvador de Juj"/>
        <s v="COOPERATIVA SIN FRONTERAS CONVOC"/>
        <s v="CONVOCATORIA  La Comisión Reorga"/>
        <s v="BUSCO CASA O LOCAL COMERCIAL  CO"/>
        <s v="ALQUILO DEPTO CATEGORIA"/>
        <s v="ALQUILO DPTO  de categoría 1 dor"/>
        <s v="COSEJERO y HECHICERO JAIRO  Nuev"/>
        <s v="IMPORTANTE EMPRESA CONSTRUCTORA "/>
        <s v="EMPRESA CONSTRUCURA SOLICITA : M"/>
        <s v="/////////////////JESUS TAROT////"/>
        <s v="EMP DEL MEDIO .- PROMOTORAS"/>
        <s v="BRUJA PACTADA “DEYSY”   Especial"/>
        <s v="AMOS-BRUJOS- SEÑORES DE LOS AMAN"/>
        <s v="ESTUDIE ITALIANO ASOC. DANTE ALI"/>
        <s v="MAS LUZ - JUJUY FM"/>
        <s v="TILCARA NUEVO PROFESIONAL Dr. GE"/>
        <s v="+ GIMENEZ, PABLO (q.e.p.d.) Fall"/>
        <s v="LA COCHERIA SRL"/>
        <s v="WERCHOW"/>
        <s v="LOPEZ PIERRE FARMACIA"/>
        <s v="SERIVICIO SOCIALES FUTURO..."/>
        <s v="INSTRUMENTACION QUIRURIGA M.C. -"/>
        <s v="IITA - PROPUESTA EDUCATIVA"/>
        <s v="ADICEM ...."/>
        <s v="Norte Servicios Sociales"/>
        <s v="FM SOL"/>
        <s v="TOMBOSUERTE..."/>
        <s v="BANCO MACRO  PEDIDO: 45000102879"/>
        <s v="EJESA CONVOCATORIA ASAMBLEA ORDI"/>
        <s v="EDJESA  CONVOCATORIA ASAMBLEA OR"/>
        <s v="PJ JUJUY - RIVAROLA"/>
        <s v="BINGO LOBO..."/>
        <s v="EJESA CORTE..."/>
        <s v="GOBIERNO CALL CENTER 0800-..."/>
        <s v="GOBIERNO SOLICITADA...."/>
        <s v="ANIVERSARIO GINMASIA ING. ULLOA"/>
        <s v="PSICOPEDAGOGIA  Lic. DOLORES JUA"/>
        <s v="CONSULTORIO DE PODOLOGIA GABRIEL"/>
        <s v="Dra. Claudia M. Bianco OTORRINOL"/>
        <s v="LIC. DIEGO CRUZ QUIROPRAXIA"/>
        <s v="PROBLEMAS DE COLUMNA Y EXTREMIDA"/>
        <s v="Consultorios AV"/>
        <s v="////LOGO///// DERECHO DE FAMILIA"/>
        <s v="Dr. Alejandro Daniel Copa Dra. V"/>
        <s v=" TERRAZAS Y ORCE REMIS ESTUDIO J"/>
        <s v=" ESTUDIO JURIDICO LOPEZ SALGADO "/>
        <s v="MARIA GABRIELA LABARTA        AB"/>
        <s v="SEPELIOS SAN JOSE S.R.L. SERVICI"/>
        <s v="CENTRO VOLKSWAGEN-SUP. AUTOMOTOR"/>
        <s v="HAFID"/>
        <s v="CENTRO AUTOMOTOR"/>
        <s v="LUBRINOR"/>
        <s v="DFD Repuestos"/>
        <s v="Xtreme Neumáticos"/>
        <s v="El Lobito Repuestos"/>
        <s v="Neumatone"/>
        <s v="Motonoa"/>
        <s v="Toyojuy-Chevrojuy"/>
        <s v="Warnes Repuestos"/>
        <s v="Ortega Automotores"/>
        <s v="Produgas GNC-Nafta"/>
        <s v="CAR PRO"/>
        <s v="MELLI AUTOMOTORES"/>
        <s v="LENARDUZZI AUTOMOTORES"/>
        <s v="CINE ALFA..."/>
        <s v="AGRO RURAL" u="1"/>
        <m u="1"/>
        <s v="RUBEN RIVAROLA" u="1"/>
        <s v="LICITACION PUBLICA Nº 03/2021" u="1"/>
        <s v="IMPORTANTE EMPRESA  Busca:  Cont" u="1"/>
        <s v="El Centro Jubilados y pensionado" u="1"/>
        <s v="APACHETA - la mansion" u="1"/>
        <s v="Vendo o permuto por vehículo ter" u="1"/>
        <s v="CON IMAGEN" u="1"/>
        <s v="SUSANA MARINO" u="1"/>
        <s v="EDICTO SUCESORIO  Ref. Expte. N°" u="1"/>
        <s v="La Rotonda Lacteos - San jose pa" u="1"/>
        <s v="FARMACIA SAN RAFAEL" u="1"/>
        <s v="CABALLERO ALQUILA SAN MARTIN AL " u="1"/>
        <s v="TALLER DE MUSICA Acelerados al m" u="1"/>
        <s v="aviso en carpeta notables de la fecha" u="1"/>
        <s v="*  MODIFICO TEXTO_x000d__x000a__x000d__x000a_*  MISMO DIBUJO" u="1"/>
        <s v="aviso idem publi. anterior color rojo 1428468 con imagen de san jose" u="1"/>
        <s v="MESA DE ORGANIZACION NACIONAL" u="1"/>
        <s v="fany saravia werchow  1x3" u="1"/>
        <s v="+ AMARILLA NICOLAS  (Q.E.P.D.)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ESTRA PAOLA TAROTISTA" u="1"/>
        <s v="PASEO LA RIVERA" u="1"/>
        <s v="BINGO CLUB EL CARMEN" u="1"/>
        <s v="UN DIA PERFECTO... 1" u="1"/>
        <s v="repite (MES DE DICIEMBRE)" u="1"/>
        <s v="+ JULIA RAMOS DE APAZA  Q.E.P.D." u="1"/>
        <s v="CON IMAGEN Y ORACION COMPLETA A SAN EXPEDITO" u="1"/>
        <s v="EDICTO SUCESORIO  -----JUZGADO D" u="1"/>
        <s v="EDICTO SUCESORIO:  === JUZGADO D" u="1"/>
        <s v="Dn ERAZO ASUNCION  CARGAR CUENTA" u="1"/>
        <s v="EMPRESA DEL MEDIO ING ELECTRICO" u="1"/>
        <s v="EDICTO DE CITACION  ------------" u="1"/>
        <s v="EDICTO DE CITACIÓN  ------------" u="1"/>
        <s v="UTEDYC DIA DE LA MUJER" u="1"/>
        <s v="aviso para renonar a color" u="1"/>
        <s v="aviso para renovar a color" u="1"/>
        <s v="pag. Jujuy" u="1"/>
        <s v="+ GLORIA BEATRIZ MANSILLA       " u="1"/>
        <s v="----EDICTO --- - - - Juzgado de " u="1"/>
        <s v="COLEGIO DE BIOQUIMICOS" u="1"/>
        <s v="CON FOTO 04-03" u="1"/>
        <s v="EDICTOS  Ref. Expte. N° D-034001" u="1"/>
        <s v="CONVOCATORIA COMISION DIRECTIVA " u="1"/>
        <s v="CLINICA SOL" u="1"/>
        <s v="ITALIA NEUMATICOS" u="1"/>
        <s v="EDICTO SUCESORIO  JUZGADO DE PRI" u="1"/>
        <s v="EDICTO SUCESORIO: JUZGADO DE PRI" u="1"/>
        <s v="CORREGIR AVISO, LLAMO LA SEÑORA Y QUIERE QUE SALGA_x000d__x000a_CON RECUADRO COLOR AMARILO Y LETRA NEGRA" u="1"/>
        <s v="ALQUILO DEPARTAMENTO SEMIPISO- 4" u="1"/>
        <s v="Club Amigos del Tango CONVOCATOR" u="1"/>
        <s v="IMPORTANTE DISTRIBUIDORA DE PROD" u="1"/>
        <s v="+  LUIS ENRIQUE VILTE    (Q.E.P." u="1"/>
        <s v="TODO IKA - DIA DEL REPUESTERO" u="1"/>
        <s v="VDO. TOYOTA HILUX.. SRV. 2.8. 4 " u="1"/>
        <s v="COLOR AMARILLO LETRA NEGRA" u="1"/>
        <s v="NUMANCIA" u="1"/>
        <s v="CINE TEATRO ALTOS HORNOS ZAPLA  " u="1"/>
        <s v="CANAL  4  PROGRAMACION..." u="1"/>
        <s v="GOBIERNO  COL CENTER COVID 0800 " u="1"/>
        <s v="cargar a cuenta werchow  + PAULA" u="1"/>
        <s v="PERSONAL ADMINISTRATIVO ESTUDIAN" u="1"/>
        <s v="+ GUZMAN, Horacio Martin  Q.E.P." u="1"/>
        <s v="CANAL  2  PERICO PROGRAMACION..." u="1"/>
        <s v="BYN SIN FOTO" u="1"/>
        <s v="GMG LUBRICENTRO ADHESION..." u="1"/>
        <s v="CABALLERO ALQUILA DPTOS" u="1"/>
        <s v="FOTO GUARDAD EN LA CARPETA DE LA FECHA DE AT. AL CLIENTE_x000d__x000a__x000d__x000a_CON EL MARCO DEL RECUADRO CON ALGUN DETALLE LINDO A COLOR... GRACIAS" u="1"/>
        <s v="ROLCAR BUSQUEDA LABORAL" u="1"/>
        <s v="+ FEDERICO CLAPIER (Q.E.P.D.) Se" u="1"/>
        <s v="REUNION COOPERATIVA" u="1"/>
        <s v="SUTIAGA - PAGINA ESPECIAL" u="1"/>
        <s v="                          E D I " u="1"/>
        <s v="PRODUGAS  GNC  - NAFTA..." u="1"/>
        <s v="   CAMARA EN LO CIVIL Y COMERCIA" u="1"/>
        <s v="con foto color carp. 21-03" u="1"/>
        <s v="+ ZAPANA DE CRUZ, Elena Aurora Q" u="1"/>
        <s v="TARJETA NOA - DIA DE LA MUJER" u="1"/>
        <s v="COMUNIDAD ABORIGEN DEL VALLE DE " u="1"/>
        <s v="EDICTO SUCESORIO   --EL  JUZGADO" u="1"/>
        <s v="FOTO GUARDAD EN LA CARPETA DE LA FECHA DE AT. AL CLIENTE_x000d__x000a__x000d__x000a_CON EL MARCO DEL RECUADRO CON ALGUN DETALLE A COLOR PERO DIFERENTE AL ANTERIOR. GRACIAS" u="1"/>
        <s v="+ FUNES, Alvaro Gonzalo  QEPD  F" u="1"/>
        <s v="CONVOCATORIA  La Comisión Direct" u="1"/>
        <s v="TEXTO CARP. 08-03 WORD" u="1"/>
        <s v="FM PUNTO DE VISTA..." u="1"/>
        <s v="IMPORTANTE EMPRESA INCORPORA: As" u="1"/>
        <s v="+ ELÍAS, Herman Silvano  (Q.E.P." u="1"/>
        <s v="BINGO LOBO  ...." u="1"/>
        <s v="FRIAR" u="1"/>
        <s v="CARGAR CUENTA WERCHOW + RAUL MAR" u="1"/>
        <s v="BONAFIDE ESP LA MANSION" u="1"/>
        <s v="LÒPEZ  INMOBILIARIA  ESTAMOS EN " u="1"/>
        <s v="SEOM  8 ANIVERASRIO FALLECIMEINT" u="1"/>
        <s v="LIAL MAYORISTA" u="1"/>
        <s v="con color" u="1"/>
        <s v="  --EL  JUZGADO DE PRIMERA INSTA" u="1"/>
        <s v="INFORMACIÓN DE PRENSA MES DE ENE" u="1"/>
        <s v="MARTILLERA LAURA BLANCO ALQUILER" u="1"/>
        <s v="MADERERA EL TREBOL" u="1"/>
        <s v="ASOCIACION “TODOS JUNTOS” CONVOC" u="1"/>
        <s v="+ AMARILLA, Nicolas Elizardo    " u="1"/>
        <s v="+ CARRANZA, Irma    q.e.p.d." u="1"/>
        <s v="EDICTO SUCESORIO  --EL  JUZGADO " u="1"/>
        <s v="EDICTO SUCESORIO  ===El JUZGADO " u="1"/>
        <s v="EDICTO SUCESORIO: = = = JUZGADO " u="1"/>
        <s v="EDICTO  EN EL EXPTE N°: B-07110/" u="1"/>
        <s v="CLUB UNION DEPORTIVA MAIMARÁ  CO" u="1"/>
        <s v="BUSQUEDA LABORAL SUPERVISOR" u="1"/>
        <s v="HILUX SR 2017, 2.4, D/Cab. 4x2 ." u="1"/>
        <s v="KANGOO 2017, 1.6 nafta, 54.000km" u="1"/>
        <s v="GASISTA MATRICULADO Y PLOMERO MA" u="1"/>
        <s v="CONVOCATORIA DESOCUPADOS SAN FRA" u="1"/>
        <s v="ALQUILO GALPÓN EN San Pedrito fr" u="1"/>
        <s v="YOLY POLLERIA - ANUARIO" u="1"/>
        <s v="NGA" u="1"/>
        <s v="NICO" u="1"/>
        <s v="COOP DE TABACALEROS" u="1"/>
        <s v="ELSA BEATRIZ GALIAN DE SILISQUE " u="1"/>
        <s v="JAIRO JEREMIAS TINTE  cargar cue" u="1"/>
        <s v="Extintores EMSA" u="1"/>
        <s v="COMODIN" u="1"/>
        <s v="OSPE...." u="1"/>
        <s v="NESCAR - DIA DEL MECANICO" u="1"/>
        <s v="VIRGEN DEL ROSARIO DE RIO BLANCO" u="1"/>
        <s v="instituto superior emdei" u="1"/>
        <s v="REPITE ANUNCIO" u="1"/>
        <s v="ALQUILO CASA  A ESTRENAR Ceramic" u="1"/>
        <s v="J.R.A.C. GRACIAS GLORIOSA Y BIEN" u="1"/>
        <s v="----EDICTO----                 -" u="1"/>
        <s v="con foto mcarpeta dia 14 de marzo" u="1"/>
        <s v="CORRALON EL AMIGO" u="1"/>
        <s v="EDICTOS ----JUZGADO DE PRIMERA I" u="1"/>
        <s v="INOCENCIO LAMAS  CARGAR CTA CTE " u="1"/>
        <s v="CLUB SOCIAL Y DEPO. SANTO DOMING" u="1"/>
        <s v="con foto color carp. 03-03" u="1"/>
        <s v="REPITE AVISO DE OP 279306" u="1"/>
        <s v="COLOR CON FOTO 04-03" u="1"/>
        <s v="con foto color carp. 23-03" u="1"/>
        <s v="COMPRO CASA O DPTO  DE 2 O 3 DOR" u="1"/>
        <s v="IMPORTANTE EMPRESA DEL MEDIO SEL" u="1"/>
        <s v="CONSEJO DE FARMACEUTICOS - CONVO" u="1"/>
        <s v="WERCHOW dia de la mujer" u="1"/>
        <s v="* MARCO AZUL FRANCIA _x000d__x000a_* INSTITUTO DE IDIOMAS AZUL FRANCIA_x000d__x000a_* INGLES Y FRANCES EN AZUL" u="1"/>
        <s v="ASOCIACION MUTUAL ORGANISMO REGI" u="1"/>
        <s v="EMPRESA CONSTRUCTORA BUSCA URGEN" u="1"/>
        <s v="CONVOCATORIA La Comisión Reorgan" u="1"/>
        <s v="EL PULSO" u="1"/>
        <s v="CAMARA DE TABACO" u="1"/>
        <s v="CANAL 7" u="1"/>
        <s v="IITA" u="1"/>
        <s v="Busco empleada doméstica para Al" u="1"/>
        <s v="repite de ultimo aviso" u="1"/>
        <s v="+ ALEJANDRO GONZALEZ MUÑOZ    Q." u="1"/>
        <s v="REPITE AVISO DE OP 279304" u="1"/>
        <s v="PROYAJO S.A." u="1"/>
        <s v="C O N V O C A T O R I A  Coopera" u="1"/>
        <s v="VENDO EQUIPOS DE RAYOS X 1-TOSHI" u="1"/>
        <s v="BURGOS VIDRIOS" u="1"/>
        <s v="EDICTO   JUZGADO DE PRIMERA INST" u="1"/>
        <s v="EDICTOS  JUZGADO DE PRIMERA INST" u="1"/>
        <s v="PROTOCOLO INICIO DE CLASES - GOB" u="1"/>
        <s v="LOS LAPACHOS DIA DE LA MUJER" u="1"/>
        <s v="“San José Patrono de ciudad Peri" u="1"/>
        <s v="AUTOMOTORES PEREZ" u="1"/>
        <s v="Agrupación Política: &quot;PARTIDO DE" u="1"/>
        <s v="ALTOS DEL ZAPLA" u="1"/>
        <s v=" + NIRICH, Darío Fabricio  Q.E.P" u="1"/>
        <s v="DERGAM - DIA DEL MECANICO" u="1"/>
        <s v="AUDIOS INSTITUCIONALES MUNICIPAL" u="1"/>
        <s v="ORACION COMPLETA A SAN EXPEDITO CON IMAGEN DE SAN EXPEDITO TAMBIEN" u="1"/>
        <s v="E D I C T O   EN EL  EXPTE. N° C" u="1"/>
        <s v="EMPRESA SOLICITA EMPLEADO" u="1"/>
        <s v="ASOCIACIÓN  PEQUEÑOS PRODUCTORES" u="1"/>
        <s v="RENO" u="1"/>
        <s v="HUMAHUACA VENDO propiedad sobe c" u="1"/>
        <s v="MYN INYECCION" u="1"/>
        <s v="GUARDIAS COLEGIO ESCRIBANOS...." u="1"/>
        <s v="JUAN MIGUEL ALABI   Abogado en M" u="1"/>
        <s v="DESARROLLO INMOBILIARIO Y COMERC" u="1"/>
        <s v="EDICTO SUCESORIO = = = = = = = =" u="1"/>
        <s v="APACHETA" u="1"/>
        <s v=" CENTRO DE RESIDENTES DE CIENEGU" u="1"/>
        <s v="GLORIOSO SAN EXPEDITO GRACIAS PO" u="1"/>
        <s v="+ TOLABA, Lucas Martin   (Q.E.P." u="1"/>
        <s v="-EDICTOS--  Ref. Expte. N° D - 0" u="1"/>
        <s v="CANAL 7 PROGRAMACION..." u="1"/>
        <s v="ELECTROMAT" u="1"/>
        <s v="EDICTO EL Tribunal Electoral de " u="1"/>
        <s v="E D I C T O  S U C E S O R I O  " u="1"/>
        <s v="RUTA 9" u="1"/>
        <s v="CENTRO EMP. DE COMERCIO  dia de " u="1"/>
        <s v="CARMOTO" u="1"/>
        <s v="ALQUILO LOCALES Y OFICINAS EN PE" u="1"/>
        <s v="ALTO LA VIÑA Vendo  casa importa" u="1"/>
        <s v="HAFID - DIA DEL MECANICO" u="1"/>
        <s v="MUNI JUJUY - cine select" u="1"/>
        <s v="Estamos en busqueda de Personal " u="1"/>
        <s v="LA COCHERIA - FIESTA PATRONAL DE" u="1"/>
        <s v="CONVOCATORIA ASAMBLEA ORDINARIA " u="1"/>
        <s v="CLUB SOCIAL Y DEPORTIVO “EL CRUC" u="1"/>
        <s v="+ BURGOS, Jose Eduardo      Q.E." u="1"/>
        <s v="TECNOHIDRAULICA - DIA DEL MECANI" u="1"/>
        <s v="LA CASA DEL PEUGEOT - DIA DEL ME" u="1"/>
        <s v="CONVOCATORIA A ASAMBLEA  La Comi" u="1"/>
        <s v="+ DENETT CARLOS 1X3 CARGAR CUENT" u="1"/>
        <s v="MARTILLERA LAURA BLANCO VENTA DE" u="1"/>
        <s v="+ Dra. JUANA ALCIRA ARANCIBIA (q" u="1"/>
        <s v="importante empresa gastronomica" u="1"/>
        <s v="+ GUSTAVO MANUEL ROJAS      Q.E." u="1"/>
        <s v="INSTITUTO DE IDIOMAS  Reconocido" u="1"/>
        <s v="VENDO DPTO. EDIFICIO GALERIA IMP" u="1"/>
        <s v="aviso en carpeta de notables de la fecha" u="1"/>
        <s v="ME OFREZCO  COMO CHOFER (pick up" u="1"/>
        <s v="SIRIO LIBANESA" u="1"/>
        <s v="VENDO PEUGEOT 206 1.9 mod 2008, " u="1"/>
        <s v="CABALLERO VENDE LOTE TUMBAYA" u="1"/>
        <s v="D.R.D GRACIAS SAN EXPEDITO POR L" u="1"/>
        <s v="FOTO GUARDAD EN LA CARPETA DE LA FECHA DE AT. AL CLIENTE_x000d__x000a__x000d__x000a_CON EL MARCO DEL RECUADRO A COLOR Y CON UN LINDO DETALLE QUE RESALTE... GRACIAS" u="1"/>
        <s v="KOLOR LA MANSION" u="1"/>
        <s v="con foto carp. 27-02" u="1"/>
        <s v="CONCEJO DELIBERANTE - DIA DE LA " u="1"/>
        <s v="NECESITO PROMOTOR/A Presentarse " u="1"/>
        <s v="aviso carp. 08-03" u="1"/>
        <s v="                    ------------" u="1"/>
        <s v="TAVERNITI" u="1"/>
        <s v="GMG LUBRICENTRO - ESP GIMNASIA" u="1"/>
        <s v="   +REINALDI, ESTEBAN ANTONIO   " u="1"/>
        <s v="CONSEJO PROF DE CS ECON DIA DE L" u="1"/>
        <s v="TEXTO NUEVO_x000d__x000a_SE AUMENTO:    &quot;VENTA EXCLUSIVA DE PRODUCTOS PARA PODOLOGOS&quot;." u="1"/>
        <s v="DOVIS DIESEL - DIA DEL MECANICO" u="1"/>
        <s v="(pag deportes) - DERGAM(publica " u="1"/>
        <s v="EJESA CORTE.. 2" u="1"/>
        <s v="VENDO PIANO COLA C BECHSTEIN Ale" u="1"/>
        <s v="San Pedro de Jujuy, 24 de mayo d" u="1"/>
        <s v="bonif plan 3x1" u="1"/>
        <s v="GALERIA IMPULSO  VENDO Y ALQUILO" u="1"/>
        <s v="SAN EXPEDITO TE PIDO POR LA SALU" u="1"/>
        <s v="VDO. CAMION M. BENZ. 16/34. Mod." u="1"/>
        <s v="E  D  I  C  T  O:  = = = DRA. MA" u="1"/>
        <s v="+  ELVA RODRIGUEZ “Elvita”  (Q.E" u="1"/>
        <s v="Bº LOS CLAROS VENDO TERRENO GRAN" u="1"/>
        <s v=" + MAZA, JOSE RAUL             Q" u="1"/>
        <s v="SANATORIO LAVALLE" u="1"/>
        <s v="SAN JOSÉ PATRONO DE NUESTRA GENT" u="1"/>
        <s v="TODO IGUAL REPITE ANUNCIO 1189851" u="1"/>
        <s v="OSPIDA - DIA DEL MECANICO" u="1"/>
        <s v="EJESA CORTE..2" u="1"/>
        <s v="JUJUY MADERAS" u="1"/>
        <s v="con foto color carp. 07-03" u="1"/>
        <s v="AVISO ENVIA POR MAIL" u="1"/>
        <s v="con foto color carp. 17-03" u="1"/>
        <s v="BLIMOP" u="1"/>
        <s v="Veterinaria Bartolini" u="1"/>
        <s v="VDO. CAMION M. BENZ. 16/14. Mod." u="1"/>
        <s v="ADICEM..." u="1"/>
        <s v="ALQUILO DEPARTAMENTO EN BS AS. -" u="1"/>
        <s v="CON FOTO CARP 25-02" u="1"/>
        <s v="GESPO_x000d__x000a_INMOBILIARIA ****FONDO NARAJA TENUE Y LETRA NEGRITA****_x000d__x000a__x000d__x000a_Salta Nº1031-Tel. 3885203654 / 388517750  ****FONDO NARAJA TENUE Y LETRA NEGRITA****" u="1"/>
        <s v="cargar cuenta Werchow RAFAEL CAL" u="1"/>
        <s v="TIEMPO DE COLORES - ANIV. GIMNAS" u="1"/>
        <s v="INCRIPCIONES 2021 VACANTES PARA " u="1"/>
        <s v="EFECTIVO EN EL ACTO CON TARJETA " u="1"/>
        <s v="-  -  -  “JUZGADO DE PRIMERA INS" u="1"/>
        <s v="PANADERIA SANTO ANTONIO - patron" u="1"/>
        <s v="CARLITOS REPUESTOS" u="1"/>
        <s v="YAMAHA VIRAGO 535C.C MOD/1993-MU" u="1"/>
        <s v="DR.  GUSTAVO MANUEL ROJAS       " u="1"/>
        <s v="EXPTE C94065/17 CABRERA BRUNO8  " u="1"/>
        <s v="AVISO ARMADO _x000d__x000a__x000d__x000a_GUARDADO EN LA CARPETA DE LA FECHA DE AT. AL CLIENTE..." u="1"/>
        <s v="avisos en carpeta de notables" u="1"/>
        <s v="EDICTO SUCESORIO El Juzgado de p" u="1"/>
        <s v="+ACHO, PEDRO        Q.E.P.D  Fal" u="1"/>
        <s v="E D I C T O    = = = = =El Juzga" u="1"/>
        <s v="ACOSTA MUEBLES - DIA DE LA MUJER" u="1"/>
        <s v="/// CLUB DE AMIGOS ///" u="1"/>
        <s v="TRANSPORTE ALIANZA" u="1"/>
        <s v="CRAJUY-DIA DEL REPUESTERO" u="1"/>
        <s v="ELECTROMAT ANIV CLUB GIMNASIA" u="1"/>
        <s v="GOBIERNO TURISMO DESTINOS" u="1"/>
        <s v="IMP EMP. EN CREC. BUSCA COMMUNIT" u="1"/>
        <s v="EDICTO JUZGADO DE PRIMERA INSTAN" u="1"/>
        <s v="PARRILLADA EL PARADOR  AVISO ARM" u="1"/>
        <s v="UTA UNION TRANVIARIOS AUTOMOTOR " u="1"/>
        <s v="CABALLERO VENDE CASA LOS PERALES" u="1"/>
        <s v="MUEBLES CHAÑAR ESP GIMNASIA" u="1"/>
        <s v="Ante la circulación en los medio" u="1"/>
        <s v="IMANTA - busqueda" u="1"/>
        <s v="AGROQUIMICA SAN JOSE" u="1"/>
        <s v="ACOSTA MUEBLES" u="1"/>
        <s v="LOS TILIANES - dia de la mujer" u="1"/>
        <s v="SEPELIOS SAN JOSE S.R.L. Saludam" u="1"/>
        <s v="a color Pag. Esp ADHESIÓN FIESTA PATRONAL SAN JOSE MISMO MODELO Y COLOR (LILA) PREVIA VISTA DE ORIGINALES_x000d__x000a_Modif.  NUEVO SALUDO A SAN JOSE" u="1"/>
        <s v="APACHETA - NINO FUENTES" u="1"/>
        <s v="Aviso de prórroga de la fecha de" u="1"/>
        <s v="ADRIAN MERCADO" u="1"/>
        <s v="+ ESTANISLAO LIQUITAY Falleció e" u="1"/>
        <s v="Los Naranjos (aviso armado)" u="1"/>
        <s v="EDICTO SUCESORIO  -- -- -- EL JU" u="1"/>
        <s v="NUEVO PROFESIONAL DR. LEONARDO R" u="1"/>
        <s v="CON IMAGEN san expedito" u="1"/>
        <s v="ASOCIACION DE ENFERMERIA - CONVO" u="1"/>
        <s v="Nuestra Provincia, el país y el " u="1"/>
        <s v="CLINICA SOL - ODONTOLOGIA - PUBL" u="1"/>
        <s v="CAMARA MINERA - DIA DE LA MUJER" u="1"/>
        <s v="NECESITO OFICIAL Y AYUDANTE ALBA" u="1"/>
        <s v="SANTOS “TUCO” PEÑARRIETA       Q" u="1"/>
        <s v="EXAR - DIA DE LA MUJER" u="1"/>
        <s v="ATENCION PELUQUEROS VENDO LAVACA" u="1"/>
        <s v="CONSEJO PROVINIAL PARA LA INTEGR" u="1"/>
        <s v="======EDICTO===== JUZGADO DE 1° " u="1"/>
        <s v="LA MANSION" u="1"/>
        <s v="MARKAS" u="1"/>
        <s v="Bº CDAD DE NIEVA  VENDO CASA  Ca" u="1"/>
        <s v="FOTO GUARDAD EN LA CARPETA DE LA FECHA DE AT. AL CLIENTE_x000d__x000a__x000d__x000a_CON EL MARCO DEL RECUADRO CON FLORES DE DISTINTOS COLORES.... GRACIAS" u="1"/>
        <s v="CIRCULO MEDICO VETERINARIO" u="1"/>
        <s v="CONVOCATORIA A REEMPADRONARSE La" u="1"/>
        <s v="ORACION MILAGROSA  Confío en ti " u="1"/>
        <s v="ASOC.COOP.CEA INTA ABRA PAMPA CO" u="1"/>
        <s v="DISTRIBUIDORA TIRAXI SRL NECESIT" u="1"/>
        <s v="COVID DISTANCIAMIENTO SOCIAL" u="1"/>
        <s v="UPCN" u="1"/>
        <s v="UCSE  CONTADOR" u="1"/>
        <s v="PARRILLADA 9 EL PARADOR  AVISO A" u="1"/>
        <s v="ERNESTO FRANCISCO MAX AGUERO  1X" u="1"/>
        <s v="VENDO TERRENO C/GALPON" u="1"/>
        <s v="FARMAR" u="1"/>
        <s v="WERCHOW SAN JOSE" u="1"/>
        <s v="ALTO LA VIÑA Vendo casa importan" u="1"/>
        <s v="      CONVOCATORIA çLa Comision " u="1"/>
        <s v="ASOCIACION CIVIL PERIQUEÑA DE TA" u="1"/>
        <s v="SAN EXPEDITO  TE PIDO POR LA SAL" u="1"/>
        <s v="IMP EMP DE SERVICIOS BUSCA AUXIL" u="1"/>
        <s v="EL MUNDO DEL PLOMERO - FIESTA PA" u="1"/>
        <s v="fondo amarrillo letras negras  l y cel. numero mas notable" u="1"/>
        <s v="COLEGIO DE ARQUITECTOS - DIA DE " u="1"/>
        <s v="COLEGIO DE BIOQUIMICOS - DIA DE " u="1"/>
        <s v="EDTUDIO JURÍDICO DR. SEGOVIA Cas" u="1"/>
        <s v="OPTICA AYORA" u="1"/>
        <s v="EMPRESA SOLICITA OFICIAL CARPINT" u="1"/>
        <s v="+ BAZAN, José &quot;Sapo Q.E.P.D. Fal" u="1"/>
        <s v="CARGAR CUENTA WERCHOW VARGAS JOS" u="1"/>
        <s v="MANAGER Coach" u="1"/>
        <s v="CARTELERA CINE ALTOS HORNOS ZAPL" u="1"/>
        <s v="EMPRESA CONSTRUCURA SOLICITA: ME" u="1"/>
        <s v="                         “CENTRO" u="1"/>
        <s v="BONILLO ORG. DE SEGUROS" u="1"/>
        <s v="CARMOTO  FERRETERIA INDUSTRIAL ." u="1"/>
        <s v="destacra titulo" u="1"/>
        <s v="NUEVO PROFESIONAL EVANGELINA G. " u="1"/>
        <s v="===EDICTO== JUZGADO DE PRIMERA I" u="1"/>
        <s v="CONVOCATORIA   ASAMBLEA GENERAL " u="1"/>
        <s v="COMITE SINDICALISTA SAUL U" u="1"/>
        <s v="     EDICTO SUCESORIO   - JUZGAD" u="1"/>
        <s v="IMP EMPRESA DE SERVICIOS BUSCA A" u="1"/>
        <s v="B° CHIJRA, vendo casa  a 50 mtrs" u="1"/>
        <s v="CON IMAGEN DE LA VIRGEN" u="1"/>
        <s v="SE BUSCA MEDICO_x000d__x000a_***RESALTADO****" u="1"/>
        <s v="GRACIAS SAN EXPEDITO POR LOS FAV" u="1"/>
        <s v="FOTO GUARDAD EN LA CARPETA DE LA FECHA DE AT. AL CLIENTE_x000d__x000a__x000d__x000a_CON EL MARCO DEL RECUADRO CON ALGUN LINDO DETALLE A COLOR" u="1"/>
        <s v="OPORTUNIDADA DE TRABAJO SE BUSCA" u="1"/>
        <s v="+ BAZAN, José  Q.E.P.D. Falleció" u="1"/>
        <s v="EDICTO SUCESORIO ---------JUZGAD" u="1"/>
        <s v="TODO GOMA ..." u="1"/>
        <s v="ASOCIACION JUJEÑA DE CIRUGIA  CO" u="1"/>
        <s v="El Dr. Esteban Arias Cau Vocal P" u="1"/>
        <s v="EDICTO SUCESORIO JUZGADO DE PRIM" u="1"/>
        <s v="ABOGADOS - CAUSAS PENALES _x000d__x000a__x000d__x000a_///AVISO ARMADO EN CARPETA DE LA FECHA" u="1"/>
        <s v="JMS MAQUINAS AGROVIAL" u="1"/>
        <s v="PERICO VENDO CASAS  Bº JM DE ROS" u="1"/>
        <s v="DUEÑO VENDE EDIFICIO DE 14 DEPAR" u="1"/>
        <s v="EDICTO La Sra. Juez del Tribunal" u="1"/>
        <s v="CLUB GIMNASIA Y ESGRIMA DE JUJUY" u="1"/>
        <s v="SERVIFIAT-DIA DEL MECANICO" u="1"/>
        <s v="MADERERA TIERRA COLORADA" u="1"/>
        <s v="con foto color carp 13-03" u="1"/>
        <s v="CORONAVIRUS TELAM 2021...." u="1"/>
        <s v="CARGAR CUENTA DE WERCHOW  MOD 1X" u="1"/>
        <s v="CON FOTO COLOR CARP 17-03" u="1"/>
        <s v="AGOSTINI DES. INMOBILIARIA" u="1"/>
        <s v=" + ZACARIAS P. CUEVAS “SACO”    " u="1"/>
        <s v="OSPIDA - DIA DE LA MUJER" u="1"/>
        <s v="color con foto para 05-03" u="1"/>
        <s v="UCASAL JUJUY OFERTA EDUCATIVA" u="1"/>
        <s v="         E  D  I  C  T  O  S  - " u="1"/>
        <s v="SALVA CABANA" u="1"/>
        <s v="VENDO FIAT 500" u="1"/>
        <s v="EDICTOS  Ref. Expte. Nº D-034815" u="1"/>
        <s v="+ IVANA JAQUELINA TEVES DE ZUÑIG" u="1"/>
        <s v="CENTRO REGIONAL DE HEMOTERAPIA- " u="1"/>
        <s v="DESARROLLO INMOBILIARIA SANTA MA" u="1"/>
        <s v="SUTIAGA - DIA DE LA MUJER" u="1"/>
        <s v="IDEAL INVERSORES Galería Impulso" u="1"/>
        <s v="XTREME NEUMATICOS" u="1"/>
        <s v="RECORDATORIO   + LAVAYÉN, Javier" u="1"/>
        <s v="APJ FEBRERO 2021" u="1"/>
        <s v="=  E D I C T O  S U C E S O R I " u="1"/>
        <s v="PLAN BÁSICO UNIVERSAL" u="1"/>
        <s v="COVID DISTANCIAMIENTO SOCIAL - C" u="1"/>
        <s v="SE CAMBIO EL NUMERO DE CELULAR" u="1"/>
        <s v="EDICTO  JUZGADO DE PRIMERA INSTA" u="1"/>
        <s v="EDICTOS JUZGADO DE PRIMERA INSTA" u="1"/>
        <s v="--------------------------------" u="1"/>
        <s v="RECORDATORIO GUILLERMO SNOPECK" u="1"/>
        <s v="EMPRESA CONSTRUCTORA SOLICITA : " u="1"/>
        <s v="EMPRESA CONSTRUCTORA DEL MEDIO S" u="1"/>
        <s v="BOTON LAMINA" u="1"/>
        <s v="fondo blanco  vendo y alquilo (solo difrente color y resto letras negras)" u="1"/>
        <s v="PORKMAN - 15 años la mansión" u="1"/>
        <s v="ASMABLEA ORDINARIA  La Asociació" u="1"/>
        <s v="E D I C T O  Dr. Alejandro Domín" u="1"/>
        <s v="+ VILLEGA, Luis Adrian (q.e.p.d)" u="1"/>
        <s v="CONTENEDORES   EL HORNERO CAMION" u="1"/>
        <s v="bien remarcado tasaciones" u="1"/>
        <s v="cargar cuenta cte. werchow  1x3 " u="1"/>
        <s v="NECESITO OFICIALES Y 1/2 OFI. AL" u="1"/>
        <s v="FARMACIA DEL BARRIO" u="1"/>
        <s v="VENDO TERRENO 15x40, DIQUE La Ci" u="1"/>
        <s v="E  D  I  C  T  O S  - - - El Dr." u="1"/>
        <s v="EDICTO EL DIRECTOR DE LA DIRECCO" u="1"/>
        <s v="PAEZ S.R.L." u="1"/>
        <s v="CONCEJAL. FABIAN RODRIGUEZ  DIA " u="1"/>
        <s v="repite ultimo aviso" u="1"/>
        <s v="EDICTO ---El Tribunal Electoral " u="1"/>
        <s v="SE NECESITA COCINERO/A CON EXPER" u="1"/>
        <s v="ELECTROMAT ..." u="1"/>
        <s v="LUISIÑO - ESP LA MANSION" u="1"/>
        <s v="Juntas con Essen - publica estil" u="1"/>
        <s v="AUTOSERVICIO EL ALMACEN" u="1"/>
        <s v="EJESA   CORTE..." u="1"/>
        <s v="HOTEL OHASIS-ANIV. GYE JUJUY" u="1"/>
        <s v="JUNTA ELECTORAL DEL B° CAMPO VER" u="1"/>
        <s v="FIESTA PATRONAL SAN JOSE_x000d__x000a__x000d__x000a_Iogo enviadao correo de Sonia Huanuco" u="1"/>
        <s v="MUNIC. LICITACION N° 07/2021" u="1"/>
        <s v="SECRETARIO/A NECESITO DE 20 a 27" u="1"/>
        <s v="EDICTO SUCESORIO  ---DR. DIEGO A" u="1"/>
        <s v="LUBRINOR-DIA DEL MECANICO" u="1"/>
        <s v="DOVIS DIESEL - PATRONAL DE PERIC" u="1"/>
        <s v="ALQUILO MAQUINA RETROPALA -Nivel" u="1"/>
        <s v="aviso para renovar" u="1"/>
        <s v="EDICTO ==== El Juzgado de Primer" u="1"/>
        <s v="REMARCAR TITULO DEL AVISO _x000d__x000a_Modificaciones" u="1"/>
        <s v="--EDICTO--  = = =Dra. LIS VALDEC" u="1"/>
        <s v="FAMILIA SOSA. GRACIAS SAN EXPEDI" u="1"/>
        <s v="E D I C T O  EL JUZGADO DE PRIME" u="1"/>
        <s v="+ CIRO CALIXTO DIAZ (Q.E.P.D.) S" u="1"/>
        <s v="PROPIETARIO VENDE DUPLEX TIPO CH" u="1"/>
        <s v="UCSE  PSICOPEDAGOGIA" u="1"/>
        <s v="con foto color -foto carpeta del dia 24-02" u="1"/>
        <s v="GOMEZ ROCO - BUSQUEDA PERSONAL" u="1"/>
        <s v="LA BULONERA" u="1"/>
        <s v="CENTRO VECINAL B° 9 DE JULIO - P" u="1"/>
        <s v="EDICTO DE CITACION  LA DIRECCION" u="1"/>
        <s v="ASOCIACION CIVIL CLUB ATLETICO E" u="1"/>
        <s v="BOTON DIA DE LA MUJER" u="1"/>
        <s v="buscar aviso 3 diciembre de 2019 y modificar texto" u="1"/>
        <s v="VINERIA S.JUAN" u="1"/>
        <s v="+ ESTER VILLAFAÑE DE SERAPIO ALV" u="1"/>
        <s v="TRAME - FATIMA" u="1"/>
        <s v="adhesión día de los agricultores" u="1"/>
        <s v="LIGA DE VETERANOS DE FUTBOL DE P" u="1"/>
        <s v=" FIAT ARGO  FULL modelo HGT moto" u="1"/>
        <s v="MARTILLERA LAURA BLANCO VENDO TE" u="1"/>
        <s v="“La Comunidad de Perico honra ho" u="1"/>
        <s v="el primer profesional mas grande el nombre que el segundo" u="1"/>
        <s v="ASOC. DE SANMARINENS,." u="1"/>
        <s v="---EDICTOS- Ref. Expte. N° D- 34" u="1"/>
        <s v="AGOSTINI INMOBILIARIO" u="1"/>
        <s v="NEWSPORT ADHESION CLUB GIMNASIA " u="1"/>
        <s v="EMP DEL MEDIO SOLICITA VENDEDOR" u="1"/>
        <s v="BUSQUEDA LABORAL" u="1"/>
        <s v="“Centro Vecinal Bartolomé Mitre”" u="1"/>
        <s v="TEL NET SRL" u="1"/>
        <s v="-EDICTO -  JUZGADO DE PRIMERA IN" u="1"/>
        <s v="CLINICA NUESTRA SRA. DE FATIMA.." u="1"/>
        <s v="SE VENDE DUPLEX Bº LOS P." u="1"/>
        <s v="VENDO EN TUCUMÁN,  CASA ESQUINA " u="1"/>
        <s v="CONSORCIO DEL LOTEO RESIDENCIAL " u="1"/>
        <s v="ECHENIQUE Analía" u="1"/>
        <s v="MUNI JUJUY - MARIANO MORENO" u="1"/>
        <s v="SEL SRL - ANIVERSARIO GYE JUJUY" u="1"/>
        <s v="COLEGIO DE ABOGADOS - ESP MUJER" u="1"/>
        <s v="CENTRO VECINAL Y DE FOMENTO CENT" u="1"/>
        <s v="+ CRUZ, LUIS RICARDO         Q.E" u="1"/>
        <s v="SELECCIONA MEDICOS" u="1"/>
        <s v="+  FERIGUTTI MARIO  Q.E. P. D.  " u="1"/>
        <s v="ING. RAMON RUSSO" u="1"/>
        <s v="= E D I C T O =    = = = El Dr. " u="1"/>
        <s v="0800 DENUNCIAR IRREGULARIDADES" u="1"/>
        <s v="DISTRIBUIDORA VICTORIA" u="1"/>
        <s v="EL MUNDO DEL PLOMERO ANIV CLUB G" u="1"/>
        <s v="UCASAL JUJUY - oferta marzo 2021" u="1"/>
        <s v="AVISO EN CARPETA DE NOTABLES" u="1"/>
        <s v="LA CASA DEL PEUGEOT - ESP GIMNAS" u="1"/>
        <s v="PEDRO ACHO  CARGAR CTA CTE WERCH" u="1"/>
        <s v="a color los dias de color ( renovación) JAIRO NUEVO NUMERO DE CEL 0388154648931" u="1"/>
        <s v="GESTORIA DEL AUTOMOTOR REALIZAMO" u="1"/>
        <s v="EDICTO EN EL EXPTE. N°D-035189/2" u="1"/>
        <s v="CLUB ATLETICO SANTA ROSA CONVOCA" u="1"/>
        <s v="CONVOCATORIA La Comision elector" u="1"/>
        <s v="ISJ   MEDIDAS DE PREVENSION ..." u="1"/>
        <s v="CUADRO TARIFARIO EJESA..." u="1"/>
        <s v="AGRADECIMIENTO   LA FAMILIA DE A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Hábitat-Car vende departamento a" u="1"/>
        <s v="resaltar jubilacion-pension con fondo negro y nombre del profesional y numero de telefono" u="1"/>
        <s v="EDICTOS Ref. Expte Nº D-034230/2" u="1"/>
        <s v="VENDO AUTO  GOLF 2016 1.4, TSI. " u="1"/>
        <s v="EDICTO SUCESORIO   El JUZGADO DE" u="1"/>
        <s v="EDICTO SUCESORIO -----JUZGADO DE" u="1"/>
        <s v="MUNI PALPALA - DIA DE LA MUJER" u="1"/>
        <s v="COLEGIO DE LIC EN OBSTETRICIA" u="1"/>
        <s v="FE DE ERRATAS  SOCIEDAD MUTUAL C" u="1"/>
        <s v="BLANCO Y NEGRO AVISO CARP. 10-03" u="1"/>
        <s v="PEUGEOT PATAGONICA  FULL-2016- G" u="1"/>
        <s v="SUBTE - delivery" u="1"/>
        <s v="TRAME - DIA DEL MECANICO" u="1"/>
        <s v="+ HORACIO VICTOR ALVAREZ GARCIA " u="1"/>
        <s v="EDICTO SUCESORIO   - JUZGADO DE " u="1"/>
        <s v="EDICTO SUCESORIO  ---JUZGADO DE " u="1"/>
        <s v="EDICTO SUCESORIO  El Juzgado de " u="1"/>
        <s v="EDICTO SUCESORIO = = JUZGADO DE " u="1"/>
        <s v="EDICTO SUCESORIO:    JUZGADO DE " u="1"/>
        <s v="aviso nuevo a armar en carpeta de notables" u="1"/>
        <s v="= =  =  =  =  =  =  =  EDICTOS S" u="1"/>
        <s v="+MIGUEL CARLOS       Q.E.P.D." u="1"/>
        <s v="FIDEICOMISO HIPOTECARIO" u="1"/>
        <s v="CUBIERTAS Y LLANTAS  ORIGINALES" u="1"/>
        <s v="JESÚS HIJO DE DIOS TIENE PODER. " u="1"/>
        <s v="               ASOCIACION PAN DE" u="1"/>
        <s v="CONVOCATORIA EL CONSEJO DE ADMIN" u="1"/>
        <s v="BARBARITA QUIROGA Q.E.P.D.  WERH" u="1"/>
        <s v="ALQUILO PLENO CENTRO Dptos y hab" u="1"/>
        <s v="CONCEJO DELIBERANTE - aniversari" u="1"/>
        <s v="a color aviso para renovar" u="1"/>
        <s v="a color" u="1"/>
        <s v="GIGANTO GRAFICA" u="1"/>
        <s v="PREMANANDI" u="1"/>
        <s v="Genaro Gimenez Q. E. P. D. Se du" u="1"/>
        <s v="CONVOCATORIA ASAMBLEA EXTRAORDIN" u="1"/>
        <s v="CLUB ATLETICO SANTA  CONVOCATORI" u="1"/>
        <s v="30 AVISOS (450 MODULOS) TARJETA " u="1"/>
        <s v="MADERERA DENIS" u="1"/>
        <s v="EMP DEL MEDIO INCORPORA PROMOT" u="1"/>
        <s v="+ FANNY SORIA            + ZULMA" u="1"/>
        <s v="FONDO NEGRO EL TITULO DEL AVISO_x000d__x000a_Y BIEN REMARCADO EL CONTACTO" u="1"/>
        <s v="CENTRO VECINAL DE RODERO CONVOCA" u="1"/>
        <s v="fondo negro titulo" u="1"/>
        <s v="PONER EL TITULO Y LOS TELEFONOS CON FONDO NEGRO POR FAVOR" u="1"/>
        <s v="(pag deportes) - DERGAM" u="1"/>
        <s v="Duty Center" u="1"/>
        <s v="CARGAR A LA CUENTA DE WERCHOW  1" u="1"/>
        <s v="ANGEL LUBRICANTES . ..." u="1"/>
        <s v="con foto" u="1"/>
        <s v="Club Deportivo Social Parapeti C" u="1"/>
        <s v="TARJETA SOL - PROMOS ESCOLARES" u="1"/>
        <s v="- PAGINA 2- INSTITUTO DE ESTUDIO" u="1"/>
        <s v="envio por correo el texto y foto de Analia Echenique" u="1"/>
        <s v="ACUERDO ESCOLAR - COVID LAVADO D" u="1"/>
        <s v="SONIA FLORES MARTILLERA ALQUILA " u="1"/>
        <s v="ALFREDO ANDRES Y FAMILIA SALUDAN" u="1"/>
        <s v="NECESITO RECUPERAR CON URGENCIA." u="1"/>
        <s v="CLINICA VETERINARIA MEDI VET" u="1"/>
        <s v="CENTRO EMPLEADOS DE FARMACIA DIA" u="1"/>
        <s v="EDICTOS Ref. Expte Nº D-035486/2" u="1"/>
        <s v="DUEÑO ALQUILA Dpto. 3er piso, 3 " u="1"/>
        <s v="FIAMBRERIA GRAN MONARCA ..." u="1"/>
        <s v="IMANTA - VENDEDORES" u="1"/>
        <s v="EDICTO FDO: DRA. MARISA RONDÓN -" u="1"/>
        <s v="UTHGRA - DIA DE LA MUJER" u="1"/>
        <s v="CON FOTO COLOR" u="1"/>
        <s v="E  D  I  C  T  O:  = = = JUZGADO" u="1"/>
        <s v="AVISO ARMADO CARP  2-03" u="1"/>
        <s v="CENTRO VECINAL B° 23 DE AGOSTO -" u="1"/>
        <s v="ORACION A SAN EXPEDITO M i San E" u="1"/>
        <s v="gobierno continuamos con los ras" u="1"/>
        <s v="FUND. PROJUJUY AGROPECUA." u="1"/>
        <s v="EDICTO SUCESORIO DR. JUAN PABLO " u="1"/>
        <s v="APACHETA - - gaby morales" u="1"/>
        <s v="Estamos buscando *ARQUITECTO  Co" u="1"/>
        <s v="BINGO CLUB EL CARMEN - publicado" u="1"/>
        <s v="con foto color carp 20-03" u="1"/>
        <s v="VDO. TRES LOTES. De 40 de ancho " u="1"/>
        <s v="TASADORA MATRICULADA  MARTILLERA" u="1"/>
        <s v=": Hábitat-Car vende impecable ca" u="1"/>
        <s v="EDICTO: - - - Dra. MARISA E. RON" u="1"/>
        <s v="+ MAMANI SANCHEZ, Ruben Daniel “" u="1"/>
        <s v="RENUEVA IMAGEN A PARTIR DEL 5/01" u="1"/>
        <s v="IDEAL INVERSORES vendo oficinas " u="1"/>
        <s v="CON FOTO EN CARPETA DE LA FECHA  2X3 COLOR ELSA  GALIAN DE SILISQUE" u="1"/>
        <s v="COVID LAVADO DE MANOS- GOBIERNO" u="1"/>
        <s v="E  D  I  C  T  O  S - - - - - - " u="1"/>
        <s v="AGOSTINI DES. INMOBILIARIOS" u="1"/>
        <s v="UNION CAÑEROS INDEPEND." u="1"/>
        <s v="Infomercial Oficina anticorrupci" u="1"/>
        <s v="+ KOTAS" u="1"/>
        <s v="JUJUY FM PIZPIRETA" u="1"/>
        <s v="ABRIMOS EN LA TERMINAL" u="1"/>
        <s v="PERICO VENDO TERRENO 10x33 frent" u="1"/>
        <s v="= EDICTO SUCESORIO =  Juzgado de" u="1"/>
        <s v="PERMUTO-VENDO CASA CHALET EN S.M" u="1"/>
        <s v="CAPSAP COMUNICADO WSP" u="1"/>
        <s v="SINDICATO DE TRABAJADORES DE LA " u="1"/>
        <s v="Alliance One" u="1"/>
        <s v="SAN EXPEDITO  TE PIDO POR LOS ES" u="1"/>
        <s v="CANAL 2 PERICO TECNOVISION..." u="1"/>
        <s v="+ PRUDENCIO VILTE  Q.E.P.D. Fall" u="1"/>
        <s v="CLASIFICADOS ON LINE" u="1"/>
        <s v="LATITUD SUR" u="1"/>
        <s v="EXPTE C048048/15 OVANDO GREGORIO" u="1"/>
        <s v="- EDICTO DE NOTIFICACION - El Tr" u="1"/>
        <s v="+ GARCIA, Natividad Flora Q.E.P." u="1"/>
        <s v="Villanueva BUSQUEDA LABORAL" u="1"/>
        <s v="UNJU DIA DE LA MUJER" u="1"/>
        <s v="TOTALGAS - LLAMAGAS" u="1"/>
        <s v="EDICTO  El Dr. Matías Leonardo N" u="1"/>
        <s v="SAN EXPEDITO  GRACIAS POR LOS FA" u="1"/>
        <s v="AVISO CON RECUARDO ROJO" u="1"/>
        <s v="MUTUAL DE AGUA Y ENERGIA ELECTRI" u="1"/>
        <s v="E D I C T O   - - - CÁMARA DE AP" u="1"/>
        <s v="aviso armado" u="1"/>
        <s v="CENTRO VECINAL BARRIO EL CADILLA" u="1"/>
        <s v="Vendo cachorros  Raza salchichas" u="1"/>
        <s v="CARLOS QUIROGA" u="1"/>
        <s v="= = = = = = = = = = EDICTO SUCES" u="1"/>
        <s v="Vendo clio II Impecable. Modelo " u="1"/>
        <s v="a color los días correspondientes ( aviso para renovación )_x000d__x000a_Idem aviso 1450476" u="1"/>
        <s v="JUJUY FM PIZPIRETA." u="1"/>
        <s v="VENDO AUTO  GOLF 2016 1.4, TSI.c" u="1"/>
        <s v="NUEVO PROFESIONAL ABOGADO DR. RO" u="1"/>
        <s v="SEVERINO  *VENDO*  100 HAS. COMU" u="1"/>
        <s v="CARGAR CUENTA WERCHOW JORGE SAUL" u="1"/>
        <s v="DYMEC...." u="1"/>
        <s v="LIGA QUEBRADEÑA DE FUTBOL   CONV" u="1"/>
        <s v="NECESITO CARNICERO  para zona Sa" u="1"/>
        <s v="EDICTO   SUCESORIO ---EL JUZGADO" u="1"/>
        <s v="CLUB DEF. de FRAILE PINTADO Pers" u="1"/>
        <s v="EJESA CORTE...." u="1"/>
        <s v="CONVOCATORIA                La C" u="1"/>
        <s v="GARELY SACI" u="1"/>
        <s v="CHEVROLET CRUZE 2014 5P LTZ IMPE" u="1"/>
        <s v="ARIES S.A." u="1"/>
        <s v="Vendo citroen c3 1.4 I SX (sedan" u="1"/>
        <s v="CONVOCATORIA La Comisión Directi" u="1"/>
        <s v="SUPER GOYO - PAGINA ESPECIAL" u="1"/>
        <s v="BINGO HODPITSL...." u="1"/>
        <s v="OSDE" u="1"/>
        <s v="EL MILAGRO MARMOLES" u="1"/>
        <s v=": Hábitat-Car vende casa 3 dormi" u="1"/>
        <s v="MUNI JUJUY - 90 AÑOS GIMNASIA" u="1"/>
        <s v="SE BUSCA MATRIMONIO PARA TRABAJO" u="1"/>
        <s v="AG AGRO GALLEGO" u="1"/>
        <s v="COL. DE ESCRIBANOS..." u="1"/>
        <s v="Centro Vecinal “El Toro” Convoca" u="1"/>
        <s v="AGUAS PERICO" u="1"/>
        <s v="CONCEJAL P.J. DR. HUGO SOSA   DI" u="1"/>
        <s v="ELECTRICIDAD PERICO" u="1"/>
        <s v="B° CHIJRA, vendo casa  (A medio " u="1"/>
        <s v="E  D  I  C  T  O:  = = = DR. DIE" u="1"/>
        <s v="CARGAR CUENTA WERCHOW ROSALINDA " u="1"/>
        <s v="AVISO ARMADO CON DIEGO" u="1"/>
        <s v="CON IMAGEN GUARDAD CARP- 24-02" u="1"/>
        <s v="BLOTTING" u="1"/>
        <s v="ORACION A SAN EXPEDITO  GRACIAS " u="1"/>
        <s v="FERRETERIA CARVAJAL-SUP. CONSTRU" u="1"/>
        <s v="ATSA" u="1"/>
        <s v="M.M.  GRACIAS SAN EXPEDITO por l" u="1"/>
        <s v="CORONAVIRUS  MARZO 2021..." u="1"/>
        <s v="ELECTROSTAR" u="1"/>
        <s v="+ HECTOR ABELARDO ALANIZ        " u="1"/>
        <s v="GOBIERNO  08008883368" u="1"/>
        <s v="FOTO GUARDAD EN LA CARPETA DE LA FECHA DE AT. AL CLIENTE_x000d__x000a__x000d__x000a_CON EL MARCO DEL RECUADRO A COLOR Y CON FLORES DE COLORES DE DETALLE.... GRACIAS" u="1"/>
        <s v="+ FRANCISCA NÉLYDA ZAMBONI (Q.E." u="1"/>
        <s v="COOTEJU" u="1"/>
        <s v="PORKMAN" u="1"/>
        <s v="CONSORCIO DE RIEGO" u="1"/>
        <s v="MARTILLERA LAURA BLANCO Terrenos" u="1"/>
        <s v="+ VICTOR HUGO MAIDANA “BICHO”   " u="1"/>
        <s v="APACHETA - NACHO Y DANIEL CAMPOS" u="1"/>
        <s v="AVISO EN MAIL" u="1"/>
        <s v="INMOBILIARIA BARCENA VENDE (LOGO" u="1"/>
        <s v="color con foto carpeta 24-02" u="1"/>
        <s v="COLEGIO MÉDICO - DIA DE LA MUJER" u="1"/>
        <s v="- COVID BARBIJO - GOBIERNO" u="1"/>
        <s v="MELLI AUTOMOTORES - DÍA DEL MECÁ" u="1"/>
        <s v="CON IMAGEN DE SAN EXPEDITO" u="1"/>
        <s v="fondo negro el titulo y el celular x favor." u="1"/>
        <s v="UNIVERSIDAD BLAS PASCAL" u="1"/>
        <s v="color con foto carp. 19-03" u="1"/>
        <s v="PANADERÍA PRONTO ESP LA MANSION" u="1"/>
        <s v="EXPTE C103.008/17 BUSTAMANTE HEC" u="1"/>
        <s v="FEDERECION DE FUTBOL DE VETERANO" u="1"/>
        <s v="NUEVO PROFESIONAL  INGENIERA QUI" u="1"/>
        <s v="GOMEZ ROCO.." u="1"/>
        <s v="SMATA JUJUY - DIA DE LA MUJER" u="1"/>
        <s v="SUBTE" u="1"/>
        <s v="FONDO NEGRO TITULO Y CONTACTO" u="1"/>
        <s v="MARIA TERESA LLAMPA CTA CTE WERC" u="1"/>
        <s v="MUNI JUJUY - DIA DE LA MUER" u="1"/>
        <s v="COLEGIO DE PROFESIONALES  DE SER" u="1"/>
        <s v="I.V.U.J.    GOBIERNO DE JUJUY DE" u="1"/>
        <s v="ADIÓS, COMPAÑERO “PUMPI” ELEIT  " u="1"/>
        <s v="CRILLON" u="1"/>
        <s v="SMATA JUJUY - DIA DEL MECANICO" u="1"/>
        <s v="ANTONIA GERONIMA SUBIA 1X3" u="1"/>
        <s v="GRACIAS SAN EXPEDITO Y VIRGENCIT" u="1"/>
        <s v="INSTITUTO DE ESTUDIOS HISTORICOS" u="1"/>
        <s v="TERESA RAMONA AQUINO CARGAR CTA " u="1"/>
        <s v="AVISO ENVIADO POR MAIL" u="1"/>
        <s v="REMARCAR BIEN EL TITULO" u="1"/>
        <s v="EDICTO DE CITACION LA DIRECCION " u="1"/>
        <s v="E D I C T O S ----- Dr. DIEGO PU" u="1"/>
        <s v="DERGAM - ESP LA MANSION" u="1"/>
        <s v="CABALLERO ALQUILA 2 LOCALES" u="1"/>
        <s v="LAS PIRCAS" u="1"/>
        <s v="SATSAID - DIA DE LA MUJER" u="1"/>
        <s v="EDICTO  EN EL EXPTE. Nº C-151059" u="1"/>
        <s v="SUPER VEA" u="1"/>
        <s v="VINERIA SAN JUAN" u="1"/>
        <s v="SEX SHOP ///AVISO ARMADO////" u="1"/>
        <s v="a color fondo verde letras negras" u="1"/>
        <s v="nuevo logo  a color y modif- enviado al correro de Sonia y claudio" u="1"/>
        <s v="AGRADECIMIENTO  ANAHI ARAMAYO ex" u="1"/>
        <s v="IMPRENTA ALBERDI - FIESTA PATRON" u="1"/>
        <s v="Consejo de Integración y Desarro" u="1"/>
        <s v="SUPER NICO" u="1"/>
        <s v="TURBOS SALUZZO - DIA DEL MECANIC" u="1"/>
        <s v="4 FECHAS TENTATIVAS" u="1"/>
        <s v="Jujuy Andino Club de Montaña - A" u="1"/>
        <s v="Edicto El Tribunal  de la Provin" u="1"/>
        <s v="SIND. DE LUZ Y FUERZA" u="1"/>
        <s v="GRUPO CENOA - DIA DEL MECANICO" u="1"/>
        <s v="BINGO LOBO ....." u="1"/>
        <s v="EDICTO SUCESORIO   JUZGADO DE PR" u="1"/>
        <s v="CON FOTO CARP. 12-03" u="1"/>
        <s v="BINGO LOBO  ... CONTRATAPA ..." u="1"/>
        <s v="CENTRO DE JUBILADOS, RETIRADOS Y" u="1"/>
        <s v="TROPEA..." u="1"/>
        <s v="+ LAUREANO, Guillermo Román     " u="1"/>
        <s v="VENDO CASA  Bº Alto Comedero. Co" u="1"/>
        <s v="SE NECESITA SANSWICHERO / PLANCH" u="1"/>
        <s v="C.V. GRACIAS SAN EXPEDITO POR LO" u="1"/>
        <s v="EXPTE C107.299/18 VARGAS CARLOS" u="1"/>
        <s v="ACCES SYSTEMS" u="1"/>
        <s v="INGENIO “RIO GRANDE” S.A.C.A.A.é" u="1"/>
        <s v="EMPRESA DE TRANSPORTE TRADELOG S" u="1"/>
        <s v="NISSAN FIANI" u="1"/>
        <s v="PERSONAL FIBERTEL" u="1"/>
        <s v="arviso armado" u="1"/>
        <s v="ZEPPELIN ...." u="1"/>
        <s v="IMPORTANTE EMPRESA INCORPORA: ve" u="1"/>
        <s v="EDICTO DE CITACIÓN  ---------LA " u="1"/>
        <s v="MANAGER COACH INSCRIPCIONES ABIE" u="1"/>
        <s v="SEMED ESPECIAL + web" u="1"/>
        <s v="EJESA CORTE.." u="1"/>
        <s v="EDICTO SUCESORIO                " u="1"/>
        <s v="EDICTO SUCUESORIO               " u="1"/>
        <s v="BUSCO PAREJA DE CACEROS P/ CAMPO" u="1"/>
        <s v="NICO FIAMBRES  ESP LA MANSION" u="1"/>
        <s v="CONVOCATORIA CENTRO JUBILADOS LO" u="1"/>
        <s v="SUPER GOYO" u="1"/>
        <s v="AGOSTINI DES. INMOBILIARIO..." u="1"/>
        <s v="FARMACIA GRAL. BELGRANO" u="1"/>
        <s v="ABOGADOS - CAUSAS PENALES   ///A" u="1"/>
        <s v="CONSEJO DE MEDICOS..." u="1"/>
        <s v="ESPER  MATERIALES..." u="1"/>
        <s v="COLEGIO DE PSICOLOGOS 1" u="1"/>
        <s v="OPTICA EL GALLO - GIMNASIA Y ESG" u="1"/>
        <s v="COUNTRY LAS DELICIAS  Vendo terr" u="1"/>
        <s v="CENTRO VECINAL DE UQUIA  CONVOCA" u="1"/>
        <s v="Se vende camioneta Mitsubishi L2" u="1"/>
        <s v="UNICABLE CANAL 4" u="1"/>
        <s v=" JOSE MADDALLENO      Martillero" u="1"/>
        <s v="Juan de la Cruz Ud. Busco ayuda " u="1"/>
        <s v="CIRCULO MEDICO VETERINARIO - DIA" u="1"/>
        <s v="TEMPLO BIBLICO MARANATHA Convoca" u="1"/>
        <s v="+ VICTOR HUGO MAIDANA Q.E.P.D. (" u="1"/>
        <s v="color con foto" u="1"/>
        <s v="AGRADECIMIENTO LAURA MARTINEZ DE" u="1"/>
        <s v="foto carp. 23-03" u="1"/>
        <s v="BINGO LOBO ..." u="1"/>
        <s v="BALDI FIAMBRES DIA DE LA MUJER" u="1"/>
        <s v="color con foto carp 19-03" u="1"/>
        <s v="UCSE -INGRESO 2021" u="1"/>
        <s v="NOVEDADES LA UNICA" u="1"/>
        <s v="El Consorcio Formación II Soc. C" u="1"/>
        <s v="idem aviso anterior 1428315" u="1"/>
        <s v="N.F.S. GRACIAS SAN EXPEDITO POR " u="1"/>
        <s v="con foto de ambas personas" u="1"/>
        <s v="Empresa constructora, radicada e" u="1"/>
        <s v="COLEGIO DE PSICOLOGOS 2" u="1"/>
        <s v="MAXICONSUMO OFERTAS..." u="1"/>
        <s v="+ ANDRES  “PUMPI”  ELEIT (Q.E.P." u="1"/>
        <s v="CENTRO VECINA Bº ALTO GORRITI CO" u="1"/>
        <s v="AVISO ARMADO CARP 26-02" u="1"/>
        <s v="GOBIERNO DE JUJUY SALUDA A GIMNA" u="1"/>
        <s v="DFD REPUESTOS - DIA DEL MECANICO" u="1"/>
        <s v=" EDUARDO JOSE ROMEO            A" u="1"/>
        <s v="NATANIA" u="1"/>
        <s v="E D I C T O   La DRA. NORMA AMAL" u="1"/>
        <s v="fondo amarrillo lectras negras (para renovar)" u="1"/>
        <s v="Alquiler Temporario en Bs As-  (" u="1"/>
        <s v="con foto carpeta 26-02" u="1"/>
        <s v="COLEGIO NUEVO HORIZONTE N° 1  TE" u="1"/>
        <s v="-------- EDICTOS ----- El Dr. Es" u="1"/>
        <s v="LIC.PUB. 01-2021 AGUA POTABLE..." u="1"/>
        <s v="+ ALCIDES ANTONIO CHARAVIGLIO  (" u="1"/>
        <s v="SINGH, Teresa del Valle Q.E.P.D." u="1"/>
        <s v="LABORATORIO SIUFI" u="1"/>
        <s v="EDICTO SUCESORIO   --------JUZGA" u="1"/>
        <s v="EDICTO  --------EN EL EXPTE. Nº " u="1"/>
        <s v="+ BENITA FIDELMA GUANCA  Q.E.P.D" u="1"/>
        <s v="PEUGEOT 2008 ALLURE  TIP TRONIC-" u="1"/>
        <s v="TARJETA SOL -" u="1"/>
        <s v="VENDO TOYOTA HILUX SR 4x4, blanc" u="1"/>
        <s v="ESCUCHA TU SALUD... FM JUJUY" u="1"/>
        <s v="VENDO CANICHE MINI TOY hembra ne" u="1"/>
        <s v="LICITACION PUBLICA Nº 02/2021" u="1"/>
        <s v="TITULAR VENDE FRONTIER  2010-4x4" u="1"/>
        <s v="CABALLERO PROPIEDADES..........." u="1"/>
        <s v="LA CASA DEL RIEGO" u="1"/>
        <s v="con logo enviado de la coop. tel. reenvio correro" u="1"/>
        <s v="con foto carp. 05-03" u="1"/>
        <s v="RFOBERTO INES CALIZAYA 1X3 WERCH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65497.7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0">
        <s v="JVEN08"/>
        <s v="JVEN07"/>
        <s v="JVEN06"/>
        <s v="JVEN02"/>
        <s v="JVEN01"/>
        <s v="JPINTF"/>
        <s v="JPEDID"/>
        <s v="JOFREC"/>
        <s v="JMOTOS"/>
        <s v="JMATCO"/>
        <s v="JEXTRA"/>
        <s v="JEMPCO"/>
        <s v="JEDICT"/>
        <s v="JDINER"/>
        <s v="JCOM01"/>
        <s v="JASAMB"/>
        <s v="JALP01"/>
        <s v="JALO01"/>
        <s v="JAGRUP"/>
        <s v="SUDC"/>
        <s v="SU"/>
        <s v="SER"/>
        <s v="PES"/>
        <s v="PAC"/>
        <s v="OBI"/>
        <s v="IDC"/>
        <s v="IAC"/>
        <s v="DEP"/>
        <s v="JGPSICPE"/>
        <s v="JGPODOL"/>
        <s v="JGOTRPRO"/>
        <s v="JGKINES"/>
        <s v="JGESTET"/>
        <s v="JGABOGA"/>
        <s v="OBIMOD"/>
        <m u="1"/>
        <s v="CTAPA" u="1"/>
        <s v="JARRIE" u="1"/>
        <s v="PAG19" u="1"/>
        <s v="JGECOGR" u="1"/>
        <s v="JREPYA" u="1"/>
        <s v="PAG9" u="1"/>
        <s v="JVEN03" u="1"/>
        <s v="JPDOME" u="1"/>
        <s v="PDC" u="1"/>
        <s v="JVEN04" u="1"/>
        <s v="LOC" u="1"/>
        <s v="OreDer" u="1"/>
        <s v="JVEN05" u="1"/>
        <s v="TAPA" u="1"/>
        <s v="JGARQUI" u="1"/>
        <s v="JMAQCO" u="1"/>
        <s v="JALO04" u="1"/>
        <s v="JGORTOP" u="1"/>
        <s v="JALO05" u="1"/>
        <s v="JGPSICO" u="1"/>
        <s v="OREIZQ" u="1"/>
        <s v="JALMI" u="1"/>
        <s v="JINSPR" u="1"/>
        <s v="PAG5" u="1"/>
        <s v="JCOM02" u="1"/>
        <s v="JVETER" u="1"/>
        <s v="JCOM03" u="1"/>
        <s v="JAGRIC" u="1"/>
        <s v="JGODONT" u="1"/>
        <s v="JGCLIM" u="1"/>
        <s v="JTALLG" u="1"/>
        <s v="ESP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JGCONT" u="1"/>
        <s v="JREMAT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3"/>
        <n v="31"/>
        <n v="26"/>
        <n v="24"/>
        <n v="6"/>
        <n v="30"/>
        <n v="17"/>
        <n v="15"/>
        <n v="5"/>
        <n v="7"/>
        <n v="9"/>
        <n v="32"/>
        <n v="3"/>
        <n v="27"/>
        <n v="2"/>
        <n v="4"/>
        <n v="8"/>
        <n v="57" u="1"/>
        <n v="34" u="1"/>
        <n v="13" u="1"/>
        <n v="59" u="1"/>
        <n v="36" u="1"/>
        <n v="61" u="1"/>
        <n v="38" u="1"/>
        <n v="14" u="1"/>
        <n v="63" u="1"/>
        <n v="40" u="1"/>
        <n v="44" u="1"/>
        <n v="46" u="1"/>
        <n v="16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64" u="1"/>
        <n v="41" u="1"/>
        <n v="25" u="1"/>
        <n v="43" u="1"/>
        <n v="45" u="1"/>
        <n v="10" u="1"/>
        <n v="28" u="1"/>
        <n v="49" u="1"/>
        <n v="29" u="1"/>
        <n v="11" u="1"/>
        <n v="51" u="1"/>
        <n v="53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09">
        <s v="1x06"/>
        <s v="1x04"/>
        <s v="1x02"/>
        <s v="1x05"/>
        <s v="1x09"/>
        <s v="1x03"/>
        <s v="1x07"/>
        <s v="1x15"/>
        <s v="1x10"/>
        <s v="1x14"/>
        <s v="1x08"/>
        <s v="3x15"/>
        <s v="2x10"/>
        <s v="3x14"/>
        <s v="2x18"/>
        <s v="3x05"/>
        <s v="2x05"/>
        <s v="2x04"/>
        <s v="2x07"/>
        <s v="3x03"/>
        <s v="2x06"/>
        <s v="2x13"/>
        <s v="1x13"/>
        <s v="5x03"/>
        <s v="2x03"/>
        <s v="3x10"/>
        <s v="5x10"/>
        <s v="5x06"/>
        <s v="2x24"/>
        <s v="5x17"/>
        <s v="3x13"/>
        <s v="4x21"/>
        <s v="5x35"/>
        <s v="2x02"/>
        <s v="3x06"/>
        <s v="4x06"/>
        <s v="1x17"/>
        <s v="5x13"/>
        <s v="2x17" u="1"/>
        <s v="3x11" u="1"/>
        <s v="7x18" u="1"/>
        <s v="3x21" u="1"/>
        <s v="7x28" u="1"/>
        <s v="1x12" u="1"/>
        <s v="3x31" u="1"/>
        <s v="1x22" u="1"/>
        <s v="2x16" u="1"/>
        <s v="5x29" u="1"/>
        <s v="3x20" u="1"/>
        <s v="4x14" u="1"/>
        <s v="7x27" u="1"/>
        <s v="1x11" u="1"/>
        <s v="5x18" u="1"/>
        <s v="1x21" u="1"/>
        <s v="2x15" u="1"/>
        <s v="5x28" u="1"/>
        <s v="3x19" u="1"/>
        <s v="4x13" u="1"/>
        <s v="2x35" u="1"/>
        <s v="3x29" u="1"/>
        <s v="4x23" u="1"/>
        <s v="7x05" u="1"/>
        <s v="1x20" u="1"/>
        <s v="2x14" u="1"/>
        <s v="3x08" u="1"/>
        <s v="3x18" u="1"/>
        <s v="7x25" u="1"/>
        <s v="3x28" u="1"/>
        <s v="4x22" u="1"/>
        <s v="3x07" u="1"/>
        <s v="3x17" u="1"/>
        <s v="5x15" u="1"/>
        <s v="1x18" u="1"/>
        <s v="2x12" u="1"/>
        <s v="4x31" u="1"/>
        <s v="2x22" u="1"/>
        <s v="3x16" u="1"/>
        <s v="4x10" u="1"/>
        <s v="7x23" u="1"/>
        <s v="3x26" u="1"/>
        <s v="4x20" u="1"/>
        <s v="2x11" u="1"/>
        <s v="5x24" u="1"/>
        <s v="2x21" u="1"/>
        <s v="7x22" u="1"/>
        <s v="3x25" u="1"/>
        <s v="4x19" u="1"/>
        <s v="3x35" u="1"/>
        <s v="7x11" u="1"/>
        <s v="2x20" u="1"/>
        <s v="3x24" u="1"/>
        <s v="5x12" u="1"/>
        <s v="2x09" u="1"/>
        <s v="4x28" u="1"/>
        <s v="5x22" u="1"/>
        <s v="7x10" u="1"/>
        <s v="7x20" u="1"/>
        <s v="3x23" u="1"/>
        <s v="4x17" u="1"/>
        <s v="7x30" u="1"/>
        <s v="2x08" u="1"/>
        <s v="5x21" u="1"/>
        <s v="1x24" u="1"/>
        <s v="3x12" u="1"/>
        <s v="7x19" u="1"/>
        <s v="2x28" u="1"/>
        <s v="3x22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x v="0"/>
    <x v="0"/>
    <s v="Obachi Gabriela Cecilia"/>
    <x v="0"/>
    <s v="Gabiota Sport"/>
    <x v="0"/>
    <s v="Notables - Jujuy 1 Col"/>
    <x v="0"/>
    <n v="131.10833333333332"/>
    <x v="0"/>
    <x v="0"/>
    <m/>
    <x v="0"/>
    <x v="0"/>
    <n v="1"/>
    <n v="6.0000000015000001"/>
    <x v="0"/>
    <n v="6"/>
    <x v="0"/>
  </r>
  <r>
    <x v="0"/>
    <x v="1"/>
    <s v="Montoya  Irma"/>
    <x v="1"/>
    <s v="NISSAN FRONTIER 2.5 4x4 cuero-Caja 6ta-2012. Cubiertas Micheintura en Perfecto estado Rec. menor valor. Cel. 3885282445."/>
    <x v="1"/>
    <s v="Notables - Jujuy 1 Col"/>
    <x v="1"/>
    <n v="89.189285714285731"/>
    <x v="0"/>
    <x v="1"/>
    <m/>
    <x v="0"/>
    <x v="0"/>
    <n v="1"/>
    <n v="4.0000000010000001"/>
    <x v="0"/>
    <n v="4"/>
    <x v="1"/>
  </r>
  <r>
    <x v="0"/>
    <x v="2"/>
    <s v="Ortega  Alejandro"/>
    <x v="1"/>
    <s v="TOYOTA HILUX SRV 2013 3.0 full, 65.000km,  auxilio sin rodaripada, c/accesorios.  Financio. Cel 388 4088475  Fotos  WAPP"/>
    <x v="2"/>
    <s v="Notables - Jujuy 1 Col"/>
    <x v="1"/>
    <n v="44.594285714285718"/>
    <x v="0"/>
    <x v="1"/>
    <m/>
    <x v="0"/>
    <x v="0"/>
    <n v="1"/>
    <n v="2.0000000005"/>
    <x v="0"/>
    <n v="2"/>
    <x v="2"/>
  </r>
  <r>
    <x v="0"/>
    <x v="3"/>
    <s v="Chazarreta Ricardo Ruben"/>
    <x v="1"/>
    <s v="TOYOTA SW4 full,  mod/2016, 76.000km, impecable.  Cel. 3884615879."/>
    <x v="3"/>
    <s v="Notables - Jujuy 1 Col"/>
    <x v="1"/>
    <n v="44.594285714285718"/>
    <x v="0"/>
    <x v="1"/>
    <m/>
    <x v="0"/>
    <x v="0"/>
    <n v="1"/>
    <n v="2.0000000005"/>
    <x v="0"/>
    <n v="2"/>
    <x v="2"/>
  </r>
  <r>
    <x v="0"/>
    <x v="4"/>
    <s v="ARMELLA CESAR DANIEL"/>
    <x v="2"/>
    <s v="GNC MYN GRAN PROMOCION..."/>
    <x v="4"/>
    <s v="Notables - Jujuy 1 Col"/>
    <x v="0"/>
    <n v="136.21636363636364"/>
    <x v="0"/>
    <x v="2"/>
    <m/>
    <x v="0"/>
    <x v="0"/>
    <n v="1"/>
    <n v="6.0000000015000001"/>
    <x v="0"/>
    <n v="6"/>
    <x v="0"/>
  </r>
  <r>
    <x v="0"/>
    <x v="5"/>
    <s v="VALDIVIEZO LILA FERNANDA"/>
    <x v="3"/>
    <s v="NORTE GNC"/>
    <x v="5"/>
    <s v="Notables - Jujuy 1 Col"/>
    <x v="0"/>
    <n v="132.92064516129031"/>
    <x v="0"/>
    <x v="2"/>
    <m/>
    <x v="0"/>
    <x v="0"/>
    <n v="1"/>
    <n v="6.0000000015000001"/>
    <x v="0"/>
    <n v="6"/>
    <x v="0"/>
  </r>
  <r>
    <x v="0"/>
    <x v="6"/>
    <s v="BOSIO CRISTIAN HUMBERTO"/>
    <x v="4"/>
    <s v="LCB POLARIZADOS ..."/>
    <x v="6"/>
    <s v="Notables - Jujuy 1 Col"/>
    <x v="0"/>
    <n v="117.06125"/>
    <x v="0"/>
    <x v="2"/>
    <m/>
    <x v="0"/>
    <x v="0"/>
    <n v="1"/>
    <n v="5.0000000012500001"/>
    <x v="0"/>
    <n v="5"/>
    <x v="3"/>
  </r>
  <r>
    <x v="0"/>
    <x v="7"/>
    <s v="Mecatecnica S.r.l."/>
    <x v="1"/>
    <s v="BIO GNC ENERGIA “Siempre más GAS” En TU ESTACION amiga. -------------------------------------------------------8   10620"/>
    <x v="7"/>
    <s v="Notables - Jujuy 1 Col"/>
    <x v="1"/>
    <n v="196.66199999999998"/>
    <x v="0"/>
    <x v="2"/>
    <m/>
    <x v="0"/>
    <x v="0"/>
    <n v="1"/>
    <n v="8.9999999987222221"/>
    <x v="0"/>
    <n v="9"/>
    <x v="4"/>
  </r>
  <r>
    <x v="0"/>
    <x v="8"/>
    <s v="LOPEZ DELGADO CLAUDIA TATIANA"/>
    <x v="1"/>
    <s v="IMPORTANTE  TERRENO *ESQUINA* 1.400 m2 de Superficie total Clles  -detrás boliche Ibiza- Alto Comedero  Cel. 388 4084933"/>
    <x v="8"/>
    <s v="Notables - Jujuy 1 Col"/>
    <x v="1"/>
    <n v="62.432666666666677"/>
    <x v="0"/>
    <x v="3"/>
    <m/>
    <x v="0"/>
    <x v="0"/>
    <n v="1"/>
    <n v="4.0000000010000001"/>
    <x v="0"/>
    <n v="4"/>
    <x v="1"/>
  </r>
  <r>
    <x v="0"/>
    <x v="9"/>
    <s v="LOPEZ DELGADO CLAUDIA TATIANA"/>
    <x v="1"/>
    <s v="PERICO  VENDO 2 TERRENOS juntos 10x27 c/u. Bº Municipal. Recibo camioneta C/D. 4x4  Cel. 388 154084933154084933"/>
    <x v="9"/>
    <s v="Notables - Jujuy 1 Col"/>
    <x v="1"/>
    <n v="46.824333333333335"/>
    <x v="0"/>
    <x v="3"/>
    <m/>
    <x v="0"/>
    <x v="0"/>
    <n v="1"/>
    <n v="3.0000000007500001"/>
    <x v="0"/>
    <n v="3"/>
    <x v="5"/>
  </r>
  <r>
    <x v="0"/>
    <x v="10"/>
    <s v="RODRIGUEZ QUIROGA MARTIN"/>
    <x v="5"/>
    <s v="RQ VENTA DE TERRENOS"/>
    <x v="10"/>
    <s v="Notables - Jujuy 1 Col"/>
    <x v="0"/>
    <n v="132.92064516129031"/>
    <x v="0"/>
    <x v="3"/>
    <m/>
    <x v="0"/>
    <x v="0"/>
    <n v="1"/>
    <n v="6.0000000015000001"/>
    <x v="0"/>
    <n v="6"/>
    <x v="0"/>
  </r>
  <r>
    <x v="0"/>
    <x v="11"/>
    <s v="Navarro  Iris"/>
    <x v="1"/>
    <s v="VENDO TERRENO  15x40, DIQUE La Cienaga,  El Carmen. Zona Com8 4696265(solo llamadas) / 388 4673133 (llamadas y whatsapp)"/>
    <x v="11"/>
    <s v="Notables - Jujuy 1 Col"/>
    <x v="1"/>
    <n v="37.459666666666664"/>
    <x v="1"/>
    <x v="3"/>
    <m/>
    <x v="0"/>
    <x v="0"/>
    <n v="1"/>
    <n v="2.0000000005"/>
    <x v="0"/>
    <n v="2"/>
    <x v="2"/>
  </r>
  <r>
    <x v="0"/>
    <x v="12"/>
    <s v="VARGAS JAVIER FABIAN"/>
    <x v="1"/>
    <s v="DÑO. VDE. LOTE. PALPALÁ. B° Virgen del Valle. 16 x 40 m2. Coitura. $ 1.200.000 Con efectivo en mano. Cel. 388- 154495376"/>
    <x v="12"/>
    <s v="Notables - Jujuy 1 Col"/>
    <x v="1"/>
    <n v="66.891428571428577"/>
    <x v="0"/>
    <x v="3"/>
    <m/>
    <x v="0"/>
    <x v="1"/>
    <n v="1"/>
    <n v="3.0000000007500001"/>
    <x v="0"/>
    <n v="3"/>
    <x v="5"/>
  </r>
  <r>
    <x v="0"/>
    <x v="13"/>
    <s v="Arnedo  Martha Fabiana"/>
    <x v="1"/>
    <s v="ARNEDO INMOBILIARIA  VENDE 2 Dptos. céntricos calle Lavalle ales - Local Céntrico calle Belgrano 3884162167 / 3886855889"/>
    <x v="13"/>
    <s v="Notables - Jujuy 1 Col"/>
    <x v="1"/>
    <n v="62.432666666666677"/>
    <x v="0"/>
    <x v="4"/>
    <m/>
    <x v="0"/>
    <x v="0"/>
    <n v="1"/>
    <n v="4.0000000010000001"/>
    <x v="0"/>
    <n v="4"/>
    <x v="1"/>
  </r>
  <r>
    <x v="0"/>
    <x v="14"/>
    <s v="Carlos Carrillo."/>
    <x v="1"/>
    <s v="DUEÑO VENDE DUPLEX a estrenar, 2 dorm, 2 baños, calefacción,arma. Alto La Viña, excelente ubicación. Tratar: 3884689890."/>
    <x v="14"/>
    <s v="Notables - Jujuy 1 Col"/>
    <x v="1"/>
    <n v="66.892142857142858"/>
    <x v="0"/>
    <x v="4"/>
    <m/>
    <x v="0"/>
    <x v="0"/>
    <n v="1"/>
    <n v="3.0000000007500001"/>
    <x v="0"/>
    <n v="3"/>
    <x v="5"/>
  </r>
  <r>
    <x v="0"/>
    <x v="15"/>
    <s v="Reyna  Zulema Lucia"/>
    <x v="1"/>
    <s v="SEVERINO  VENDO  100 HAS PERICO  ALQUILO * LOCAL Comercial AMunicipal. Ofic. 23 de Agosto Nº 295 Perico Cel. 388   24100"/>
    <x v="15"/>
    <s v="Notables - Jujuy 1 Col"/>
    <x v="1"/>
    <n v="152.95999999999998"/>
    <x v="0"/>
    <x v="4"/>
    <m/>
    <x v="0"/>
    <x v="0"/>
    <n v="1"/>
    <n v="7.0000000017499984"/>
    <x v="0"/>
    <n v="7"/>
    <x v="6"/>
  </r>
  <r>
    <x v="0"/>
    <x v="16"/>
    <s v="Ortiz  Eduardo"/>
    <x v="1"/>
    <s v="GESPO INMOBILIARIA  ALQUILERES -Consultorios medicos centro  3 dorm-1 Monoam. Salta Nº1031-Tel. 3885203654 / 388    1031"/>
    <x v="16"/>
    <s v="Notables - Jujuy 1 Col"/>
    <x v="1"/>
    <n v="428.10857142857145"/>
    <x v="1"/>
    <x v="4"/>
    <m/>
    <x v="0"/>
    <x v="0"/>
    <n v="1"/>
    <n v="15.000000000222226"/>
    <x v="0"/>
    <n v="15"/>
    <x v="7"/>
  </r>
  <r>
    <x v="0"/>
    <x v="17"/>
    <s v="Cañas  Carlos Alberto"/>
    <x v="1"/>
    <s v="CAÑAS VENTA *Excluisiva propiedad Hotel Alojamiento 30 habitSarmiento Tel 388-4227132 - 4233776 canasinmuebles@8 4227132"/>
    <x v="17"/>
    <s v="Notables - Jujuy 1 Col"/>
    <x v="1"/>
    <n v="222.97285714285715"/>
    <x v="0"/>
    <x v="4"/>
    <m/>
    <x v="0"/>
    <x v="0"/>
    <n v="1"/>
    <n v="9.999999998972223"/>
    <x v="0"/>
    <n v="10"/>
    <x v="8"/>
  </r>
  <r>
    <x v="0"/>
    <x v="18"/>
    <s v="Carvajal Juan Carlos"/>
    <x v="6"/>
    <s v="FERRETERIA CARBAJAL"/>
    <x v="18"/>
    <s v="Notables - Jujuy 1 Col"/>
    <x v="0"/>
    <n v="221.53451612903228"/>
    <x v="0"/>
    <x v="5"/>
    <m/>
    <x v="0"/>
    <x v="0"/>
    <n v="1"/>
    <n v="9.999999998972223"/>
    <x v="0"/>
    <n v="10"/>
    <x v="8"/>
  </r>
  <r>
    <x v="0"/>
    <x v="19"/>
    <s v="Dergam Srl"/>
    <x v="7"/>
    <s v="DERGAM"/>
    <x v="19"/>
    <s v="Notables - Jujuy 1 Col"/>
    <x v="0"/>
    <n v="360.18769230769226"/>
    <x v="0"/>
    <x v="5"/>
    <m/>
    <x v="0"/>
    <x v="0"/>
    <n v="1"/>
    <n v="15.000000000222226"/>
    <x v="0"/>
    <n v="15"/>
    <x v="7"/>
  </r>
  <r>
    <x v="0"/>
    <x v="20"/>
    <s v="El Mundo De Las Herramientas S.R.L."/>
    <x v="8"/>
    <s v="CARMOTO FERRETERIA INDUSTRIAL"/>
    <x v="20"/>
    <s v="Notables - Jujuy 1 Col"/>
    <x v="0"/>
    <n v="310.14870967741939"/>
    <x v="0"/>
    <x v="5"/>
    <m/>
    <x v="0"/>
    <x v="0"/>
    <n v="1"/>
    <n v="13.999999999972225"/>
    <x v="0"/>
    <n v="14"/>
    <x v="9"/>
  </r>
  <r>
    <x v="0"/>
    <x v="21"/>
    <s v="El Cañadon S.R.L."/>
    <x v="1"/>
    <s v="VENDEDOR IMPORTANTE EMPRESA DEL MEDIO SELECCIONARA VENDEDOR cia comprobable en VENTAS en empresa comercial. (excluyente)"/>
    <x v="21"/>
    <s v="Notables - Jujuy 1 Col"/>
    <x v="1"/>
    <n v="178.37857142857146"/>
    <x v="0"/>
    <x v="6"/>
    <m/>
    <x v="0"/>
    <x v="0"/>
    <n v="1"/>
    <n v="7.9999999984722239"/>
    <x v="0"/>
    <n v="8"/>
    <x v="10"/>
  </r>
  <r>
    <x v="0"/>
    <x v="22"/>
    <s v="ZALAZAR REINALDI DOMINGO ESTEBAN"/>
    <x v="1"/>
    <s v="RECEPCIONISTA  PARA CONSULTORIO MEDICO ENVIAR CV CON  PRETENCIONES ECONOMICAS A: biogrupo10@gmail.com"/>
    <x v="22"/>
    <s v="Notables - Jujuy 1 Col"/>
    <x v="1"/>
    <n v="89.190000000000026"/>
    <x v="0"/>
    <x v="6"/>
    <m/>
    <x v="0"/>
    <x v="0"/>
    <n v="1"/>
    <n v="4.0000000010000001"/>
    <x v="0"/>
    <n v="4"/>
    <x v="1"/>
  </r>
  <r>
    <x v="0"/>
    <x v="23"/>
    <s v="Vargas  Rodolfo Armando"/>
    <x v="1"/>
    <s v="BUSCO CAMIONES, SEMIACOPLADOS-CAMIONETAS  para formar parte estra flota  logistica. Tel. 3885251775 mining123f@gmail.com"/>
    <x v="23"/>
    <s v="Notables - Jujuy 1 Col"/>
    <x v="1"/>
    <n v="66.891428571428577"/>
    <x v="0"/>
    <x v="6"/>
    <m/>
    <x v="0"/>
    <x v="0"/>
    <n v="1"/>
    <n v="3.0000000007500001"/>
    <x v="0"/>
    <n v="3"/>
    <x v="5"/>
  </r>
  <r>
    <x v="0"/>
    <x v="24"/>
    <s v="Vargas  Rodolfo Armando"/>
    <x v="1"/>
    <s v="SE NECESITA SECRETARIA  CON EXPERIENCIA EN  WORD-EXCEL-POWER POINT Marketing. Enviat CV. A:  mining123f@gmail.com"/>
    <x v="24"/>
    <s v="Notables - Jujuy 1 Col"/>
    <x v="1"/>
    <n v="66.891428571428577"/>
    <x v="0"/>
    <x v="6"/>
    <m/>
    <x v="0"/>
    <x v="0"/>
    <n v="1"/>
    <n v="3.0000000007500001"/>
    <x v="0"/>
    <n v="3"/>
    <x v="5"/>
  </r>
  <r>
    <x v="0"/>
    <x v="25"/>
    <s v="San Juan S.R.L."/>
    <x v="9"/>
    <s v="EMP DE BEBIDAS SOMMELIER"/>
    <x v="25"/>
    <s v="Notables - Jujuy 1 Col"/>
    <x v="0"/>
    <n v="133.78428571428572"/>
    <x v="0"/>
    <x v="6"/>
    <m/>
    <x v="0"/>
    <x v="0"/>
    <n v="1"/>
    <n v="6.0000000015000001"/>
    <x v="0"/>
    <n v="6"/>
    <x v="0"/>
  </r>
  <r>
    <x v="0"/>
    <x v="26"/>
    <s v="San Juan S.R.L."/>
    <x v="10"/>
    <s v="EMP DEL MEDIO - PREVENTISTAS"/>
    <x v="26"/>
    <s v="Notables - Jujuy 1 Col"/>
    <x v="0"/>
    <n v="133.78428571428572"/>
    <x v="0"/>
    <x v="6"/>
    <m/>
    <x v="0"/>
    <x v="0"/>
    <n v="1"/>
    <n v="6.0000000015000001"/>
    <x v="0"/>
    <n v="6"/>
    <x v="0"/>
  </r>
  <r>
    <x v="0"/>
    <x v="27"/>
    <s v="El Trebol S.r.l."/>
    <x v="11"/>
    <s v="EMPRESA CONSTRUCTORA NECESITA ARQUITECTO Para jefe de obra, ración pretendida a recursoshumanos@eltrebolconstructora.com"/>
    <x v="27"/>
    <s v="Notables - Jujuy 1 Col"/>
    <x v="0"/>
    <n v="133.78428571428572"/>
    <x v="0"/>
    <x v="6"/>
    <m/>
    <x v="0"/>
    <x v="0"/>
    <n v="1"/>
    <n v="6.0000000015000001"/>
    <x v="0"/>
    <n v="6"/>
    <x v="0"/>
  </r>
  <r>
    <x v="0"/>
    <x v="28"/>
    <s v="El Trebol S.r.l."/>
    <x v="12"/>
    <s v="OFICIAL ½ OFICIAL Empresa constructora necesita: oficiales yen Los Quebrachales Nº 920 de Lunes a viernes de 08 a 12 hs."/>
    <x v="28"/>
    <s v="Notables - Jujuy 1 Col"/>
    <x v="0"/>
    <n v="133.78428571428572"/>
    <x v="0"/>
    <x v="6"/>
    <m/>
    <x v="0"/>
    <x v="0"/>
    <n v="1"/>
    <n v="6.0000000015000001"/>
    <x v="0"/>
    <n v="6"/>
    <x v="0"/>
  </r>
  <r>
    <x v="0"/>
    <x v="29"/>
    <s v="Diaverum Argentina S.A."/>
    <x v="1"/>
    <s v="SE  BUSCA MEDICO /A para turno de Diálisis. Valor de la guardia x 5 hs. $2.500 Llamar de 8 a 12 al cel 388-50318 5031101"/>
    <x v="29"/>
    <s v="Notables - Jujuy 1 Col"/>
    <x v="1"/>
    <n v="31.216333333333338"/>
    <x v="0"/>
    <x v="6"/>
    <m/>
    <x v="0"/>
    <x v="0"/>
    <n v="1"/>
    <n v="2.0000000005"/>
    <x v="0"/>
    <n v="2"/>
    <x v="2"/>
  </r>
  <r>
    <x v="0"/>
    <x v="30"/>
    <s v="INMOBILIARIA LA RED S.R.L."/>
    <x v="13"/>
    <s v="Buscamos ASESOR DE VENTAS con Experiencia, Disponibilidad Ho, Trabajo en Equipo enviar CV:  rrhh.inmoconstruye@gmail.com"/>
    <x v="30"/>
    <s v="Notables - Jujuy 1 Col"/>
    <x v="0"/>
    <n v="89.189285714285731"/>
    <x v="0"/>
    <x v="6"/>
    <m/>
    <x v="0"/>
    <x v="0"/>
    <n v="1"/>
    <n v="4.0000000010000001"/>
    <x v="0"/>
    <n v="4"/>
    <x v="1"/>
  </r>
  <r>
    <x v="0"/>
    <x v="31"/>
    <s v="Alderete  Daniel Alejandro"/>
    <x v="1"/>
    <s v="IMPORTANTE EMPRESA ONSTRUCTORA    NECESITA MAQUINISTAS MANEJ10 años (excluyente) Enviar CV a: info@norsur-consulting.com"/>
    <x v="31"/>
    <s v="Notables - Jujuy 1 Col"/>
    <x v="1"/>
    <n v="111.48714285714287"/>
    <x v="0"/>
    <x v="6"/>
    <m/>
    <x v="0"/>
    <x v="0"/>
    <n v="1"/>
    <n v="5.0000000012500001"/>
    <x v="0"/>
    <n v="5"/>
    <x v="3"/>
  </r>
  <r>
    <x v="0"/>
    <x v="32"/>
    <s v="N.G.A. Construcciones SRL."/>
    <x v="14"/>
    <s v="CONSTRUCTORA BUSCA OFICIAL ALBAÑIL"/>
    <x v="32"/>
    <s v="Notables - Jujuy 1 Col"/>
    <x v="0"/>
    <n v="133.78428571428572"/>
    <x v="0"/>
    <x v="6"/>
    <m/>
    <x v="0"/>
    <x v="0"/>
    <n v="1"/>
    <n v="6.0000000015000001"/>
    <x v="0"/>
    <n v="6"/>
    <x v="0"/>
  </r>
  <r>
    <x v="0"/>
    <x v="33"/>
    <s v="Lopez  Jose Rafael Martin"/>
    <x v="1"/>
    <s v="JUBILACIONES - PENSION por fallecimiento - Jubilacion Servic consultas online Whatsapp Lic. López Martin.  388-155007477"/>
    <x v="33"/>
    <s v="Notables - Jujuy 1 Col"/>
    <x v="1"/>
    <n v="89.190000000000026"/>
    <x v="0"/>
    <x v="7"/>
    <m/>
    <x v="0"/>
    <x v="0"/>
    <n v="1"/>
    <n v="4.0000000010000001"/>
    <x v="0"/>
    <n v="4"/>
    <x v="1"/>
  </r>
  <r>
    <x v="0"/>
    <x v="34"/>
    <s v="Ovejero Marcela"/>
    <x v="1"/>
    <s v="VENDO KTM DUKE 200  MOD 2016. IMPECABLE!  Cel. 3884686055 - 38868214948   24200"/>
    <x v="34"/>
    <s v="Notables - Jujuy 1 Col"/>
    <x v="1"/>
    <n v="46.824333333333335"/>
    <x v="0"/>
    <x v="8"/>
    <m/>
    <x v="0"/>
    <x v="0"/>
    <n v="1"/>
    <n v="3.0000000007500001"/>
    <x v="0"/>
    <n v="3"/>
    <x v="5"/>
  </r>
  <r>
    <x v="0"/>
    <x v="35"/>
    <s v="ECOMET S.R.L."/>
    <x v="15"/>
    <s v="METALNOR-METALES-CHATARRA"/>
    <x v="35"/>
    <s v="Notables - Jujuy 1 Col"/>
    <x v="1"/>
    <n v="130.83733333333333"/>
    <x v="0"/>
    <x v="9"/>
    <m/>
    <x v="0"/>
    <x v="0"/>
    <n v="1"/>
    <n v="8.9999999987222221"/>
    <x v="0"/>
    <n v="9"/>
    <x v="4"/>
  </r>
  <r>
    <x v="0"/>
    <x v="36"/>
    <s v="Rodriguez Roxana"/>
    <x v="1"/>
    <s v="¡¡¡URGENTE BUSCAMOS A VALENTINA!!! Perrita Salchicha extravis. $$$RECOMPENSARE $$$ (FOTO CARP. 23-03 Tel. 0388-8    2303"/>
    <x v="36"/>
    <s v="Notables - Jujuy 1 Col"/>
    <x v="1"/>
    <n v="224.76"/>
    <x v="1"/>
    <x v="10"/>
    <m/>
    <x v="0"/>
    <x v="0"/>
    <n v="1"/>
    <n v="6.0000000015000001"/>
    <x v="0"/>
    <n v="6"/>
    <x v="0"/>
  </r>
  <r>
    <x v="0"/>
    <x v="37"/>
    <s v="Urbania S.R.L."/>
    <x v="16"/>
    <s v="HORMIGONERA + DE 20 AÑOS"/>
    <x v="37"/>
    <s v="Notables - Jujuy 1 Col"/>
    <x v="0"/>
    <n v="110.76741935483871"/>
    <x v="0"/>
    <x v="11"/>
    <m/>
    <x v="0"/>
    <x v="0"/>
    <n v="1"/>
    <n v="5.0000000012500001"/>
    <x v="0"/>
    <n v="5"/>
    <x v="3"/>
  </r>
  <r>
    <x v="0"/>
    <x v="38"/>
    <s v="HORMIGONERA JUJUY S.R.L."/>
    <x v="17"/>
    <s v="HORMIGONERA -VENTA DE HORMIGON EN MIXER"/>
    <x v="38"/>
    <s v="Notables - Jujuy 1 Col"/>
    <x v="0"/>
    <n v="110.76741935483871"/>
    <x v="0"/>
    <x v="11"/>
    <m/>
    <x v="0"/>
    <x v="0"/>
    <n v="1"/>
    <n v="5.0000000012500001"/>
    <x v="0"/>
    <n v="5"/>
    <x v="3"/>
  </r>
  <r>
    <x v="0"/>
    <x v="39"/>
    <s v="HORMIGONERA JUJUY S.R.L."/>
    <x v="18"/>
    <s v="HORMIGONERA  JUJUY S.R.L. VENTA DE ARIDOS: PIEDRA, ARENA, RIIO.  RELLENO DE TERRENO 4259148 - 4259548 ALTE BROW8 4259148"/>
    <x v="39"/>
    <s v="Notables - Jujuy 1 Col"/>
    <x v="0"/>
    <n v="110.76741935483871"/>
    <x v="0"/>
    <x v="11"/>
    <m/>
    <x v="0"/>
    <x v="0"/>
    <n v="1"/>
    <n v="5.0000000012500001"/>
    <x v="0"/>
    <n v="5"/>
    <x v="3"/>
  </r>
  <r>
    <x v="0"/>
    <x v="40"/>
    <s v="Pons  Vanesa"/>
    <x v="1"/>
    <s v="JUZGADO DE PRIMERA INSTANCIA EN LO CIVIL Y COMERCIAL Nº2 DE r de Jujuy,      25        de        febrero       8  171083"/>
    <x v="40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1"/>
    <s v="Cazon Eusebio"/>
    <x v="1"/>
    <s v="EDICTO DRA. NORMA BEATRIZ ISSA, Pte. de Trámite, en la Vocal de trámite  Ante mi María Florencia Rivas - PRO SE8    5486"/>
    <x v="41"/>
    <s v="Remates/Edictos Cm- Jujuy"/>
    <x v="1"/>
    <n v="462.44333333333338"/>
    <x v="0"/>
    <x v="12"/>
    <m/>
    <x v="0"/>
    <x v="0"/>
    <n v="3"/>
    <n v="15.000000000222226"/>
    <x v="0"/>
    <n v="15"/>
    <x v="11"/>
  </r>
  <r>
    <x v="0"/>
    <x v="42"/>
    <s v="Quero  Valentin"/>
    <x v="1"/>
    <s v="EDICTO SUCESORIO -  -  -  JUZGADO  DE  PRIMERA   INSTANCIA  e 2020.- -  -  -  PROSECRETARÍA: DRA.  NATACHA BULI8  114295"/>
    <x v="42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3"/>
    <s v="Quero  Valentin"/>
    <x v="1"/>
    <s v="EDICTO SUCESORIO .-.-.-.-JUZGADO DE PRIMERA INSTANCIA EN LO etario: Dra. Sandra M. Torres- Secretaria Habilitad8  163840"/>
    <x v="43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4"/>
    <s v="Scardigli  Gonzalo Esteban"/>
    <x v="1"/>
    <s v="EDICTO-- --------EN EL EXPTE. N° D-022849/2018, caratulado: TE MI: DRA. NATALIA A. SOLETTA- SECRETARIA --------8  022849"/>
    <x v="44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5"/>
    <s v="Scardigli  Gonzalo Esteban"/>
    <x v="1"/>
    <s v="EDICTO- -------------JUZGADO DE PRIMERA INSTANCIA EN LO CIVIecretaria.          San Pedro de Jujuy, 15 de Marzo8   35193"/>
    <x v="45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6"/>
    <s v="Erazo  Daniel"/>
    <x v="1"/>
    <s v="                                                            o del 2021, a cargo del Dr. Mauro R. Di PIETRO  Sec8  149006"/>
    <x v="46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7"/>
    <s v="Lopez  Ana Ramona"/>
    <x v="1"/>
    <s v="  EDICTO --- Juzgado de Primera Instancia en lo Civil y Comeecretaria---- ---San Pedro de Jujuy, 17 de febrero de 2021.-"/>
    <x v="47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8"/>
    <s v="Adriana Karina Nassr"/>
    <x v="1"/>
    <s v="---EDICTO SUCESORIO--  ---JUZGADO DE PRIMERA INSTANCIA EN LOernández.-   ---San Salvador de Jujuy, 04 de marzo 896172219"/>
    <x v="48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49"/>
    <s v="Gabriela Sandy"/>
    <x v="1"/>
    <s v="EDICTO SUCESORIO  = = = El JUZGADO DE PRIMERA INSTANCIA EN Lo de 2.021.- = = = Firma Habilitada: Dr. FABIAN CAR8  164235"/>
    <x v="49"/>
    <s v="Remates/Edictos Cm- Jujuy"/>
    <x v="1"/>
    <n v="82.213333333333324"/>
    <x v="0"/>
    <x v="12"/>
    <m/>
    <x v="0"/>
    <x v="0"/>
    <n v="1"/>
    <n v="7.9999999984722239"/>
    <x v="0"/>
    <n v="8"/>
    <x v="10"/>
  </r>
  <r>
    <x v="0"/>
    <x v="50"/>
    <s v="FEIJOO CARLOS MARTIN"/>
    <x v="19"/>
    <s v="EFECTIVO EN 1 MINUTO..."/>
    <x v="50"/>
    <s v="Notables - Jujuy 1 Col"/>
    <x v="0"/>
    <n v="218.51366666666667"/>
    <x v="0"/>
    <x v="13"/>
    <m/>
    <x v="0"/>
    <x v="0"/>
    <n v="1"/>
    <n v="9.999999998972223"/>
    <x v="0"/>
    <n v="10"/>
    <x v="8"/>
  </r>
  <r>
    <x v="0"/>
    <x v="51"/>
    <s v="PANERO JULIO CESAR"/>
    <x v="20"/>
    <s v="JULIO PANERO"/>
    <x v="51"/>
    <s v="Notables - Jujuy 1 Col"/>
    <x v="0"/>
    <n v="42.922499999999999"/>
    <x v="0"/>
    <x v="14"/>
    <m/>
    <x v="0"/>
    <x v="0"/>
    <n v="1"/>
    <n v="2.0000000005"/>
    <x v="0"/>
    <n v="2"/>
    <x v="2"/>
  </r>
  <r>
    <x v="0"/>
    <x v="52"/>
    <s v="Vilar Cristian Leandro"/>
    <x v="1"/>
    <s v="TASADOR   CRISTIAN L. VILAR Tel 388-4311517 / 1550112208 4311517"/>
    <x v="52"/>
    <s v="Notables - Jujuy 1 Col"/>
    <x v="1"/>
    <n v="37.459666666666664"/>
    <x v="1"/>
    <x v="14"/>
    <m/>
    <x v="0"/>
    <x v="0"/>
    <n v="1"/>
    <n v="2.0000000005"/>
    <x v="0"/>
    <n v="2"/>
    <x v="2"/>
  </r>
  <r>
    <x v="0"/>
    <x v="53"/>
    <s v="Salazar  Hugo"/>
    <x v="1"/>
    <s v="TASACIONES CASAS- TERRENOS- FINCAS. Martillero HUGO SALAZAR Cel.0388-154078693"/>
    <x v="53"/>
    <s v="Notables - Jujuy 1 Col"/>
    <x v="1"/>
    <n v="44.595000000000013"/>
    <x v="0"/>
    <x v="14"/>
    <m/>
    <x v="0"/>
    <x v="0"/>
    <n v="1"/>
    <n v="2.0000000005"/>
    <x v="0"/>
    <n v="2"/>
    <x v="2"/>
  </r>
  <r>
    <x v="0"/>
    <x v="54"/>
    <s v="Valverdi Gustavo Adolfo"/>
    <x v="1"/>
    <s v="VALVERDI PROPIEDADES VENTA - ALQUILERES - TASACIONES - ADMINITAMOS PROPIEDAD VENTA Y ALQUILERES Tel. 155812419-154799016"/>
    <x v="54"/>
    <s v="Notables - Jujuy 1 Col"/>
    <x v="1"/>
    <n v="89.190000000000026"/>
    <x v="0"/>
    <x v="14"/>
    <m/>
    <x v="0"/>
    <x v="0"/>
    <n v="1"/>
    <n v="4.0000000010000001"/>
    <x v="0"/>
    <n v="4"/>
    <x v="1"/>
  </r>
  <r>
    <x v="0"/>
    <x v="55"/>
    <s v="Centro de Jubilads y Pensionados Pasos Firmes"/>
    <x v="1"/>
    <s v="ASAMBLEA GENERAL ORDINARIA La Comisión Directiva de “Asociacentados de conformidad para lo acordado en el orden8    7201"/>
    <x v="55"/>
    <s v="Asamblea Cm- Jujuy"/>
    <x v="1"/>
    <n v="467.41666666666674"/>
    <x v="0"/>
    <x v="15"/>
    <m/>
    <x v="0"/>
    <x v="0"/>
    <n v="2"/>
    <n v="9.999999998972223"/>
    <x v="0"/>
    <n v="10"/>
    <x v="12"/>
  </r>
  <r>
    <x v="0"/>
    <x v="56"/>
    <s v="Asoc. Coop. Ing. Mario Romano Esc. E.e.t. N°1- Escolástico Zegada"/>
    <x v="1"/>
    <s v="CONVOCATORIA San Salvador de Jujuy, 19 de Marzo de 2021, siela reunión, siendo las 21:25 horas.-  ÇLA COMISION 8   01143"/>
    <x v="56"/>
    <s v="Asamblea Cm- Jujuy"/>
    <x v="1"/>
    <n v="981.57"/>
    <x v="0"/>
    <x v="15"/>
    <m/>
    <x v="0"/>
    <x v="0"/>
    <n v="3"/>
    <n v="13.999999999972225"/>
    <x v="0"/>
    <n v="14"/>
    <x v="13"/>
  </r>
  <r>
    <x v="0"/>
    <x v="57"/>
    <s v="Coop. Vivienda y Consumo Sin Fronteras Ltda."/>
    <x v="1"/>
    <s v="COOPERATIVA SIN FRONTERAS CONVOCATORIA Y NOTIFICACION  EL COnalizado el 31 de diciembre del año 2020. Comisión 8   56796"/>
    <x v="57"/>
    <s v="Asamblea Cm- Jujuy"/>
    <x v="1"/>
    <n v="841.35"/>
    <x v="0"/>
    <x v="15"/>
    <m/>
    <x v="0"/>
    <x v="0"/>
    <n v="2"/>
    <n v="18.000000000972221"/>
    <x v="0"/>
    <n v="18"/>
    <x v="14"/>
  </r>
  <r>
    <x v="0"/>
    <x v="58"/>
    <s v="Zamora Karen"/>
    <x v="1"/>
    <s v="CONVOCATORIA  La Comisión Reorganizadora designada tal conf.protocolos recomendados por el COE.  COMISION REORG8   08821"/>
    <x v="58"/>
    <s v="Asamblea Cm- Jujuy"/>
    <x v="1"/>
    <n v="467.42"/>
    <x v="0"/>
    <x v="15"/>
    <m/>
    <x v="0"/>
    <x v="0"/>
    <n v="2"/>
    <n v="9.999999998972223"/>
    <x v="0"/>
    <n v="10"/>
    <x v="12"/>
  </r>
  <r>
    <x v="0"/>
    <x v="59"/>
    <s v="Vargas  Rodolfo Armando"/>
    <x v="1"/>
    <s v="BUSCO CASA O LOCAL COMERCIAL  CON LOTE Y DEPOSITO Bº Gorriti-Moreno-Chijra y Alte BrownCel 388 5251775"/>
    <x v="59"/>
    <s v="Notables - Jujuy 1 Col"/>
    <x v="1"/>
    <n v="66.891428571428577"/>
    <x v="0"/>
    <x v="16"/>
    <m/>
    <x v="0"/>
    <x v="0"/>
    <n v="1"/>
    <n v="3.0000000007500001"/>
    <x v="0"/>
    <n v="3"/>
    <x v="5"/>
  </r>
  <r>
    <x v="0"/>
    <x v="60"/>
    <s v="Zamar  Juan Jose"/>
    <x v="21"/>
    <s v="ALQUILO DEPTO CATEGORIA"/>
    <x v="60"/>
    <s v="Notables - Jujuy 1 Col"/>
    <x v="0"/>
    <n v="110.76741935483871"/>
    <x v="0"/>
    <x v="17"/>
    <m/>
    <x v="0"/>
    <x v="0"/>
    <n v="1"/>
    <n v="5.0000000012500001"/>
    <x v="0"/>
    <n v="5"/>
    <x v="3"/>
  </r>
  <r>
    <x v="0"/>
    <x v="61"/>
    <s v="Rosenbluth  Fernando"/>
    <x v="1"/>
    <s v="ALQUILO DPTO  de categoría 1 dorm solo o con cochera o patio.  Ituzaingo 428 Ciudad de Nieva. Cel. 3885181765."/>
    <x v="61"/>
    <s v="Notables - Jujuy 1 Col"/>
    <x v="1"/>
    <n v="66.891428571428577"/>
    <x v="0"/>
    <x v="17"/>
    <m/>
    <x v="0"/>
    <x v="0"/>
    <n v="1"/>
    <n v="3.0000000007500001"/>
    <x v="0"/>
    <n v="3"/>
    <x v="5"/>
  </r>
  <r>
    <x v="0"/>
    <x v="62"/>
    <s v="Jairo Montes"/>
    <x v="1"/>
    <s v="COSEJERO y HECHICERO JAIRO  Nuevo numero de Cel. 0388154648931154648931"/>
    <x v="62"/>
    <s v="Notables - Jujuy +1 Col"/>
    <x v="1"/>
    <n v="334.46"/>
    <x v="0"/>
    <x v="18"/>
    <m/>
    <x v="0"/>
    <x v="0"/>
    <n v="3"/>
    <n v="5.0000000012500001"/>
    <x v="0"/>
    <n v="5"/>
    <x v="15"/>
  </r>
  <r>
    <x v="0"/>
    <x v="63"/>
    <s v="El Trebol S.r.l."/>
    <x v="22"/>
    <s v="IMPORTANTE EMPRESA CONSTRUCTORA NECESITA:   Responsable paraalmente en LOS QUEBRACHALES Nº920 Bº CHIJRA DE 08:00 A 12:00"/>
    <x v="63"/>
    <s v="Notables - Jujuy +1 Col"/>
    <x v="0"/>
    <n v="222.97285714285715"/>
    <x v="0"/>
    <x v="18"/>
    <m/>
    <x v="0"/>
    <x v="0"/>
    <n v="2"/>
    <n v="5.0000000012500001"/>
    <x v="0"/>
    <n v="5"/>
    <x v="16"/>
  </r>
  <r>
    <x v="0"/>
    <x v="64"/>
    <s v="El Trebol S.r.l."/>
    <x v="23"/>
    <s v="EMPRESA CONSTRUCURA SOLICITA : MECANICO GENERAL PARA EQUIPOSalmente en LOS QUEBRACHALES Nº920 Bº CHIJRA DE 08:00 A 12:00"/>
    <x v="64"/>
    <s v="Notables - Jujuy +1 Col"/>
    <x v="0"/>
    <n v="178.37857142857146"/>
    <x v="0"/>
    <x v="18"/>
    <m/>
    <x v="0"/>
    <x v="0"/>
    <n v="2"/>
    <n v="4.0000000010000001"/>
    <x v="0"/>
    <n v="4"/>
    <x v="17"/>
  </r>
  <r>
    <x v="0"/>
    <x v="65"/>
    <s v="Luis  Cabrera"/>
    <x v="1"/>
    <s v="/////////////////JESUS TAROT////////"/>
    <x v="65"/>
    <s v="Notables - Jujuy +1 Col"/>
    <x v="1"/>
    <n v="327.77049999999997"/>
    <x v="0"/>
    <x v="18"/>
    <m/>
    <x v="0"/>
    <x v="0"/>
    <n v="3"/>
    <n v="5.0000000012500001"/>
    <x v="0"/>
    <n v="5"/>
    <x v="15"/>
  </r>
  <r>
    <x v="0"/>
    <x v="66"/>
    <s v="Werchow Servicios Sociales S.R.L."/>
    <x v="24"/>
    <s v="EMP DEL MEDIO .- PROMOTORAS"/>
    <x v="66"/>
    <s v="Notables - Jujuy +1 Col"/>
    <x v="0"/>
    <n v="327.70499999999998"/>
    <x v="0"/>
    <x v="18"/>
    <m/>
    <x v="0"/>
    <x v="0"/>
    <n v="2"/>
    <n v="7.0000000017499984"/>
    <x v="0"/>
    <n v="7"/>
    <x v="18"/>
  </r>
  <r>
    <x v="0"/>
    <x v="67"/>
    <s v="Pagan  Miguel Angel"/>
    <x v="1"/>
    <s v="BRUJA PACTADA “DEYSY”   Especialista en realizar magia hindúl cementerio   PACTO CON EL DIABLO  CONSULTAS AL 3884089665."/>
    <x v="67"/>
    <s v="Notables - Jujuy +1 Col"/>
    <x v="1"/>
    <n v="200.67571428571429"/>
    <x v="0"/>
    <x v="18"/>
    <m/>
    <x v="0"/>
    <x v="0"/>
    <n v="3"/>
    <n v="3.0000000007500001"/>
    <x v="0"/>
    <n v="3"/>
    <x v="19"/>
  </r>
  <r>
    <x v="0"/>
    <x v="68"/>
    <s v="Suarez Zegarra  Carlos"/>
    <x v="1"/>
    <s v="AMOS-BRUJOS- SEÑORES DE LOS AMANTES     CRISTIAN DE LOS SANToholismo y Drogadicción  RESERVAS  3884656251- JUJUY- CENTRO"/>
    <x v="68"/>
    <s v="Notables - Jujuy +1 Col"/>
    <x v="1"/>
    <n v="280.94749999999999"/>
    <x v="0"/>
    <x v="18"/>
    <m/>
    <x v="0"/>
    <x v="0"/>
    <n v="2"/>
    <n v="6.0000000015000001"/>
    <x v="0"/>
    <n v="6"/>
    <x v="20"/>
  </r>
  <r>
    <x v="0"/>
    <x v="69"/>
    <s v="Rios  Patricia Bibiana"/>
    <x v="1"/>
    <s v="ESTUDIE ITALIANO ASOC. DANTE ALIGHIERI Cursos para adultos.  18:30 a 20:00 hs Avda. Fascio 1078- 2º Piso (Soc. 8    1078"/>
    <x v="69"/>
    <s v="Notables - Jujuy +1 Col"/>
    <x v="1"/>
    <n v="351.1825"/>
    <x v="0"/>
    <x v="18"/>
    <m/>
    <x v="0"/>
    <x v="0"/>
    <n v="3"/>
    <n v="5.0000000012500001"/>
    <x v="0"/>
    <n v="5"/>
    <x v="15"/>
  </r>
  <r>
    <x v="1"/>
    <x v="70"/>
    <s v="Editora Sociedad Anonima"/>
    <x v="25"/>
    <s v="MAS LUZ - JUJUY FM"/>
    <x v="70"/>
    <s v="Editorial Comercial - Jujuy"/>
    <x v="2"/>
    <n v="1447.44"/>
    <x v="1"/>
    <x v="19"/>
    <s v="SUDC"/>
    <x v="1"/>
    <x v="0"/>
    <n v="2"/>
    <n v="13.433777777777777"/>
    <x v="0"/>
    <n v="13"/>
    <x v="21"/>
  </r>
  <r>
    <x v="1"/>
    <x v="71"/>
    <s v="Gordillo Raul"/>
    <x v="1"/>
    <s v="TILCARA NUEVO PROFESIONAL Dr. GERMAN RAUL GORDILLO          su familia le desean mucho éxito  en su carrera profesional."/>
    <x v="71"/>
    <s v="Editorial Comercial - Jujuy"/>
    <x v="1"/>
    <n v="723.72"/>
    <x v="1"/>
    <x v="19"/>
    <s v="SUDC"/>
    <x v="1"/>
    <x v="0"/>
    <n v="1"/>
    <n v="13.433777777777777"/>
    <x v="0"/>
    <n v="13"/>
    <x v="22"/>
  </r>
  <r>
    <x v="1"/>
    <x v="72"/>
    <s v=" SECRETARIA DE INFRAESTRUCTURA EDUCATIVA"/>
    <x v="26"/>
    <s v="+ GIMENEZ, PABLO (q.e.p.d.) Fallecio el dia 21 d e marzo de  Ing. Yecora, arq. Brandan, Ing. Muriloo, C.P.N. Quispe....."/>
    <x v="72"/>
    <s v="Editorial Comercial - Jujuy cm OFICIAL"/>
    <x v="1"/>
    <n v="2162.9"/>
    <x v="0"/>
    <x v="19"/>
    <s v="SUDC"/>
    <x v="2"/>
    <x v="0"/>
    <n v="2"/>
    <n v="6.0000000015000001"/>
    <x v="0"/>
    <n v="6"/>
    <x v="20"/>
  </r>
  <r>
    <x v="1"/>
    <x v="73"/>
    <s v="La Cocheria S.r.l."/>
    <x v="27"/>
    <s v="LA COCHERIA SRL"/>
    <x v="73"/>
    <s v="Editorial Comercial - Jujuy"/>
    <x v="0"/>
    <n v="0"/>
    <x v="1"/>
    <x v="20"/>
    <s v="SU"/>
    <x v="2"/>
    <x v="0"/>
    <n v="3"/>
    <n v="2.7657777777777777"/>
    <x v="0"/>
    <n v="3"/>
    <x v="19"/>
  </r>
  <r>
    <x v="1"/>
    <x v="74"/>
    <s v="Werchow Servicios Sociales S.R.L."/>
    <x v="28"/>
    <s v="WERCHOW"/>
    <x v="74"/>
    <s v="Editorial Comercial - Jujuy"/>
    <x v="0"/>
    <n v="0"/>
    <x v="1"/>
    <x v="21"/>
    <s v="SER"/>
    <x v="2"/>
    <x v="0"/>
    <n v="5"/>
    <n v="2.7657777777777777"/>
    <x v="0"/>
    <n v="3"/>
    <x v="23"/>
  </r>
  <r>
    <x v="1"/>
    <x v="75"/>
    <s v="LOPEZ PIERRE - FARMACIA"/>
    <x v="29"/>
    <s v="LOPEZ PIERRE FARMACIA"/>
    <x v="75"/>
    <s v="Editorial Comercial - Jujuy"/>
    <x v="0"/>
    <n v="0"/>
    <x v="1"/>
    <x v="21"/>
    <m/>
    <x v="0"/>
    <x v="0"/>
    <n v="2"/>
    <n v="2.7657777777777777"/>
    <x v="0"/>
    <n v="3"/>
    <x v="24"/>
  </r>
  <r>
    <x v="1"/>
    <x v="76"/>
    <s v="Servicios Sociales Futuro S R L"/>
    <x v="30"/>
    <s v="SERIVICIO SOCIALES FUTURO..."/>
    <x v="76"/>
    <s v="Editorial Comercial - Jujuy"/>
    <x v="0"/>
    <n v="0"/>
    <x v="1"/>
    <x v="21"/>
    <s v="SER"/>
    <x v="2"/>
    <x v="0"/>
    <n v="5"/>
    <n v="2.7657777777777777"/>
    <x v="0"/>
    <n v="3"/>
    <x v="23"/>
  </r>
  <r>
    <x v="1"/>
    <x v="77"/>
    <s v=" FUNDACION PRACTICAS PARA LA CAPACITACION Y TRABAJO"/>
    <x v="31"/>
    <s v="INSTRUMENTACION QUIRURIGA M.C. - PROP. EDUCT"/>
    <x v="77"/>
    <s v="Editorial Comercial - Jujuy"/>
    <x v="0"/>
    <n v="871.55000000000007"/>
    <x v="1"/>
    <x v="22"/>
    <s v="PES"/>
    <x v="3"/>
    <x v="0"/>
    <n v="3"/>
    <n v="9.8777777777777782"/>
    <x v="0"/>
    <n v="10"/>
    <x v="25"/>
  </r>
  <r>
    <x v="1"/>
    <x v="78"/>
    <s v="MORENO JOSE MARIA"/>
    <x v="32"/>
    <s v="IITA - PROPUESTA EDUCATIVA"/>
    <x v="78"/>
    <s v="Editorial Comercial - Jujuy"/>
    <x v="0"/>
    <n v="2420.81"/>
    <x v="1"/>
    <x v="22"/>
    <s v="PES"/>
    <x v="4"/>
    <x v="0"/>
    <n v="5"/>
    <n v="9.8777777777777782"/>
    <x v="0"/>
    <n v="10"/>
    <x v="26"/>
  </r>
  <r>
    <x v="1"/>
    <x v="79"/>
    <s v="SCOPEL SERGIO RAFAEL - ADICEM"/>
    <x v="33"/>
    <s v="ADICEM ...."/>
    <x v="79"/>
    <s v="Editorial Comercial - Jujuy"/>
    <x v="0"/>
    <n v="0"/>
    <x v="1"/>
    <x v="23"/>
    <s v="PAC"/>
    <x v="5"/>
    <x v="0"/>
    <n v="5"/>
    <n v="6.3217777777777773"/>
    <x v="0"/>
    <n v="6"/>
    <x v="27"/>
  </r>
  <r>
    <x v="1"/>
    <x v="80"/>
    <s v="Segura Ana"/>
    <x v="34"/>
    <s v="Norte Servicios Sociales"/>
    <x v="80"/>
    <s v="Editorial Comercial - Jujuy"/>
    <x v="0"/>
    <n v="441.29"/>
    <x v="1"/>
    <x v="24"/>
    <s v="OBI"/>
    <x v="6"/>
    <x v="0"/>
    <n v="3"/>
    <n v="2.7657777777777777"/>
    <x v="0"/>
    <n v="3"/>
    <x v="19"/>
  </r>
  <r>
    <x v="1"/>
    <x v="81"/>
    <s v="Editora Sociedad Anonima"/>
    <x v="35"/>
    <s v="FM SOL"/>
    <x v="81"/>
    <s v="Editorial Comercial - Jujuy"/>
    <x v="2"/>
    <n v="3178.14"/>
    <x v="1"/>
    <x v="25"/>
    <s v="IDC"/>
    <x v="3"/>
    <x v="0"/>
    <n v="2"/>
    <n v="24.10177777777778"/>
    <x v="0"/>
    <n v="24"/>
    <x v="28"/>
  </r>
  <r>
    <x v="1"/>
    <x v="82"/>
    <s v="BANCO DE DESARROLLO DE JUJUY SOCIEDAD DEL ESTADO"/>
    <x v="36"/>
    <s v="TOMBOSUERTE..."/>
    <x v="82"/>
    <s v="Editorial Comercial - Jujuy cm OFICIAL"/>
    <x v="0"/>
    <n v="1707.49"/>
    <x v="1"/>
    <x v="26"/>
    <s v="IAC"/>
    <x v="7"/>
    <x v="1"/>
    <n v="5"/>
    <n v="17.000000000722224"/>
    <x v="1"/>
    <n v="17"/>
    <x v="29"/>
  </r>
  <r>
    <x v="1"/>
    <x v="83"/>
    <s v="Banco Macro Sociedad Anónima"/>
    <x v="37"/>
    <s v="BANCO MACRO  PEDIDO: 45000102879 HES: 1000206139"/>
    <x v="83"/>
    <s v="Editorial Comercial - Jujuy"/>
    <x v="0"/>
    <n v="7692.31"/>
    <x v="1"/>
    <x v="26"/>
    <s v="IAC"/>
    <x v="8"/>
    <x v="0"/>
    <n v="5"/>
    <n v="16.989777777777778"/>
    <x v="0"/>
    <n v="17"/>
    <x v="29"/>
  </r>
  <r>
    <x v="1"/>
    <x v="84"/>
    <s v=" E J E S A (EJESA)"/>
    <x v="38"/>
    <s v="EJESA CONVOCATORIA ASAMBLEA ORDINARIA...."/>
    <x v="84"/>
    <s v="Editorial Comercial - Jujuy"/>
    <x v="0"/>
    <n v="4563.05"/>
    <x v="0"/>
    <x v="26"/>
    <s v="IAC"/>
    <x v="9"/>
    <x v="0"/>
    <n v="3"/>
    <n v="13.433777777777777"/>
    <x v="0"/>
    <n v="13"/>
    <x v="30"/>
  </r>
  <r>
    <x v="1"/>
    <x v="85"/>
    <s v="Ejsed Sa."/>
    <x v="39"/>
    <s v="EDJESA  CONVOCATORIA ASAMBLEA ORDINARIA...."/>
    <x v="85"/>
    <s v="Editorial Comercial - Jujuy"/>
    <x v="0"/>
    <n v="4568.4799999999996"/>
    <x v="0"/>
    <x v="26"/>
    <s v="IAC"/>
    <x v="9"/>
    <x v="0"/>
    <n v="3"/>
    <n v="13.433777777777777"/>
    <x v="0"/>
    <n v="13"/>
    <x v="30"/>
  </r>
  <r>
    <x v="1"/>
    <x v="86"/>
    <s v="Editora Sociedad Anonima"/>
    <x v="40"/>
    <s v="PJ JUJUY - RIVAROLA"/>
    <x v="86"/>
    <s v="Editorial Comercial - Jujuy"/>
    <x v="2"/>
    <n v="6513.32"/>
    <x v="1"/>
    <x v="26"/>
    <s v="IAC"/>
    <x v="10"/>
    <x v="0"/>
    <n v="4"/>
    <n v="20.545777777777779"/>
    <x v="0"/>
    <n v="21"/>
    <x v="31"/>
  </r>
  <r>
    <x v="1"/>
    <x v="87"/>
    <s v="Club Atletico Gimnasia y Esgrima"/>
    <x v="41"/>
    <s v="BINGO LOBO..."/>
    <x v="87"/>
    <s v="Editorial Comercial - Jujuy"/>
    <x v="0"/>
    <n v="6784.71"/>
    <x v="1"/>
    <x v="26"/>
    <s v="IAC"/>
    <x v="11"/>
    <x v="0"/>
    <n v="5"/>
    <n v="16.989777777777778"/>
    <x v="0"/>
    <n v="17"/>
    <x v="29"/>
  </r>
  <r>
    <x v="1"/>
    <x v="88"/>
    <s v=" E J E S A (EJESA)"/>
    <x v="42"/>
    <s v="EJESA CORTE..."/>
    <x v="88"/>
    <s v="Editorial Comercial - Jujuy"/>
    <x v="0"/>
    <n v="814.83"/>
    <x v="0"/>
    <x v="26"/>
    <s v="IAC"/>
    <x v="9"/>
    <x v="0"/>
    <n v="1"/>
    <n v="9.8777777777777782"/>
    <x v="0"/>
    <n v="10"/>
    <x v="8"/>
  </r>
  <r>
    <x v="1"/>
    <x v="89"/>
    <s v="Direccion De Prensa Y Medios De Comunicacion"/>
    <x v="36"/>
    <s v="GOBIERNO CALL CENTER 0800-..."/>
    <x v="89"/>
    <s v="Editorial Comercial - Jujuy cm OFICIAL"/>
    <x v="0"/>
    <n v="80384.615300000005"/>
    <x v="1"/>
    <x v="26"/>
    <s v="IAC"/>
    <x v="12"/>
    <x v="0"/>
    <n v="5"/>
    <n v="17.000000000722224"/>
    <x v="1"/>
    <n v="17"/>
    <x v="29"/>
  </r>
  <r>
    <x v="1"/>
    <x v="90"/>
    <s v="Direccion De Prensa Y Medios De Comunicacion"/>
    <x v="36"/>
    <s v="GOBIERNO SOLICITADA...."/>
    <x v="90"/>
    <s v="Editorial Comercial - Jujuy cm OFICIAL"/>
    <x v="0"/>
    <n v="165497.74"/>
    <x v="1"/>
    <x v="26"/>
    <s v="IAC"/>
    <x v="13"/>
    <x v="1"/>
    <n v="5"/>
    <n v="35.000000001694445"/>
    <x v="0"/>
    <n v="35"/>
    <x v="32"/>
  </r>
  <r>
    <x v="1"/>
    <x v="91"/>
    <s v="Jumi S.R.L."/>
    <x v="43"/>
    <s v="ANIVERSARIO GINMASIA ING. ULLOA"/>
    <x v="91"/>
    <s v="Editorial Comercial - Jujuy"/>
    <x v="0"/>
    <n v="4524.8900000000003"/>
    <x v="1"/>
    <x v="27"/>
    <s v="DEP"/>
    <x v="14"/>
    <x v="1"/>
    <n v="5"/>
    <n v="34.769777777777783"/>
    <x v="1"/>
    <n v="35"/>
    <x v="32"/>
  </r>
  <r>
    <x v="2"/>
    <x v="92"/>
    <s v="Juarez Meneses Dolores"/>
    <x v="1"/>
    <s v="PSICOPEDAGOGIA  Lic. DOLORES JUAREZ MENESES * PROBLEMAS DE A FASCIO-Av. Fascio 748 Solicitud de Turnos:(0388) 18    0388"/>
    <x v="92"/>
    <s v="Guia Prof 2 Col - Jujuy"/>
    <x v="1"/>
    <n v="39.315916666666674"/>
    <x v="0"/>
    <x v="28"/>
    <m/>
    <x v="0"/>
    <x v="0"/>
    <n v="2"/>
    <n v="3.0000000007500001"/>
    <x v="0"/>
    <n v="3"/>
    <x v="24"/>
  </r>
  <r>
    <x v="2"/>
    <x v="93"/>
    <s v="Cruz  Valentina"/>
    <x v="1"/>
    <s v="CONSULTORIO DE PODOLOGIA GABRIEL ROMERO Uñas encarnadas- MicALVEAR 730 PLATA ALTA RECIBIMOS TARJETAS DE CRÉDITO Y DEBITO"/>
    <x v="93"/>
    <s v="Guia Prof 2 Col - Jujuy"/>
    <x v="1"/>
    <n v="65.526666666666671"/>
    <x v="1"/>
    <x v="29"/>
    <m/>
    <x v="0"/>
    <x v="0"/>
    <n v="2"/>
    <n v="5.0000000012500001"/>
    <x v="0"/>
    <n v="5"/>
    <x v="16"/>
  </r>
  <r>
    <x v="2"/>
    <x v="94"/>
    <s v="Bianco  Claudia"/>
    <x v="1"/>
    <s v="Dra. Claudia M. Bianco OTORRINOLARINGOLOGA ADULTOS Independencia N° 1008 Turnos solo por teléfono 0388-4833107 8   01008"/>
    <x v="94"/>
    <s v="Guia Prof 2 Col - Jujuy"/>
    <x v="1"/>
    <n v="26.210666666666668"/>
    <x v="0"/>
    <x v="30"/>
    <m/>
    <x v="0"/>
    <x v="0"/>
    <n v="2"/>
    <n v="2.0000000005"/>
    <x v="0"/>
    <n v="2"/>
    <x v="33"/>
  </r>
  <r>
    <x v="2"/>
    <x v="95"/>
    <s v="CRUZ DIEGO FERNANDO"/>
    <x v="1"/>
    <s v="LIC. DIEGO CRUZ QUIROPRAXIA"/>
    <x v="95"/>
    <s v="Guia Prof 2 Col - Jujuy"/>
    <x v="1"/>
    <n v="26.210666666666668"/>
    <x v="0"/>
    <x v="31"/>
    <m/>
    <x v="0"/>
    <x v="0"/>
    <n v="2"/>
    <n v="2.0000000005"/>
    <x v="0"/>
    <n v="2"/>
    <x v="33"/>
  </r>
  <r>
    <x v="2"/>
    <x v="96"/>
    <s v="Palavecino Rodriguez Jose Miguel"/>
    <x v="1"/>
    <s v="PROBLEMAS DE COLUMNA Y EXTREMIDADES                 QUIROPRAM. Palavecino  M.P. 1899 Independencia 518 - Cel. 155090998."/>
    <x v="96"/>
    <s v="Guia Prof 2 Col - Jujuy"/>
    <x v="1"/>
    <n v="39.315833333333337"/>
    <x v="0"/>
    <x v="31"/>
    <m/>
    <x v="0"/>
    <x v="0"/>
    <n v="2"/>
    <n v="3.0000000007500001"/>
    <x v="0"/>
    <n v="3"/>
    <x v="24"/>
  </r>
  <r>
    <x v="2"/>
    <x v="97"/>
    <s v="Empresa La Piedad S.A."/>
    <x v="44"/>
    <s v="Consultorios AV"/>
    <x v="97"/>
    <s v="Guia Prof 2 Col - Jujuy"/>
    <x v="0"/>
    <n v="74.404193548387099"/>
    <x v="0"/>
    <x v="32"/>
    <m/>
    <x v="0"/>
    <x v="0"/>
    <n v="2"/>
    <n v="4.0000000010000001"/>
    <x v="0"/>
    <n v="4"/>
    <x v="17"/>
  </r>
  <r>
    <x v="2"/>
    <x v="98"/>
    <s v="Pastore  Ana Laura"/>
    <x v="1"/>
    <s v="////LOGO///// DERECHO DE FAMILIA: Alimentos-Divorcio-Cuidadoitud de turnos: Cel. 388-5073068 .  Argañaraz Nº 298 5073068"/>
    <x v="98"/>
    <s v="Guia Prof 2 Col - Jujuy"/>
    <x v="1"/>
    <n v="40.6265"/>
    <x v="0"/>
    <x v="33"/>
    <m/>
    <x v="0"/>
    <x v="0"/>
    <n v="2"/>
    <n v="3.0000000007500001"/>
    <x v="0"/>
    <n v="3"/>
    <x v="24"/>
  </r>
  <r>
    <x v="2"/>
    <x v="99"/>
    <s v="Copa Alejandro Daniel"/>
    <x v="1"/>
    <s v="Dr. Alejandro Daniel Copa Dra. Vanesa Alejandra Bravo Abogad1er Piso Of 4 Cel. 3886853895  (Consultas online - whatsapp)"/>
    <x v="99"/>
    <s v="Guia Prof 2 Col - Jujuy"/>
    <x v="1"/>
    <n v="139.79"/>
    <x v="0"/>
    <x v="33"/>
    <m/>
    <x v="0"/>
    <x v="0"/>
    <n v="2"/>
    <n v="5.0000000012500001"/>
    <x v="0"/>
    <n v="5"/>
    <x v="16"/>
  </r>
  <r>
    <x v="2"/>
    <x v="100"/>
    <s v="Orce Remis Esteban"/>
    <x v="1"/>
    <s v=" TERRAZAS Y ORCE REMIS ESTUDIO JURÍDICO  CONTABLE  ASESORAMIs y Judiciales.  Nuevo Domicilio  Argañaraz 141 Tel8 4988746"/>
    <x v="100"/>
    <s v="Guia Prof 2 Col - Jujuy"/>
    <x v="1"/>
    <n v="131.053"/>
    <x v="0"/>
    <x v="33"/>
    <m/>
    <x v="0"/>
    <x v="0"/>
    <n v="2"/>
    <n v="9.999999998972223"/>
    <x v="0"/>
    <n v="10"/>
    <x v="12"/>
  </r>
  <r>
    <x v="2"/>
    <x v="101"/>
    <s v="Lopez Salgado Guillermo"/>
    <x v="1"/>
    <s v=" ESTUDIO JURIDICO LOPEZ SALGADO  &amp; Asoc.  Dres. Guillermo y  Penal   Coronel Puch 432- Tel. Fijo 4236414 Cel.388 4236414"/>
    <x v="101"/>
    <s v="Guia Prof 2 Col - Jujuy"/>
    <x v="1"/>
    <n v="26.210666666666668"/>
    <x v="0"/>
    <x v="33"/>
    <m/>
    <x v="0"/>
    <x v="0"/>
    <n v="2"/>
    <n v="2.0000000005"/>
    <x v="0"/>
    <n v="2"/>
    <x v="33"/>
  </r>
  <r>
    <x v="2"/>
    <x v="102"/>
    <s v="Labarta Maria Gabriela"/>
    <x v="1"/>
    <s v="MARIA GABRIELA LABARTA        ABOGADA M.P. 3997 TE BRINDA ASJujuy. Dias y Hs. Martes, Miercoles y Viernes 17.308 4783953"/>
    <x v="102"/>
    <s v="Guia Prof 2 Col - Jujuy"/>
    <x v="1"/>
    <n v="65.526666666666671"/>
    <x v="0"/>
    <x v="33"/>
    <m/>
    <x v="0"/>
    <x v="0"/>
    <n v="2"/>
    <n v="5.0000000012500001"/>
    <x v="0"/>
    <n v="5"/>
    <x v="16"/>
  </r>
  <r>
    <x v="3"/>
    <x v="103"/>
    <s v="Sepelios San Jose SRL."/>
    <x v="1"/>
    <s v="SEPELIOS SAN JOSE S.R.L. SERVICIOS SOCIALES"/>
    <x v="103"/>
    <s v="Obituario Modulo - Jujuy"/>
    <x v="1"/>
    <n v="287.71099999999996"/>
    <x v="1"/>
    <x v="34"/>
    <m/>
    <x v="0"/>
    <x v="0"/>
    <n v="1"/>
    <n v="6.3217777777777773"/>
    <x v="0"/>
    <n v="6"/>
    <x v="0"/>
  </r>
  <r>
    <x v="4"/>
    <x v="104"/>
    <s v="Duran Jorge Rafael"/>
    <x v="45"/>
    <s v="CENTRO VOLKSWAGEN-SUP. AUTOMOTOR"/>
    <x v="104"/>
    <s v="Editorial Comercial - Jujuy"/>
    <x v="0"/>
    <n v="871.56000000000006"/>
    <x v="1"/>
    <x v="20"/>
    <s v="SU"/>
    <x v="5"/>
    <x v="0"/>
    <n v="3"/>
    <n v="9.8777777777777782"/>
    <x v="0"/>
    <n v="10"/>
    <x v="25"/>
  </r>
  <r>
    <x v="4"/>
    <x v="105"/>
    <s v="Gentile Sergio Radames"/>
    <x v="46"/>
    <s v="HAFID"/>
    <x v="105"/>
    <s v="Editorial Comercial - Jujuy"/>
    <x v="0"/>
    <n v="387.36"/>
    <x v="1"/>
    <x v="20"/>
    <s v="SU"/>
    <x v="5"/>
    <x v="0"/>
    <n v="2"/>
    <n v="6.3217777777777773"/>
    <x v="0"/>
    <n v="6"/>
    <x v="20"/>
  </r>
  <r>
    <x v="4"/>
    <x v="106"/>
    <s v="Escalera Elías Alejandro"/>
    <x v="47"/>
    <s v="CENTRO AUTOMOTOR"/>
    <x v="106"/>
    <s v="Editorial Comercial - Jujuy"/>
    <x v="0"/>
    <n v="774.72"/>
    <x v="1"/>
    <x v="20"/>
    <s v="SU"/>
    <x v="15"/>
    <x v="0"/>
    <n v="2"/>
    <n v="13.433777777777777"/>
    <x v="0"/>
    <n v="13"/>
    <x v="21"/>
  </r>
  <r>
    <x v="4"/>
    <x v="107"/>
    <s v="Salaberry Alejandro Esteban"/>
    <x v="48"/>
    <s v="LUBRINOR"/>
    <x v="107"/>
    <s v="Editorial Comercial - Jujuy"/>
    <x v="0"/>
    <n v="871.56000000000006"/>
    <x v="1"/>
    <x v="20"/>
    <s v="SU"/>
    <x v="10"/>
    <x v="0"/>
    <n v="3"/>
    <n v="9.8777777777777782"/>
    <x v="0"/>
    <n v="10"/>
    <x v="25"/>
  </r>
  <r>
    <x v="4"/>
    <x v="108"/>
    <s v="Eichenberger Daniel Alberto Ramón"/>
    <x v="49"/>
    <s v="DFD Repuestos"/>
    <x v="108"/>
    <s v="Editorial Comercial - Jujuy"/>
    <x v="0"/>
    <n v="387.36"/>
    <x v="1"/>
    <x v="20"/>
    <s v="SU"/>
    <x v="13"/>
    <x v="0"/>
    <n v="2"/>
    <n v="6.3217777777777773"/>
    <x v="0"/>
    <n v="6"/>
    <x v="20"/>
  </r>
  <r>
    <x v="4"/>
    <x v="109"/>
    <s v="Garrido Ahirini Isabel"/>
    <x v="50"/>
    <s v="Xtreme Neumáticos"/>
    <x v="109"/>
    <s v="Editorial Comercial - Jujuy"/>
    <x v="0"/>
    <n v="387.36"/>
    <x v="1"/>
    <x v="20"/>
    <s v="SU"/>
    <x v="13"/>
    <x v="0"/>
    <n v="2"/>
    <n v="6.3217777777777773"/>
    <x v="0"/>
    <n v="6"/>
    <x v="20"/>
  </r>
  <r>
    <x v="4"/>
    <x v="110"/>
    <s v="Quispe Amante Julio Cesar"/>
    <x v="51"/>
    <s v="El Lobito Repuestos"/>
    <x v="110"/>
    <s v="Editorial Comercial - Jujuy"/>
    <x v="0"/>
    <n v="387.36"/>
    <x v="1"/>
    <x v="20"/>
    <s v="SU"/>
    <x v="10"/>
    <x v="0"/>
    <n v="2"/>
    <n v="6.3217777777777773"/>
    <x v="0"/>
    <n v="6"/>
    <x v="20"/>
  </r>
  <r>
    <x v="4"/>
    <x v="111"/>
    <s v="Neumatone Srl"/>
    <x v="52"/>
    <s v="Neumatone"/>
    <x v="111"/>
    <s v="Editorial Comercial - Jujuy"/>
    <x v="0"/>
    <n v="871.56000000000006"/>
    <x v="1"/>
    <x v="20"/>
    <s v="SU"/>
    <x v="15"/>
    <x v="0"/>
    <n v="3"/>
    <n v="9.8777777777777782"/>
    <x v="0"/>
    <n v="10"/>
    <x v="25"/>
  </r>
  <r>
    <x v="4"/>
    <x v="112"/>
    <s v="Motonoa S.R.L."/>
    <x v="53"/>
    <s v="Motonoa"/>
    <x v="112"/>
    <s v="Editorial Comercial - Jujuy"/>
    <x v="0"/>
    <n v="581.04"/>
    <x v="1"/>
    <x v="20"/>
    <s v="SU"/>
    <x v="5"/>
    <x v="0"/>
    <n v="3"/>
    <n v="6.3217777777777773"/>
    <x v="0"/>
    <n v="6"/>
    <x v="34"/>
  </r>
  <r>
    <x v="4"/>
    <x v="113"/>
    <s v="Toyojuy-Chevrojuy S.R.L"/>
    <x v="54"/>
    <s v="Toyojuy-Chevrojuy"/>
    <x v="113"/>
    <s v="Editorial Comercial - Jujuy"/>
    <x v="0"/>
    <n v="774.72"/>
    <x v="1"/>
    <x v="20"/>
    <s v="SU"/>
    <x v="16"/>
    <x v="0"/>
    <n v="4"/>
    <n v="6.3217777777777773"/>
    <x v="0"/>
    <n v="6"/>
    <x v="35"/>
  </r>
  <r>
    <x v="4"/>
    <x v="114"/>
    <s v="Warnes Repuestos Noa S.A."/>
    <x v="55"/>
    <s v="Warnes Repuestos"/>
    <x v="114"/>
    <s v="Editorial Comercial - Jujuy"/>
    <x v="0"/>
    <n v="484.2"/>
    <x v="1"/>
    <x v="20"/>
    <s v="SU"/>
    <x v="16"/>
    <x v="0"/>
    <n v="1"/>
    <n v="16.989777777777778"/>
    <x v="0"/>
    <n v="17"/>
    <x v="36"/>
  </r>
  <r>
    <x v="4"/>
    <x v="115"/>
    <s v="ORTEGA JUAN CARLOS"/>
    <x v="56"/>
    <s v="Ortega Automotores"/>
    <x v="115"/>
    <s v="Editorial Comercial - Jujuy"/>
    <x v="0"/>
    <n v="1162.08"/>
    <x v="1"/>
    <x v="20"/>
    <s v="SU"/>
    <x v="13"/>
    <x v="0"/>
    <n v="3"/>
    <n v="13.433777777777777"/>
    <x v="0"/>
    <n v="13"/>
    <x v="30"/>
  </r>
  <r>
    <x v="4"/>
    <x v="116"/>
    <s v="Yañez Edgardo Jesus"/>
    <x v="57"/>
    <s v="Produgas GNC-Nafta"/>
    <x v="116"/>
    <s v="Editorial Comercial - Jujuy"/>
    <x v="0"/>
    <n v="968.4"/>
    <x v="1"/>
    <x v="20"/>
    <s v="SU"/>
    <x v="10"/>
    <x v="0"/>
    <n v="5"/>
    <n v="6.3217777777777773"/>
    <x v="0"/>
    <n v="6"/>
    <x v="27"/>
  </r>
  <r>
    <x v="4"/>
    <x v="117"/>
    <s v="Bejarano Alborta Mario Alvaro"/>
    <x v="58"/>
    <s v="CAR PRO"/>
    <x v="117"/>
    <s v="Editorial Comercial - Jujuy"/>
    <x v="0"/>
    <n v="871.56000000000006"/>
    <x v="1"/>
    <x v="20"/>
    <s v="SU"/>
    <x v="16"/>
    <x v="0"/>
    <n v="3"/>
    <n v="9.8777777777777782"/>
    <x v="0"/>
    <n v="10"/>
    <x v="25"/>
  </r>
  <r>
    <x v="4"/>
    <x v="118"/>
    <s v="Melli Automotores S.R.L."/>
    <x v="59"/>
    <s v="MELLI AUTOMOTORES"/>
    <x v="118"/>
    <s v="Editorial Comercial - Jujuy"/>
    <x v="0"/>
    <n v="1936.8"/>
    <x v="1"/>
    <x v="20"/>
    <s v="SU"/>
    <x v="17"/>
    <x v="0"/>
    <n v="5"/>
    <n v="13.433777777777777"/>
    <x v="0"/>
    <n v="13"/>
    <x v="37"/>
  </r>
  <r>
    <x v="4"/>
    <x v="119"/>
    <s v="Lenarduzzi Marcelo Daniel"/>
    <x v="60"/>
    <s v="LENARDUZZI AUTOMOTORES"/>
    <x v="119"/>
    <s v="Editorial Comercial - Jujuy"/>
    <x v="0"/>
    <n v="1452.6000000000001"/>
    <x v="1"/>
    <x v="20"/>
    <s v="SU"/>
    <x v="9"/>
    <x v="0"/>
    <n v="5"/>
    <n v="9.8777777777777782"/>
    <x v="0"/>
    <n v="10"/>
    <x v="26"/>
  </r>
  <r>
    <x v="5"/>
    <x v="120"/>
    <s v="Cine Teatro Alfa S.R.L."/>
    <x v="61"/>
    <s v="CINE ALFA..."/>
    <x v="120"/>
    <s v="Editorial Comercial - Jujuy"/>
    <x v="2"/>
    <n v="3064.4"/>
    <x v="1"/>
    <x v="19"/>
    <m/>
    <x v="0"/>
    <x v="0"/>
    <n v="5"/>
    <n v="13.433777777777777"/>
    <x v="0"/>
    <n v="13"/>
    <x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rowGrandTotals="0" colGrandTotals="0" mergeItem="1" createdVersion="4" indent="0" compact="0" compactData="0" multipleFieldFilters="0" customListSort="0">
  <location ref="A1:L148" firstHeaderRow="1" firstDataRow="1" firstDataCol="11"/>
  <pivotFields count="19">
    <pivotField axis="axisRow" compact="0" outline="0" showAll="0" sortType="descending" defaultSubtotal="0">
      <items count="15">
        <item m="1" x="13"/>
        <item m="1" x="8"/>
        <item m="1" x="7"/>
        <item m="1" x="12"/>
        <item m="1" x="11"/>
        <item m="1" x="10"/>
        <item x="5"/>
        <item m="1" x="14"/>
        <item m="1" x="6"/>
        <item m="1" x="9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823"/>
        <item m="1" x="1382"/>
        <item m="1" x="5143"/>
        <item m="1" x="136"/>
        <item m="1" x="4160"/>
        <item m="1" x="4131"/>
        <item m="1" x="5980"/>
        <item m="1" x="5631"/>
        <item m="1" x="4280"/>
        <item m="1" x="7545"/>
        <item m="1" x="6288"/>
        <item m="1" x="1596"/>
        <item m="1" x="2825"/>
        <item m="1" x="6841"/>
        <item m="1" x="7069"/>
        <item m="1" x="7796"/>
        <item m="1" x="6585"/>
        <item m="1" x="3309"/>
        <item m="1" x="5319"/>
        <item m="1" x="4750"/>
        <item m="1" x="5368"/>
        <item m="1" x="4882"/>
        <item m="1" x="5037"/>
        <item m="1" x="6098"/>
        <item m="1" x="2494"/>
        <item m="1" x="3021"/>
        <item m="1" x="2785"/>
        <item m="1" x="5161"/>
        <item m="1" x="3985"/>
        <item m="1" x="5623"/>
        <item m="1" x="222"/>
        <item m="1" x="4532"/>
        <item m="1" x="2917"/>
        <item m="1" x="2213"/>
        <item m="1" x="5656"/>
        <item m="1" x="2826"/>
        <item m="1" x="2616"/>
        <item m="1" x="4034"/>
        <item m="1" x="5674"/>
        <item m="1" x="1210"/>
        <item m="1" x="2846"/>
        <item m="1" x="3865"/>
        <item m="1" x="6329"/>
        <item m="1" x="6481"/>
        <item m="1" x="800"/>
        <item m="1" x="6205"/>
        <item m="1" x="7314"/>
        <item m="1" x="3650"/>
        <item m="1" x="6064"/>
        <item m="1" x="339"/>
        <item m="1" x="530"/>
        <item m="1" x="6501"/>
        <item m="1" x="5678"/>
        <item m="1" x="2136"/>
        <item m="1" x="3165"/>
        <item m="1" x="7809"/>
        <item m="1" x="6006"/>
        <item m="1" x="6869"/>
        <item m="1" x="2692"/>
        <item m="1" x="543"/>
        <item m="1" x="175"/>
        <item m="1" x="3613"/>
        <item m="1" x="4974"/>
        <item m="1" x="3776"/>
        <item m="1" x="4749"/>
        <item m="1" x="6129"/>
        <item m="1" x="5548"/>
        <item m="1" x="1314"/>
        <item m="1" x="6832"/>
        <item m="1" x="2426"/>
        <item m="1" x="607"/>
        <item m="1" x="5007"/>
        <item m="1" x="1313"/>
        <item m="1" x="2227"/>
        <item m="1" x="5649"/>
        <item m="1" x="4995"/>
        <item m="1" x="4342"/>
        <item m="1" x="137"/>
        <item m="1" x="1650"/>
        <item m="1" x="1612"/>
        <item m="1" x="5320"/>
        <item m="1" x="6287"/>
        <item m="1" x="4790"/>
        <item m="1" x="3102"/>
        <item m="1" x="7350"/>
        <item m="1" x="1912"/>
        <item m="1" x="1930"/>
        <item m="1" x="5983"/>
        <item m="1" x="1353"/>
        <item m="1" x="2554"/>
        <item m="1" x="7407"/>
        <item m="1" x="386"/>
        <item m="1" x="6730"/>
        <item m="1" x="4142"/>
        <item m="1" x="7315"/>
        <item m="1" x="2090"/>
        <item m="1" x="5776"/>
        <item m="1" x="3325"/>
        <item m="1" x="3285"/>
        <item m="1" x="1936"/>
        <item m="1" x="4601"/>
        <item m="1" x="184"/>
        <item m="1" x="5225"/>
        <item m="1" x="1055"/>
        <item m="1" x="3007"/>
        <item m="1" x="3083"/>
        <item m="1" x="4161"/>
        <item m="1" x="2553"/>
        <item m="1" x="2827"/>
        <item m="1" x="3335"/>
        <item m="1" x="2239"/>
        <item m="1" x="4568"/>
        <item m="1" x="5881"/>
        <item m="1" x="5790"/>
        <item m="1" x="7798"/>
        <item m="1" x="7541"/>
        <item m="1" x="3614"/>
        <item m="1" x="3395"/>
        <item m="1" x="3629"/>
        <item m="1" x="6950"/>
        <item m="1" x="5814"/>
        <item m="1" x="6394"/>
        <item m="1" x="7835"/>
        <item m="1" x="271"/>
        <item m="1" x="424"/>
        <item m="1" x="6377"/>
        <item m="1" x="6659"/>
        <item m="1" x="3859"/>
        <item m="1" x="1880"/>
        <item m="1" x="4374"/>
        <item m="1" x="5300"/>
        <item m="1" x="863"/>
        <item m="1" x="7741"/>
        <item m="1" x="1471"/>
        <item m="1" x="2013"/>
        <item m="1" x="3651"/>
        <item m="1" x="2444"/>
        <item m="1" x="3945"/>
        <item m="1" x="5133"/>
        <item m="1" x="3762"/>
        <item m="1" x="6294"/>
        <item m="1" x="2049"/>
        <item m="1" x="7443"/>
        <item m="1" x="3680"/>
        <item m="1" x="3823"/>
        <item m="1" x="7914"/>
        <item m="1" x="5758"/>
        <item m="1" x="7155"/>
        <item m="1" x="5791"/>
        <item m="1" x="935"/>
        <item m="1" x="6342"/>
        <item m="1" x="4196"/>
        <item m="1" x="4970"/>
        <item m="1" x="6741"/>
        <item m="1" x="2260"/>
        <item m="1" x="7576"/>
        <item m="1" x="6393"/>
        <item m="1" x="6924"/>
        <item m="1" x="2196"/>
        <item m="1" x="6953"/>
        <item m="1" x="4836"/>
        <item m="1" x="1913"/>
        <item m="1" x="449"/>
        <item m="1" x="7089"/>
        <item m="1" x="5335"/>
        <item m="1" x="3369"/>
        <item m="1" x="6660"/>
        <item m="1" x="7269"/>
        <item m="1" x="1712"/>
        <item m="1" x="1145"/>
        <item m="1" x="193"/>
        <item m="1" x="6952"/>
        <item m="1" x="4987"/>
        <item m="1" x="5321"/>
        <item m="1" x="6597"/>
        <item m="1" x="5044"/>
        <item m="1" x="7672"/>
        <item m="1" x="7940"/>
        <item m="1" x="835"/>
        <item m="1" x="6870"/>
        <item m="1" x="4699"/>
        <item m="1" x="5536"/>
        <item m="1" x="7417"/>
        <item m="1" x="7626"/>
        <item m="1" x="7870"/>
        <item m="1" x="836"/>
        <item m="1" x="1129"/>
        <item m="1" x="3277"/>
        <item m="1" x="6319"/>
        <item m="1" x="4797"/>
        <item m="1" x="6605"/>
        <item m="1" x="6856"/>
        <item m="1" x="877"/>
        <item m="1" x="4733"/>
        <item m="1" x="4607"/>
        <item m="1" x="4500"/>
        <item m="1" x="4380"/>
        <item m="1" x="6623"/>
        <item m="1" x="3471"/>
        <item m="1" x="848"/>
        <item m="1" x="1095"/>
        <item m="1" x="425"/>
        <item m="1" x="677"/>
        <item m="1" x="897"/>
        <item m="1" x="1146"/>
        <item m="1" x="1696"/>
        <item m="1" x="1973"/>
        <item m="1" x="2510"/>
        <item m="1" x="2790"/>
        <item m="1" x="917"/>
        <item m="1" x="1166"/>
        <item m="1" x="1446"/>
        <item m="1" x="1711"/>
        <item m="1" x="2276"/>
        <item m="1" x="2529"/>
        <item m="1" x="3042"/>
        <item m="1" x="3314"/>
        <item m="1" x="6711"/>
        <item m="1" x="5828"/>
        <item m="1" x="7627"/>
        <item m="1" x="6395"/>
        <item m="1" x="6676"/>
        <item m="1" x="6925"/>
        <item m="1" x="7190"/>
        <item m="1" x="7444"/>
        <item m="1" x="7691"/>
        <item m="1" x="7894"/>
        <item m="1" x="387"/>
        <item m="1" x="627"/>
        <item m="1" x="397"/>
        <item m="1" x="696"/>
        <item m="1" x="878"/>
        <item m="1" x="1677"/>
        <item m="1" x="7941"/>
        <item m="1" x="272"/>
        <item m="1" x="678"/>
        <item m="1" x="1467"/>
        <item m="1" x="697"/>
        <item m="1" x="6171"/>
        <item m="1" x="5877"/>
        <item m="1" x="2530"/>
        <item m="1" x="1505"/>
        <item m="1" x="2294"/>
        <item m="1" x="2597"/>
        <item m="1" x="3097"/>
        <item m="1" x="4475"/>
        <item m="1" x="4583"/>
        <item m="1" x="5077"/>
        <item m="1" x="5301"/>
        <item m="1" x="6099"/>
        <item m="1" x="6320"/>
        <item m="1" x="7644"/>
        <item m="1" x="7214"/>
        <item m="1" x="2548"/>
        <item m="1" x="209"/>
        <item m="1" x="1315"/>
        <item m="1" x="664"/>
        <item m="1" x="1130"/>
        <item m="1" x="1753"/>
        <item m="1" x="953"/>
        <item m="1" x="2277"/>
        <item m="1" x="7942"/>
        <item m="1" x="1167"/>
        <item m="1" x="7243"/>
        <item m="1" x="1249"/>
        <item m="1" x="4000"/>
        <item m="1" x="7871"/>
        <item m="1" x="1802"/>
        <item m="1" x="1183"/>
        <item m="1" x="194"/>
        <item m="1" x="7191"/>
        <item m="1" x="1993"/>
        <item m="1" x="6885"/>
        <item m="1" x="6954"/>
        <item m="1" x="1954"/>
        <item m="1" x="2628"/>
        <item m="1" x="2240"/>
        <item m="1" x="2791"/>
        <item m="1" x="6677"/>
        <item m="1" x="441"/>
        <item m="1" x="898"/>
        <item m="1" x="1733"/>
        <item m="1" x="4011"/>
        <item m="1" x="3081"/>
        <item m="1" x="3114"/>
        <item m="1" x="2495"/>
        <item m="1" x="6082"/>
        <item m="1" x="4647"/>
        <item m="1" x="7299"/>
        <item m="1" x="5730"/>
        <item m="1" x="1793"/>
        <item m="1" x="3164"/>
        <item m="1" x="4448"/>
        <item m="1" x="2598"/>
        <item m="1" x="1794"/>
        <item m="1" x="7674"/>
        <item m="1" x="7144"/>
        <item m="1" x="2642"/>
        <item m="1" x="3296"/>
        <item m="1" x="4043"/>
        <item m="1" x="6923"/>
        <item m="1" x="5607"/>
        <item m="1" x="4258"/>
        <item m="1" x="6804"/>
        <item m="1" x="5972"/>
        <item m="1" x="4691"/>
        <item m="1" x="5138"/>
        <item m="1" x="1447"/>
        <item m="1" x="7773"/>
        <item m="1" x="5827"/>
        <item m="1" x="5829"/>
        <item m="1" x="6130"/>
        <item m="1" x="225"/>
        <item m="1" x="2314"/>
        <item m="1" x="6834"/>
        <item m="1" x="6568"/>
        <item m="1" x="791"/>
        <item m="1" x="4996"/>
        <item m="1" x="896"/>
        <item m="1" x="4894"/>
        <item m="1" x="3098"/>
        <item m="1" x="5154"/>
        <item m="1" x="2683"/>
        <item m="1" x="3115"/>
        <item m="1" x="2406"/>
        <item m="1" x="1388"/>
        <item m="1" x="4721"/>
        <item m="1" x="5125"/>
        <item m="1" x="4166"/>
        <item m="1" x="738"/>
        <item m="1" x="4502"/>
        <item m="1" x="2627"/>
        <item m="1" x="6208"/>
        <item m="1" x="1563"/>
        <item m="1" x="606"/>
        <item m="1" x="5956"/>
        <item m="1" x="3386"/>
        <item m="1" x="6429"/>
        <item m="1" x="4244"/>
        <item m="1" x="6805"/>
        <item m="1" x="1427"/>
        <item m="1" x="4780"/>
        <item m="1" x="7597"/>
        <item m="1" x="7840"/>
        <item m="1" x="327"/>
        <item m="1" x="561"/>
        <item m="1" x="847"/>
        <item m="1" x="5514"/>
        <item m="1" x="6341"/>
        <item m="1" x="3422"/>
        <item m="1" x="3639"/>
        <item m="1" x="4030"/>
        <item m="1" x="4231"/>
        <item m="1" x="4660"/>
        <item m="1" x="3846"/>
        <item m="1" x="4675"/>
        <item m="1" x="7567"/>
        <item m="1" x="4306"/>
        <item m="1" x="1524"/>
        <item m="1" x="4042"/>
        <item m="1" x="986"/>
        <item m="1" x="3833"/>
        <item m="1" x="6248"/>
        <item m="1" x="2613"/>
        <item m="1" x="2924"/>
        <item m="1" x="3475"/>
        <item m="1" x="5179"/>
        <item m="1" x="1577"/>
        <item m="1" x="4284"/>
        <item m="1" x="6890"/>
        <item m="1" x="4259"/>
        <item m="1" x="6265"/>
        <item m="1" x="1972"/>
        <item m="1" x="7254"/>
        <item m="1" x="5869"/>
        <item m="1" x="5076"/>
        <item m="1" x="4274"/>
        <item m="1" x="3656"/>
        <item m="1" x="3436"/>
        <item m="1" x="6462"/>
        <item m="1" x="2934"/>
        <item m="1" x="4087"/>
        <item m="1" x="7707"/>
        <item m="1" x="7354"/>
        <item m="1" x="2373"/>
        <item m="1" x="2643"/>
        <item m="1" x="2980"/>
        <item m="1" x="6862"/>
        <item m="1" x="7897"/>
        <item m="1" x="1279"/>
        <item m="1" x="7095"/>
        <item m="1" x="7710"/>
        <item m="1" x="7978"/>
        <item m="1" x="6903"/>
        <item m="1" x="7402"/>
        <item m="1" x="4246"/>
        <item m="1" x="3175"/>
        <item m="1" x="5991"/>
        <item m="1" x="6249"/>
        <item m="1" x="2081"/>
        <item m="1" x="2356"/>
        <item m="1" x="4692"/>
        <item m="1" x="3677"/>
        <item m="1" x="7962"/>
        <item m="1" x="6823"/>
        <item m="1" x="7334"/>
        <item m="1" x="4674"/>
        <item m="1" x="7800"/>
        <item m="1" x="4081"/>
        <item m="1" x="2654"/>
        <item m="1" x="5196"/>
        <item m="1" x="3916"/>
        <item m="1" x="1674"/>
        <item m="1" x="2166"/>
        <item m="1" x="5244"/>
        <item m="1" x="5708"/>
        <item m="1" x="6891"/>
        <item m="1" x="4307"/>
        <item m="1" x="5670"/>
        <item m="1" x="4260"/>
        <item m="1" x="6266"/>
        <item m="1" x="3194"/>
        <item m="1" x="2886"/>
        <item m="1" x="1842"/>
        <item m="1" x="2183"/>
        <item m="1" x="5415"/>
        <item m="1" x="4753"/>
        <item m="1" x="4285"/>
        <item m="1" x="4503"/>
        <item m="1" x="4722"/>
        <item m="1" x="4739"/>
        <item m="1" x="5155"/>
        <item m="1" x="4044"/>
        <item m="1" x="4195"/>
        <item m="1" x="4108"/>
        <item m="1" x="5918"/>
        <item m="1" x="5459"/>
        <item m="1" x="7382"/>
        <item m="1" x="6971"/>
        <item m="1" x="5780"/>
        <item m="1" x="3689"/>
        <item m="1" x="2655"/>
        <item m="1" x="6059"/>
        <item m="1" x="6112"/>
        <item m="1" x="3709"/>
        <item m="1" x="4765"/>
        <item m="1" x="4990"/>
        <item m="1" x="2685"/>
        <item m="1" x="5957"/>
        <item m="1" x="1010"/>
        <item m="1" x="2686"/>
        <item m="1" x="2946"/>
        <item m="1" x="3195"/>
        <item m="1" x="6974"/>
        <item m="1" x="4073"/>
        <item m="1" x="2967"/>
        <item m="1" x="4272"/>
        <item m="1" x="5256"/>
        <item m="1" x="2741"/>
        <item m="1" x="5492"/>
        <item m="1" x="5765"/>
        <item m="1" x="6608"/>
        <item m="1" x="3449"/>
        <item m="1" x="3510"/>
        <item m="1" x="3732"/>
        <item m="1" x="3847"/>
        <item m="1" x="3151"/>
        <item m="1" x="6250"/>
        <item m="1" x="4525"/>
        <item m="1" x="4767"/>
        <item m="1" x="6595"/>
        <item m="1" x="934"/>
        <item m="1" x="3509"/>
        <item m="1" x="3928"/>
        <item m="1" x="4337"/>
        <item m="1" x="6349"/>
        <item m="1" x="6847"/>
        <item m="1" x="2432"/>
        <item m="1" x="5228"/>
        <item m="1" x="4856"/>
        <item m="1" x="4523"/>
        <item m="1" x="7285"/>
        <item m="1" x="2718"/>
        <item m="1" x="2802"/>
        <item m="1" x="3871"/>
        <item m="1" x="6277"/>
        <item m="1" x="3160"/>
        <item m="1" x="6494"/>
        <item m="1" x="1998"/>
        <item m="1" x="2517"/>
        <item m="1" x="2719"/>
        <item m="1" x="3263"/>
        <item m="1" x="3494"/>
        <item m="1" x="3245"/>
        <item m="1" x="3710"/>
        <item m="1" x="5619"/>
        <item m="1" x="612"/>
        <item m="1" x="7625"/>
        <item m="1" x="7869"/>
        <item m="1" x="350"/>
        <item m="1" x="588"/>
        <item m="1" x="876"/>
        <item m="1" x="5549"/>
        <item m="1" x="6376"/>
        <item m="1" x="3448"/>
        <item m="1" x="3667"/>
        <item m="1" x="4055"/>
        <item m="1" x="4257"/>
        <item m="1" x="4690"/>
        <item m="1" x="3863"/>
        <item m="1" x="4738"/>
        <item m="1" x="7154"/>
        <item m="1" x="5002"/>
        <item m="1" x="3668"/>
        <item m="1" x="3870"/>
        <item m="1" x="3476"/>
        <item m="1" x="3754"/>
        <item m="1" x="4802"/>
        <item m="1" x="5290"/>
        <item m="1" x="5504"/>
        <item m="1" x="7434"/>
        <item m="1" x="3929"/>
        <item m="1" x="2742"/>
        <item m="1" x="5817"/>
        <item m="1" x="2167"/>
        <item m="1" x="2433"/>
        <item m="1" x="2700"/>
        <item m="1" x="2960"/>
        <item m="1" x="2720"/>
        <item m="1" x="3770"/>
        <item m="1" x="3212"/>
        <item m="1" x="3554"/>
        <item m="1" x="4297"/>
        <item m="1" x="5836"/>
        <item m="1" x="6119"/>
        <item m="1" x="4296"/>
        <item m="1" x="4363"/>
        <item m="1" x="3069"/>
        <item m="1" x="3961"/>
        <item m="1" x="3246"/>
        <item m="1" x="5766"/>
        <item m="1" x="2014"/>
        <item m="1" x="6028"/>
        <item m="1" x="4573"/>
        <item m="1" x="1050"/>
        <item m="1" x="4309"/>
        <item m="1" x="6350"/>
        <item m="1" x="4559"/>
        <item m="1" x="4804"/>
        <item m="1" x="5026"/>
        <item m="1" x="5275"/>
        <item m="1" x="6910"/>
        <item m="1" x="7420"/>
        <item m="1" x="4353"/>
        <item m="1" x="3323"/>
        <item m="1" x="3720"/>
        <item m="1" x="467"/>
        <item m="1" x="6878"/>
        <item m="1" x="862"/>
        <item m="1" x="6522"/>
        <item m="1" x="6951"/>
        <item m="1" x="7429"/>
        <item m="1" x="4273"/>
        <item m="1" x="3211"/>
        <item m="1" x="3812"/>
        <item m="1" x="7471"/>
        <item m="1" x="3303"/>
        <item m="1" x="6372"/>
        <item m="1" x="5798"/>
        <item m="1" x="6095"/>
        <item m="1" x="6637"/>
        <item m="1" x="5577"/>
        <item m="1" x="1079"/>
        <item m="1" x="4365"/>
        <item m="1" x="6657"/>
        <item m="1" x="6931"/>
        <item m="1" x="4588"/>
        <item m="1" x="7926"/>
        <item m="1" x="4788"/>
        <item m="1" x="5837"/>
        <item m="1" x="6944"/>
        <item m="1" x="7205"/>
        <item m="1" x="7455"/>
        <item m="1" x="7671"/>
        <item m="1" x="5891"/>
        <item m="1" x="6162"/>
        <item m="1" x="7237"/>
        <item m="1" x="660"/>
        <item m="1" x="3511"/>
        <item m="1" x="6104"/>
        <item m="1" x="192"/>
        <item m="1" x="191"/>
        <item m="1" x="6021"/>
        <item m="1" x="4526"/>
        <item m="1" x="4758"/>
        <item m="1" x="1901"/>
        <item m="1" x="2184"/>
        <item m="1" x="3495"/>
        <item m="1" x="3889"/>
        <item m="1" x="2470"/>
        <item m="1" x="2721"/>
        <item m="1" x="3496"/>
        <item m="1" x="1927"/>
        <item m="1" x="2208"/>
        <item m="1" x="2743"/>
        <item m="1" x="2981"/>
        <item m="1" x="3247"/>
        <item m="1" x="3512"/>
        <item m="1" x="3902"/>
        <item m="1" x="2764"/>
        <item m="1" x="7130"/>
        <item m="1" x="302"/>
        <item m="1" x="4574"/>
        <item m="1" x="4816"/>
        <item m="1" x="5041"/>
        <item m="1" x="7446"/>
        <item m="1" x="3755"/>
        <item m="1" x="7218"/>
        <item m="1" x="2185"/>
        <item m="1" x="2486"/>
        <item m="1" x="2968"/>
        <item m="1" x="1687"/>
        <item m="1" x="2267"/>
        <item m="1" x="613"/>
        <item m="1" x="1538"/>
        <item m="1" x="5276"/>
        <item m="1" x="4382"/>
        <item m="1" x="4885"/>
        <item m="1" x="1217"/>
        <item m="1" x="1078"/>
        <item m="1" x="2651"/>
        <item m="1" x="2500"/>
        <item m="1" x="2366"/>
        <item m="1" x="1644"/>
        <item m="1" x="1766"/>
        <item m="1" x="2740"/>
        <item m="1" x="6135"/>
        <item m="1" x="6399"/>
        <item m="1" x="2977"/>
        <item m="1" x="4834"/>
        <item m="1" x="5316"/>
        <item m="1" x="5911"/>
        <item m="1" x="1089"/>
        <item m="1" x="4308"/>
        <item m="1" x="4524"/>
        <item m="1" x="3264"/>
        <item m="1" x="5054"/>
        <item m="1" x="2273"/>
        <item m="1" x="675"/>
        <item m="1" x="1142"/>
        <item m="1" x="1692"/>
        <item m="1" x="930"/>
        <item m="1" x="7989"/>
        <item m="1" x="7002"/>
        <item m="1" x="4880"/>
        <item m="1" x="4768"/>
        <item m="1" x="7908"/>
        <item m="1" x="2895"/>
        <item m="1" x="3364"/>
        <item m="1" x="6145"/>
        <item m="1" x="944"/>
        <item m="1" x="1748"/>
        <item m="1" x="452"/>
        <item m="1" x="7250"/>
        <item m="1" x="7384"/>
        <item m="1" x="1107"/>
        <item m="1" x="993"/>
        <item m="1" x="3735"/>
        <item m="1" x="721"/>
        <item m="1" x="1749"/>
        <item m="1" x="2024"/>
        <item m="1" x="2312"/>
        <item m="1" x="4095"/>
        <item m="1" x="1200"/>
        <item m="1" x="3784"/>
        <item m="1" x="1488"/>
        <item m="1" x="2427"/>
        <item m="1" x="6877"/>
        <item m="1" x="1322"/>
        <item m="1" x="5554"/>
        <item m="1" x="6358"/>
        <item m="1" x="5620"/>
        <item m="1" x="6945"/>
        <item m="1" x="6673"/>
        <item m="1" x="966"/>
        <item m="1" x="3585"/>
        <item m="1" x="7320"/>
        <item m="1" x="4392"/>
        <item m="1" x="7909"/>
        <item m="1" x="436"/>
        <item m="1" x="7045"/>
        <item m="1" x="7408"/>
        <item m="1" x="7856"/>
        <item m="1" x="254"/>
        <item m="1" x="435"/>
        <item m="1" x="4447"/>
        <item m="1" x="3193"/>
        <item m="1" x="4324"/>
        <item m="1" x="471"/>
        <item m="1" x="2608"/>
        <item m="1" x="1728"/>
        <item m="1" x="456"/>
        <item m="1" x="7474"/>
        <item m="1" x="7238"/>
        <item m="1" x="279"/>
        <item m="1" x="371"/>
        <item m="1" x="626"/>
        <item m="1" x="3688"/>
        <item m="1" x="4086"/>
        <item m="1" x="4766"/>
        <item m="1" x="945"/>
        <item m="1" x="2343"/>
        <item m="1" x="5867"/>
        <item m="1" x="722"/>
        <item m="1" x="7885"/>
        <item m="1" x="6748"/>
        <item m="1" x="6997"/>
        <item m="1" x="6560"/>
        <item m="1" x="2896"/>
        <item m="1" x="7206"/>
        <item m="1" x="5912"/>
        <item m="1" x="1105"/>
        <item m="1" x="891"/>
        <item m="1" x="6946"/>
        <item m="1" x="7723"/>
        <item m="1" x="7281"/>
        <item m="1" x="4872"/>
        <item m="1" x="518"/>
        <item m="1" x="3432"/>
        <item m="1" x="4425"/>
        <item m="1" x="7990"/>
        <item m="1" x="977"/>
        <item m="1" x="269"/>
        <item m="1" x="2901"/>
        <item m="1" x="6440"/>
        <item m="1" x="4895"/>
        <item m="1" x="6723"/>
        <item m="1" x="7724"/>
        <item m="1" x="2540"/>
        <item m="1" x="654"/>
        <item m="1" x="706"/>
        <item m="1" x="7300"/>
        <item m="1" x="1181"/>
        <item m="1" x="6567"/>
        <item m="1" x="7502"/>
        <item m="1" x="3879"/>
        <item m="1" x="4825"/>
        <item m="1" x="1518"/>
        <item m="1" x="3544"/>
        <item m="1" x="4071"/>
        <item m="1" x="2457"/>
        <item m="1" x="4170"/>
        <item m="1" x="2111"/>
        <item m="1" x="5381"/>
        <item m="1" x="5901"/>
        <item m="1" x="946"/>
        <item m="1" x="4982"/>
        <item m="1" x="4461"/>
        <item m="1" x="6724"/>
        <item m="1" x="2910"/>
        <item m="1" x="5934"/>
        <item m="1" x="547"/>
        <item m="1" x="762"/>
        <item m="1" x="4338"/>
        <item m="1" x="3304"/>
        <item m="1" x="5671"/>
        <item m="1" x="7035"/>
        <item m="1" x="6921"/>
        <item m="1" x="4245"/>
        <item m="1" x="1750"/>
        <item m="1" x="7756"/>
        <item m="1" x="484"/>
        <item m="1" x="684"/>
        <item m="1" x="472"/>
        <item m="1" x="6183"/>
        <item m="1" x="4003"/>
        <item m="1" x="4546"/>
        <item m="1" x="5307"/>
        <item m="1" x="6490"/>
        <item m="1" x="4481"/>
        <item m="1" x="749"/>
        <item m="1" x="3578"/>
        <item m="1" x="978"/>
        <item m="1" x="1238"/>
        <item m="1" x="4125"/>
        <item m="1" x="3446"/>
        <item m="1" x="4352"/>
        <item m="1" x="6998"/>
        <item m="1" x="2370"/>
        <item m="1" x="1523"/>
        <item m="1" x="7486"/>
        <item m="1" x="1140"/>
        <item m="1" x="997"/>
        <item m="1" x="7995"/>
        <item m="1" x="224"/>
        <item m="1" x="5933"/>
        <item m="1" x="5769"/>
        <item m="1" x="290"/>
        <item m="1" x="1820"/>
        <item m="1" x="7335"/>
        <item m="1" x="7506"/>
        <item m="1" x="7757"/>
        <item m="1" x="7991"/>
        <item m="1" x="2942"/>
        <item m="1" x="3170"/>
        <item m="1" x="3445"/>
        <item m="1" x="7789"/>
        <item m="1" x="750"/>
        <item m="1" x="303"/>
        <item m="1" x="6209"/>
        <item m="1" x="960"/>
        <item m="1" x="291"/>
        <item m="1" x="1942"/>
        <item m="1" x="2959"/>
        <item m="1" x="5082"/>
        <item m="1" x="5913"/>
        <item m="1" x="1786"/>
        <item m="1" x="763"/>
        <item m="1" x="723"/>
        <item m="1" x="1220"/>
        <item m="1" x="5935"/>
        <item m="1" x="5003"/>
        <item m="1" x="485"/>
        <item m="1" x="4936"/>
        <item m="1" x="663"/>
        <item m="1" x="6476"/>
        <item m="1" x="3753"/>
        <item m="1" x="4107"/>
        <item m="1" x="4720"/>
        <item m="1" x="4803"/>
        <item m="1" x="976"/>
        <item m="1" x="3799"/>
        <item m="1" x="6699"/>
        <item m="1" x="292"/>
        <item m="1" x="7318"/>
        <item m="1" x="3262"/>
        <item m="1" x="7555"/>
        <item m="1" x="2310"/>
        <item m="1" x="2400"/>
        <item m="1" x="2930"/>
        <item m="1" x="6592"/>
        <item m="1" x="1023"/>
        <item m="1" x="3634"/>
        <item m="1" x="1321"/>
        <item m="1" x="1048"/>
        <item m="1" x="2698"/>
        <item m="1" x="1444"/>
        <item m="1" x="322"/>
        <item m="1" x="1747"/>
        <item m="1" x="1611"/>
        <item m="1" x="1305"/>
        <item m="1" x="1163"/>
        <item m="1" x="2148"/>
        <item m="1" x="785"/>
        <item m="1" x="2041"/>
        <item m="1" x="1887"/>
        <item m="1" x="2874"/>
        <item m="1" x="2716"/>
        <item m="1" x="2327"/>
        <item m="1" x="1592"/>
        <item m="1" x="2875"/>
        <item m="1" x="2717"/>
        <item m="1" x="564"/>
        <item m="1" x="1038"/>
        <item m="1" x="3244"/>
        <item m="1" x="3108"/>
        <item m="1" x="1628"/>
        <item m="1" x="2328"/>
        <item m="1" x="2417"/>
        <item m="1" x="1300"/>
        <item m="1" x="6879"/>
        <item m="1" x="5150"/>
        <item m="1" x="548"/>
        <item m="1" x="2381"/>
        <item m="1" x="2493"/>
        <item m="1" x="519"/>
        <item m="1" x="764"/>
        <item m="1" x="7591"/>
        <item m="1" x="1039"/>
        <item m="1" x="4336"/>
        <item m="1" x="1852"/>
        <item m="1" x="2674"/>
        <item m="1" x="2142"/>
        <item m="1" x="1253"/>
        <item m="1" x="1271"/>
        <item m="1" x="1017"/>
        <item m="1" x="1654"/>
        <item m="1" x="1893"/>
        <item m="1" x="1378"/>
        <item m="1" x="2243"/>
        <item m="1" x="524"/>
        <item m="1" x="6604"/>
        <item m="1" x="7530"/>
        <item m="1" x="4049"/>
        <item m="1" x="6151"/>
        <item m="1" x="6231"/>
        <item m="1" x="535"/>
        <item m="1" x="2161"/>
        <item m="1" x="6848"/>
        <item m="1" x="987"/>
        <item m="1" x="5439"/>
        <item m="1" x="313"/>
        <item m="1" x="7571"/>
        <item m="1" x="2228"/>
        <item m="1" x="792"/>
        <item m="1" x="575"/>
        <item m="1" x="6838"/>
        <item m="1" x="4323"/>
        <item m="1" x="4364"/>
        <item m="1" x="3342"/>
        <item m="1" x="7061"/>
        <item m="1" x="6806"/>
        <item m="1" x="7014"/>
        <item m="1" x="579"/>
        <item m="1" x="689"/>
        <item m="1" x="2675"/>
        <item m="1" x="2162"/>
        <item m="1" x="3075"/>
        <item m="1" x="3472"/>
        <item m="1" x="5425"/>
        <item m="1" x="7846"/>
        <item m="1" x="6217"/>
        <item m="1" x="1422"/>
        <item m="1" x="5973"/>
        <item m="1" x="2423"/>
        <item m="1" x="1126"/>
        <item m="1" x="1389"/>
        <item m="1" x="3468"/>
        <item m="1" x="3201"/>
        <item m="1" x="2786"/>
        <item m="1" x="2344"/>
        <item m="1" x="6881"/>
        <item m="1" x="7145"/>
        <item m="1" x="7635"/>
        <item m="1" x="4150"/>
        <item m="1" x="5801"/>
        <item m="1" x="2732"/>
        <item m="1" x="2488"/>
        <item m="1" x="5539"/>
        <item m="1" x="2200"/>
        <item m="1" x="5819"/>
        <item m="1" x="1564"/>
        <item m="1" x="813"/>
        <item m="1" x="4818"/>
        <item m="1" x="5261"/>
        <item m="1" x="5506"/>
        <item m="1" x="6078"/>
        <item m="1" x="2477"/>
        <item m="1" x="497"/>
        <item m="1" x="3991"/>
        <item m="1" x="5800"/>
        <item m="1" x="1890"/>
        <item m="1" x="1081"/>
        <item m="1" x="1350"/>
        <item m="1" x="5601"/>
        <item m="1" x="156"/>
        <item m="1" x="1638"/>
        <item m="1" x="4124"/>
        <item m="1" x="1918"/>
        <item m="1" x="5201"/>
        <item m="1" x="6685"/>
        <item m="1" x="3738"/>
        <item m="1" x="3700"/>
        <item m="1" x="5018"/>
        <item m="1" x="1024"/>
        <item m="1" x="3286"/>
        <item m="1" x="6611"/>
        <item m="1" x="5055"/>
        <item m="1" x="5280"/>
        <item m="1" x="4806"/>
        <item m="1" x="1374"/>
        <item m="1" x="1646"/>
        <item m="1" x="2771"/>
        <item m="1" x="3234"/>
        <item m="1" x="4592"/>
        <item m="1" x="1363"/>
        <item m="1" x="6632"/>
        <item m="1" x="3004"/>
        <item m="1" x="2214"/>
        <item m="1" x="861"/>
        <item m="1" x="3800"/>
        <item m="1" x="1090"/>
        <item m="1" x="2507"/>
        <item m="1" x="1551"/>
        <item m="1" x="1932"/>
        <item m="1" x="5521"/>
        <item m="1" x="7653"/>
        <item m="1" x="3948"/>
        <item m="1" x="6962"/>
        <item m="1" x="4563"/>
        <item m="1" x="5045"/>
        <item m="1" x="2970"/>
        <item m="1" x="5842"/>
        <item m="1" x="3235"/>
        <item m="1" x="4343"/>
        <item m="1" x="4593"/>
        <item m="1" x="3252"/>
        <item m="1" x="3722"/>
        <item m="1" x="727"/>
        <item m="1" x="6516"/>
        <item m="1" x="1003"/>
        <item m="1" x="1349"/>
        <item m="1" x="1633"/>
        <item m="1" x="1889"/>
        <item m="1" x="2437"/>
        <item m="1" x="2704"/>
        <item m="1" x="3217"/>
        <item m="1" x="3482"/>
        <item m="1" x="3691"/>
        <item m="1" x="2705"/>
        <item m="1" x="4843"/>
        <item m="1" x="5291"/>
        <item m="1" x="5614"/>
        <item m="1" x="2661"/>
        <item m="1" x="5134"/>
        <item m="1" x="5882"/>
        <item m="1" x="1967"/>
        <item m="1" x="3949"/>
        <item m="1" x="4369"/>
        <item m="1" x="5843"/>
        <item m="1" x="3135"/>
        <item m="1" x="3326"/>
        <item m="1" x="4877"/>
        <item m="1" x="5573"/>
        <item m="1" x="5844"/>
        <item m="1" x="6670"/>
        <item m="1" x="3036"/>
        <item m="1" x="6915"/>
        <item m="1" x="1108"/>
        <item m="1" x="6105"/>
        <item m="1" x="5200"/>
        <item m="1" x="5574"/>
        <item m="1" x="5232"/>
        <item m="1" x="6122"/>
        <item m="1" x="6980"/>
        <item m="1" x="3682"/>
        <item m="1" x="2528"/>
        <item m="1" x="5638"/>
        <item m="1" x="1643"/>
        <item m="1" x="3022"/>
        <item m="1" x="568"/>
        <item m="1" x="4878"/>
        <item m="1" x="3744"/>
        <item m="1" x="4844"/>
        <item m="1" x="5043"/>
        <item m="1" x="4164"/>
        <item m="1" x="6701"/>
        <item m="1" x="6439"/>
        <item m="1" x="3057"/>
        <item m="1" x="4594"/>
        <item m="1" x="1768"/>
        <item m="1" x="7201"/>
        <item m="1" x="1575"/>
        <item m="1" x="7561"/>
        <item m="1" x="6382"/>
        <item m="1" x="6671"/>
        <item m="1" x="3545"/>
        <item m="1" x="5645"/>
        <item m="1" x="2542"/>
        <item m="1" x="4517"/>
        <item m="1" x="2817"/>
        <item m="1" x="4368"/>
        <item m="1" x="6938"/>
        <item m="1" x="3269"/>
        <item m="1" x="3746"/>
        <item m="1" x="3365"/>
        <item m="1" x="1989"/>
        <item m="1" x="3347"/>
        <item m="1" x="3327"/>
        <item m="1" x="6742"/>
        <item m="1" x="2274"/>
        <item m="1" x="4188"/>
        <item m="1" x="2772"/>
        <item m="1" x="3287"/>
        <item m="1" x="3077"/>
        <item m="1" x="4396"/>
        <item m="1" x="5575"/>
        <item m="1" x="3376"/>
        <item m="1" x="7096"/>
        <item m="1" x="7336"/>
        <item m="1" x="1420"/>
        <item m="1" x="4656"/>
        <item m="1" x="4828"/>
        <item m="1" x="5056"/>
        <item m="1" x="3023"/>
        <item m="1" x="5557"/>
        <item m="1" x="893"/>
        <item m="1" x="3310"/>
        <item m="1" x="1049"/>
        <item m="1" x="2841"/>
        <item m="1" x="3561"/>
        <item m="1" x="7039"/>
        <item m="1" x="4140"/>
        <item m="1" x="7663"/>
        <item m="1" x="6772"/>
        <item m="1" x="2313"/>
        <item m="1" x="4384"/>
        <item m="1" x="3785"/>
        <item m="1" x="3978"/>
        <item m="1" x="4201"/>
        <item m="1" x="4923"/>
        <item m="1" x="2788"/>
        <item m="1" x="4385"/>
        <item m="1" x="6255"/>
        <item m="1" x="1468"/>
        <item m="1" x="2978"/>
        <item m="1" x="2311"/>
        <item m="1" x="2803"/>
        <item m="1" x="2002"/>
        <item m="1" x="6719"/>
        <item m="1" x="4005"/>
        <item m="1" x="2004"/>
        <item m="1" x="5841"/>
        <item m="1" x="4189"/>
        <item m="1" x="4398"/>
        <item m="1" x="6835"/>
        <item m="1" x="6467"/>
        <item m="1" x="7248"/>
        <item m="1" x="5576"/>
        <item m="1" x="5845"/>
        <item m="1" x="3815"/>
        <item m="1" x="4395"/>
        <item m="1" x="2252"/>
        <item m="1" x="6383"/>
        <item m="1" x="4370"/>
        <item m="1" x="4577"/>
        <item m="1" x="5293"/>
        <item m="1" x="3328"/>
        <item m="1" x="3814"/>
        <item m="1" x="3950"/>
        <item m="1" x="2566"/>
        <item m="1" x="3366"/>
        <item m="1" x="3979"/>
        <item m="1" x="4239"/>
        <item m="1" x="4397"/>
        <item m="1" x="4613"/>
        <item m="1" x="4845"/>
        <item m="1" x="5070"/>
        <item m="1" x="3635"/>
        <item m="1" x="3801"/>
        <item m="1" x="3992"/>
        <item m="1" x="4410"/>
        <item m="1" x="4685"/>
        <item m="1" x="1463"/>
        <item m="1" x="1808"/>
        <item m="1" x="3329"/>
        <item m="1" x="3756"/>
        <item m="1" x="4227"/>
        <item m="1" x="6140"/>
        <item m="1" x="3745"/>
        <item m="1" x="3580"/>
        <item m="1" x="6702"/>
        <item m="1" x="7702"/>
        <item m="1" x="2003"/>
        <item m="1" x="3078"/>
        <item m="1" x="4214"/>
        <item m="1" x="2855"/>
        <item m="1" x="5632"/>
        <item m="1" x="1061"/>
        <item m="1" x="3401"/>
        <item m="1" x="5344"/>
        <item m="1" x="4626"/>
        <item m="1" x="6468"/>
        <item m="1" x="3076"/>
        <item m="1" x="4187"/>
        <item m="1" x="5863"/>
        <item m="1" x="3129"/>
        <item m="1" x="5820"/>
        <item m="1" x="4627"/>
        <item m="1" x="4858"/>
        <item m="1" x="5311"/>
        <item m="1" x="5556"/>
        <item m="1" x="1968"/>
        <item m="1" x="4595"/>
        <item m="1" x="3094"/>
        <item m="1" x="4628"/>
        <item m="1" x="4859"/>
        <item m="1" x="5087"/>
        <item m="1" x="5312"/>
        <item m="1" x="2025"/>
        <item m="1" x="5679"/>
        <item m="1" x="2588"/>
        <item m="1" x="7066"/>
        <item m="1" x="2574"/>
        <item m="1" x="2763"/>
        <item m="1" x="3521"/>
        <item m="1" x="3109"/>
        <item m="1" x="4213"/>
        <item m="1" x="6857"/>
        <item m="1" x="2043"/>
        <item m="1" x="4640"/>
        <item m="1" x="5886"/>
        <item m="1" x="6159"/>
        <item m="1" x="5162"/>
        <item m="1" x="7859"/>
        <item m="1" x="1709"/>
        <item m="1" x="2911"/>
        <item m="1" x="5884"/>
        <item m="1" x="2329"/>
        <item m="1" x="3130"/>
        <item m="1" x="1988"/>
        <item m="1" x="4216"/>
        <item m="1" x="5684"/>
        <item m="1" x="4228"/>
        <item m="1" x="5596"/>
        <item m="1" x="598"/>
        <item m="1" x="3772"/>
        <item m="1" x="3786"/>
        <item m="1" x="7659"/>
        <item m="1" x="7893"/>
        <item m="1" x="385"/>
        <item m="1" x="1206"/>
        <item m="1" x="6561"/>
        <item m="1" x="1037"/>
        <item m="1" x="1390"/>
        <item m="1" x="1931"/>
        <item m="1" x="2476"/>
        <item m="1" x="2751"/>
        <item m="1" x="2543"/>
        <item m="1" x="4842"/>
        <item m="1" x="2621"/>
        <item m="1" x="2077"/>
        <item m="1" x="7921"/>
        <item m="1" x="5327"/>
        <item m="1" x="4054"/>
        <item m="1" x="6743"/>
        <item m="1" x="4411"/>
        <item m="1" x="5175"/>
        <item m="1" x="186"/>
        <item m="1" x="2999"/>
        <item m="1" x="6483"/>
        <item m="1" x="5069"/>
        <item m="1" x="7264"/>
        <item m="1" x="4427"/>
        <item m="1" x="5540"/>
        <item m="1" x="6574"/>
        <item m="1" x="7009"/>
        <item m="1" x="5968"/>
        <item m="1" x="5262"/>
        <item m="1" x="4241"/>
        <item m="1" x="4642"/>
        <item m="1" x="6044"/>
        <item m="1" x="4657"/>
        <item m="1" x="7540"/>
        <item m="1" x="7025"/>
        <item m="1" x="2623"/>
        <item m="1" x="4890"/>
        <item m="1" x="5395"/>
        <item m="1" x="5948"/>
        <item m="1" x="6524"/>
        <item m="1" x="6261"/>
        <item m="1" x="7768"/>
        <item m="1" x="6502"/>
        <item m="1" x="3636"/>
        <item m="1" x="2680"/>
        <item m="1" x="7592"/>
        <item m="1" x="6452"/>
        <item m="1" x="6700"/>
        <item m="1" x="6860"/>
        <item m="1" x="6298"/>
        <item m="1" x="961"/>
        <item m="1" x="4716"/>
        <item m="1" x="5664"/>
        <item m="1" x="6158"/>
        <item m="1" x="2098"/>
        <item m="1" x="2078"/>
        <item m="1" x="3131"/>
        <item m="1" x="4006"/>
        <item m="1" x="3831"/>
        <item m="1" x="6243"/>
        <item m="1" x="1519"/>
        <item m="1" x="6540"/>
        <item m="1" x="3637"/>
        <item m="1" x="6773"/>
        <item m="1" x="7824"/>
        <item m="1" x="4467"/>
        <item m="1" x="5666"/>
        <item m="1" x="5156"/>
        <item m="1" x="4242"/>
        <item m="1" x="1221"/>
        <item m="1" x="7128"/>
        <item m="1" x="7812"/>
        <item m="1" x="4715"/>
        <item m="1" x="4889"/>
        <item m="1" x="5120"/>
        <item m="1" x="6504"/>
        <item m="1" x="4950"/>
        <item m="1" x="3196"/>
        <item m="1" x="3477"/>
        <item m="1" x="540"/>
        <item m="1" x="4726"/>
        <item m="1" x="7542"/>
        <item m="1" x="4971"/>
        <item m="1" x="7053"/>
        <item m="1" x="306"/>
        <item m="1" x="148"/>
        <item m="1" x="7081"/>
        <item m="1" x="7512"/>
        <item m="1" x="2114"/>
        <item m="1" x="3213"/>
        <item m="1" x="7321"/>
        <item m="1" x="6283"/>
        <item m="1" x="208"/>
        <item m="1" x="994"/>
        <item m="1" x="162"/>
        <item m="1" x="582"/>
        <item m="1" x="4460"/>
        <item m="1" x="359"/>
        <item m="1" x="5187"/>
        <item m="1" x="1324"/>
        <item m="1" x="2097"/>
        <item m="1" x="1027"/>
        <item m="1" x="4551"/>
        <item m="1" x="6016"/>
        <item m="1" x="6269"/>
        <item m="1" x="1278"/>
        <item m="1" x="5883"/>
        <item m="1" x="7913"/>
        <item m="1" x="4215"/>
        <item m="1" x="3171"/>
        <item m="1" x="4269"/>
        <item m="1" x="6886"/>
        <item m="1" x="6545"/>
        <item m="1" x="5931"/>
        <item m="1" x="7754"/>
        <item m="1" x="4908"/>
        <item m="1" x="161"/>
        <item m="1" x="7181"/>
        <item m="1" x="3176"/>
        <item m="1" x="818"/>
        <item m="1" x="1062"/>
        <item m="1" x="1323"/>
        <item m="1" x="1902"/>
        <item m="1" x="2149"/>
        <item m="1" x="2947"/>
        <item m="1" x="2471"/>
        <item m="1" x="1608"/>
        <item m="1" x="7040"/>
        <item m="1" x="7562"/>
        <item m="1" x="6206"/>
        <item m="1" x="5421"/>
        <item m="1" x="1026"/>
        <item m="1" x="1578"/>
        <item m="1" x="358"/>
        <item m="1" x="2701"/>
        <item m="1" x="7358"/>
        <item m="1" x="1012"/>
        <item m="1" x="5416"/>
        <item m="1" x="4442"/>
        <item m="1" x="7026"/>
        <item m="1" x="7316"/>
        <item m="1" x="7019"/>
        <item m="1" x="5167"/>
        <item m="1" x="7577"/>
        <item m="1" x="2664"/>
        <item m="1" x="3019"/>
        <item m="1" x="7543"/>
        <item m="1" x="7817"/>
        <item m="1" x="1858"/>
        <item m="1" x="5928"/>
        <item m="1" x="819"/>
        <item m="1" x="6781"/>
        <item m="1" x="1419"/>
        <item m="1" x="1966"/>
        <item m="1" x="2506"/>
        <item m="1" x="2787"/>
        <item m="1" x="5885"/>
        <item m="1" x="2589"/>
        <item m="1" x="5168"/>
        <item m="1" x="6260"/>
        <item m="1" x="1018"/>
        <item m="1" x="1369"/>
        <item m="1" x="2676"/>
        <item m="1" x="985"/>
        <item m="1" x="6864"/>
        <item m="1" x="1011"/>
        <item m="1" x="7877"/>
        <item m="1" x="7265"/>
        <item m="1" x="6987"/>
        <item m="1" x="1946"/>
        <item m="1" x="1579"/>
        <item m="1" x="5188"/>
        <item m="1" x="1630"/>
        <item m="1" x="7860"/>
        <item m="1" x="895"/>
        <item m="1" x="1383"/>
        <item m="1" x="3711"/>
        <item m="1" x="5633"/>
        <item m="1" x="5967"/>
        <item m="1" x="7067"/>
        <item m="1" x="1962"/>
        <item m="1" x="2472"/>
        <item m="1" x="132"/>
        <item m="1" x="7113"/>
        <item m="1" x="365"/>
        <item m="1" x="5292"/>
        <item m="1" x="4271"/>
        <item m="1" x="6809"/>
        <item m="1" x="2782"/>
        <item m="1" x="1522"/>
        <item m="1" x="2168"/>
        <item m="1" x="6311"/>
        <item m="1" x="346"/>
        <item m="1" x="6579"/>
        <item m="1" x="1455"/>
        <item m="1" x="5665"/>
        <item m="1" x="7100"/>
        <item m="1" x="4293"/>
        <item m="1" x="6586"/>
        <item m="1" x="655"/>
        <item m="1" x="7878"/>
        <item m="1" x="1398"/>
        <item m="1" x="7818"/>
        <item m="1" x="3694"/>
        <item m="1" x="147"/>
        <item m="1" x="6482"/>
        <item m="1" x="2150"/>
        <item m="1" x="3000"/>
        <item m="1" x="3197"/>
        <item m="1" x="6865"/>
        <item m="1" x="5497"/>
        <item m="1" x="7578"/>
        <item m="1" x="6598"/>
        <item m="1" x="7054"/>
        <item m="1" x="5726"/>
        <item m="1" x="5693"/>
        <item m="1" x="6054"/>
        <item m="1" x="3663"/>
        <item m="1" x="5840"/>
        <item m="1" x="3056"/>
        <item m="1" x="7183"/>
        <item m="1" x="6065"/>
        <item m="1" x="5734"/>
        <item m="1" x="6284"/>
        <item m="1" x="6824"/>
        <item m="1" x="7082"/>
        <item m="1" x="7651"/>
        <item m="1" x="2012"/>
        <item m="1" x="2606"/>
        <item m="1" x="2832"/>
        <item m="1" x="3142"/>
        <item m="1" x="3413"/>
        <item m="1" x="3597"/>
        <item m="1" x="3795"/>
        <item m="1" x="4860"/>
        <item m="1" x="3208"/>
        <item m="1" x="690"/>
        <item m="1" x="1435"/>
        <item m="1" x="149"/>
        <item m="1" x="7636"/>
        <item m="1" x="571"/>
        <item m="1" x="3977"/>
        <item m="1" x="7739"/>
        <item m="1" x="7607"/>
        <item m="1" x="747"/>
        <item m="1" x="615"/>
        <item m="1" x="483"/>
        <item m="1" x="267"/>
        <item m="1" x="1767"/>
        <item m="1" x="569"/>
        <item m="1" x="1482"/>
        <item m="1" x="345"/>
        <item m="1" x="1785"/>
        <item m="1" x="502"/>
        <item m="1" x="748"/>
        <item m="1" x="503"/>
        <item m="1" x="287"/>
        <item m="1" x="181"/>
        <item m="1" x="7740"/>
        <item m="1" x="4959"/>
        <item m="1" x="5151"/>
        <item m="1" x="6547"/>
        <item m="1" x="526"/>
        <item m="1" x="1415"/>
        <item m="1" x="7098"/>
        <item m="1" x="4981"/>
        <item m="1" x="5086"/>
        <item m="1" x="1495"/>
        <item m="1" x="7189"/>
        <item m="1" x="124"/>
        <item m="1" x="6913"/>
        <item m="1" x="7182"/>
        <item m="1" x="6894"/>
        <item m="1" x="7784"/>
        <item m="1" x="6630"/>
        <item m="1" x="7700"/>
        <item m="1" x="3632"/>
        <item m="1" x="6612"/>
        <item m="1" x="6866"/>
        <item m="1" x="7397"/>
        <item m="1" x="7608"/>
        <item m="1" x="163"/>
        <item m="1" x="3265"/>
        <item m="1" x="776"/>
        <item m="1" x="1370"/>
        <item m="1" x="1118"/>
        <item m="1" x="601"/>
        <item m="1" x="1929"/>
        <item m="1" x="871"/>
        <item m="1" x="1159"/>
        <item m="1" x="2744"/>
        <item m="1" x="1981"/>
        <item m="1" x="2487"/>
        <item m="1" x="1928"/>
        <item m="1" x="2982"/>
        <item m="1" x="3283"/>
        <item m="1" x="5219"/>
        <item m="1" x="5735"/>
        <item m="1" x="6029"/>
        <item m="1" x="6562"/>
        <item m="1" x="5507"/>
        <item m="1" x="5748"/>
        <item m="1" x="5802"/>
        <item m="1" x="7593"/>
        <item m="1" x="7146"/>
        <item m="1" x="375"/>
        <item m="1" x="1343"/>
        <item m="1" x="870"/>
        <item m="1" x="1119"/>
        <item m="1" x="2186"/>
        <item m="1" x="392"/>
        <item m="1" x="639"/>
        <item m="1" x="2434"/>
        <item m="1" x="2702"/>
        <item m="1" x="6295"/>
        <item m="1" x="5759"/>
        <item m="1" x="2247"/>
        <item m="1" x="1399"/>
        <item m="1" x="5965"/>
        <item m="1" x="4240"/>
        <item m="1" x="5929"/>
        <item m="1" x="6624"/>
        <item m="1" x="3001"/>
        <item m="1" x="6851"/>
        <item m="1" x="6321"/>
        <item m="1" x="6304"/>
        <item m="1" x="5675"/>
        <item m="1" x="7575"/>
        <item m="1" x="3743"/>
        <item m="1" x="6517"/>
        <item m="1" x="1342"/>
        <item m="1" x="827"/>
        <item m="1" x="2713"/>
        <item m="1" x="3096"/>
        <item m="1" x="4714"/>
        <item m="1" x="6015"/>
        <item m="1" x="6495"/>
        <item m="1" x="1416"/>
        <item m="1" x="3706"/>
        <item m="1" x="4319"/>
        <item m="1" x="7416"/>
        <item m="1" x="6007"/>
        <item m="1" x="7594"/>
        <item m="1" x="5202"/>
        <item m="1" x="2112"/>
        <item m="1" x="6530"/>
        <item m="1" x="5966"/>
        <item m="1" x="854"/>
        <item m="1" x="7114"/>
        <item m="1" x="617"/>
        <item m="1" x="7101"/>
        <item m="1" x="168"/>
        <item m="1" x="2342"/>
        <item m="1" x="1462"/>
        <item m="1" x="2001"/>
        <item m="1" x="2541"/>
        <item m="1" x="2816"/>
        <item m="1" x="5930"/>
        <item m="1" x="2622"/>
        <item m="1" x="570"/>
        <item m="1" x="131"/>
        <item m="1" x="1539"/>
        <item m="1" x="4009"/>
        <item m="1" x="6043"/>
        <item m="1" x="1265"/>
        <item m="1" x="6331"/>
        <item m="1" x="656"/>
        <item m="1" x="1234"/>
        <item m="1" x="203"/>
        <item m="1" x="855"/>
        <item m="1" x="5329"/>
        <item m="1" x="4294"/>
        <item m="1" x="237"/>
        <item m="1" x="5005"/>
        <item m="1" x="4486"/>
        <item m="1" x="1660"/>
        <item m="1" x="7131"/>
        <item m="1" x="4807"/>
        <item m="1" x="5553"/>
        <item m="1" x="6023"/>
        <item m="1" x="6661"/>
        <item m="1" x="691"/>
        <item m="1" x="1298"/>
        <item m="1" x="7398"/>
        <item m="1" x="2233"/>
        <item m="1" x="6800"/>
        <item m="1" x="2765"/>
        <item m="1" x="1175"/>
        <item m="1" x="5783"/>
        <item m="1" x="6293"/>
        <item m="1" x="6523"/>
        <item m="1" x="5343"/>
        <item m="1" x="6884"/>
        <item m="1" x="7654"/>
        <item m="1" x="5770"/>
        <item m="1" x="1009"/>
        <item m="1" x="6613"/>
        <item m="1" x="7422"/>
        <item m="1" x="6106"/>
        <item m="1" x="3936"/>
        <item m="1" x="376"/>
        <item m="1" x="7637"/>
        <item m="1" x="1384"/>
        <item m="1" x="4755"/>
        <item m="1" x="5010"/>
        <item m="1" x="6587"/>
        <item m="1" x="556"/>
        <item m="1" x="1456"/>
        <item m="1" x="182"/>
        <item m="1" x="2473"/>
        <item m="1" x="1437"/>
        <item m="1" x="856"/>
        <item m="1" x="4641"/>
        <item m="1" x="640"/>
        <item m="1" x="5707"/>
        <item m="1" x="2783"/>
        <item m="1" x="1120"/>
        <item m="1" x="2518"/>
        <item m="1" x="7386"/>
        <item m="1" x="3033"/>
        <item m="1" x="3555"/>
        <item m="1" x="6079"/>
        <item m="1" x="5803"/>
        <item m="1" x="1697"/>
        <item m="1" x="2102"/>
        <item m="1" x="3305"/>
        <item m="1" x="5595"/>
        <item m="1" x="990"/>
        <item m="1" x="5904"/>
        <item m="1" x="703"/>
        <item m="1" x="6614"/>
        <item m="1" x="7102"/>
        <item m="1" x="5249"/>
        <item m="1" x="7450"/>
        <item m="1" x="4270"/>
        <item m="1" x="419"/>
        <item m="1" x="384"/>
        <item m="1" x="7170"/>
        <item m="1" x="6073"/>
        <item m="1" x="4302"/>
        <item m="1" x="3070"/>
        <item m="1" x="7483"/>
        <item m="1" x="5263"/>
        <item m="1" x="3053"/>
        <item m="1" x="614"/>
        <item m="1" x="618"/>
        <item m="1" x="3719"/>
        <item m="1" x="5825"/>
        <item m="1" x="4754"/>
        <item m="1" x="5222"/>
        <item m="1" x="1332"/>
        <item m="1" x="2812"/>
        <item m="1" x="6916"/>
        <item m="1" x="6384"/>
        <item m="1" x="1436"/>
        <item m="1" x="1704"/>
        <item m="1" x="1982"/>
        <item m="1" x="1819"/>
        <item m="1" x="3733"/>
        <item m="1" x="6633"/>
        <item m="1" x="7147"/>
        <item m="1" x="6695"/>
        <item m="1" x="366"/>
        <item m="1" x="5248"/>
        <item m="1" x="1406"/>
        <item m="1" x="2022"/>
        <item m="1" x="1457"/>
        <item m="1" x="3421"/>
        <item m="1" x="1501"/>
        <item m="1" x="2042"/>
        <item m="1" x="2587"/>
        <item m="1" x="2652"/>
        <item m="1" x="600"/>
        <item m="1" x="4846"/>
        <item m="1" x="5071"/>
        <item m="1" x="4829"/>
        <item m="1" x="5804"/>
        <item m="1" x="6882"/>
        <item m="1" x="5057"/>
        <item m="1" x="5313"/>
        <item m="1" x="1705"/>
        <item m="1" x="7957"/>
        <item m="1" x="249"/>
        <item m="1" x="468"/>
        <item m="1" x="7904"/>
        <item m="1" x="1121"/>
        <item m="1" x="420"/>
        <item m="1" x="5969"/>
        <item m="1" x="2036"/>
        <item m="1" x="7655"/>
        <item m="1" x="7184"/>
        <item m="1" x="7886"/>
        <item m="1" x="704"/>
        <item m="1" x="1176"/>
        <item m="1" x="1458"/>
        <item m="1" x="2558"/>
        <item m="1" x="657"/>
        <item m="1" x="2869"/>
        <item m="1" x="2526"/>
        <item m="1" x="7451"/>
        <item m="1" x="1661"/>
        <item m="1" x="481"/>
        <item m="1" x="1803"/>
        <item m="1" x="1947"/>
        <item m="1" x="3360"/>
        <item m="1" x="2269"/>
        <item m="1" x="2581"/>
        <item m="1" x="3343"/>
        <item m="1" x="701"/>
        <item m="1" x="5541"/>
        <item m="1" x="6402"/>
        <item m="1" x="6651"/>
        <item m="1" x="286"/>
        <item m="1" x="670"/>
        <item m="1" x="7329"/>
        <item m="1" x="973"/>
        <item m="1" x="1193"/>
        <item m="1" x="7519"/>
        <item m="1" x="7769"/>
        <item m="1" x="7163"/>
        <item m="1" x="7423"/>
        <item m="1" x="6939"/>
        <item m="1" x="7665"/>
        <item m="1" x="453"/>
        <item m="1" x="5264"/>
        <item m="1" x="268"/>
        <item m="1" x="6091"/>
        <item m="1" x="5522"/>
        <item m="1" x="6593"/>
        <item m="1" x="6861"/>
        <item m="1" x="7664"/>
        <item m="1" x="5905"/>
        <item m="1" x="804"/>
        <item m="1" x="746"/>
        <item m="1" x="658"/>
        <item m="1" x="1831"/>
        <item m="1" x="6417"/>
        <item m="1" x="6704"/>
        <item m="1" x="1983"/>
        <item m="1" x="6327"/>
        <item m="1" x="205"/>
        <item m="1" x="671"/>
        <item m="1" x="6318"/>
        <item m="1" x="5377"/>
        <item m="1" x="6385"/>
        <item m="1" x="5847"/>
        <item m="1" x="6917"/>
        <item m="1" x="1479"/>
        <item m="1" x="5345"/>
        <item m="1" x="406"/>
        <item m="1" x="7972"/>
        <item m="1" x="2833"/>
        <item m="1" x="886"/>
        <item m="1" x="2559"/>
        <item m="1" x="958"/>
        <item m="1" x="2306"/>
        <item m="1" x="6760"/>
        <item m="1" x="2109"/>
        <item m="1" x="165"/>
        <item m="1" x="692"/>
        <item m="1" x="3414"/>
        <item m="1" x="2037"/>
        <item m="1" x="4416"/>
        <item m="1" x="777"/>
        <item m="1" x="1867"/>
        <item m="1" x="6896"/>
        <item m="1" x="6745"/>
        <item m="1" x="1497"/>
        <item m="1" x="1734"/>
        <item m="1" x="6652"/>
        <item m="1" x="6625"/>
        <item m="1" x="581"/>
        <item m="1" x="1496"/>
        <item m="1" x="204"/>
        <item m="1" x="1177"/>
        <item m="1" x="6634"/>
        <item m="1" x="6042"/>
        <item m="1" x="6918"/>
        <item m="1" x="3043"/>
        <item m="1" x="405"/>
        <item m="1" x="857"/>
        <item m="1" x="3574"/>
        <item m="1" x="2511"/>
        <item m="1" x="289"/>
        <item m="1" x="469"/>
        <item m="1" x="2502"/>
        <item m="1" x="2699"/>
        <item m="1" x="4512"/>
        <item m="1" x="3914"/>
        <item m="1" x="1743"/>
        <item m="1" x="4286"/>
        <item m="1" x="5892"/>
        <item m="1" x="6163"/>
        <item m="1" x="4012"/>
        <item m="1" x="4911"/>
        <item m="1" x="7687"/>
        <item m="1" x="4366"/>
        <item m="1" x="5349"/>
        <item m="1" x="1937"/>
        <item m="1" x="5651"/>
        <item m="1" x="2357"/>
        <item m="1" x="433"/>
        <item m="1" x="2305"/>
        <item m="1" x="7728"/>
        <item m="1" x="2549"/>
        <item m="1" x="3566"/>
        <item m="1" x="3760"/>
        <item m="1" x="3955"/>
        <item m="1" x="3583"/>
        <item m="1" x="3969"/>
        <item m="1" x="4179"/>
        <item m="1" x="4389"/>
        <item m="1" x="2861"/>
        <item m="1" x="3605"/>
        <item m="1" x="5846"/>
        <item m="1" x="7036"/>
        <item m="1" x="4450"/>
        <item m="1" x="4962"/>
        <item m="1" x="5597"/>
        <item m="1" x="7936"/>
        <item m="1" x="5650"/>
        <item m="1" x="3848"/>
        <item m="1" x="6251"/>
        <item m="1" x="2913"/>
        <item m="1" x="2137"/>
        <item m="1" x="7484"/>
        <item m="1" x="4057"/>
        <item m="1" x="967"/>
        <item m="1" x="500"/>
        <item m="1" x="1974"/>
        <item m="1" x="2407"/>
        <item m="1" x="7078"/>
        <item m="1" x="1525"/>
        <item m="1" x="3136"/>
        <item m="1" x="1225"/>
        <item m="1" x="7359"/>
        <item m="1" x="5294"/>
        <item m="1" x="4275"/>
        <item m="1" x="4535"/>
        <item m="1" x="4801"/>
        <item m="1" x="1515"/>
        <item m="1" x="5378"/>
        <item m="1" x="7713"/>
        <item m="1" x="5686"/>
        <item m="1" x="2644"/>
        <item m="1" x="3152"/>
        <item m="1" x="3423"/>
        <item m="1" x="5687"/>
        <item m="1" x="7470"/>
        <item m="1" x="1226"/>
        <item m="1" x="6703"/>
        <item m="1" x="6454"/>
        <item m="1" x="4261"/>
        <item m="1" x="4310"/>
        <item m="1" x="5440"/>
        <item m="1" x="6575"/>
        <item m="1" x="6820"/>
        <item m="1" x="3855"/>
        <item m="1" x="3437"/>
        <item m="1" x="5725"/>
        <item m="1" x="6364"/>
        <item m="1" x="6416"/>
        <item m="1" x="4276"/>
        <item m="1" x="6963"/>
        <item m="1" x="5797"/>
        <item m="1" x="1781"/>
        <item m="1" x="6783"/>
        <item m="1" x="2174"/>
        <item m="1" x="3640"/>
        <item m="1" x="3678"/>
        <item m="1" x="3137"/>
        <item m="1" x="4723"/>
        <item m="1" x="5441"/>
        <item m="1" x="3620"/>
        <item m="1" x="616"/>
        <item m="1" x="1534"/>
        <item m="1" x="235"/>
        <item m="1" x="1250"/>
        <item m="1" x="4912"/>
        <item m="1" x="6267"/>
        <item m="1" x="6024"/>
        <item m="1" x="3161"/>
        <item m="1" x="4964"/>
        <item m="1" x="4491"/>
        <item m="1" x="2630"/>
        <item m="1" x="5936"/>
        <item m="1" x="7556"/>
        <item m="1" x="7047"/>
        <item m="1" x="5215"/>
        <item m="1" x="998"/>
        <item m="1" x="7552"/>
        <item m="1" x="2115"/>
        <item m="1" x="1241"/>
        <item m="1" x="769"/>
        <item m="1" x="1826"/>
        <item m="1" x="2409"/>
        <item m="1" x="4963"/>
        <item m="1" x="3153"/>
        <item m="1" x="6532"/>
        <item m="1" x="6807"/>
        <item m="1" x="7062"/>
        <item m="1" x="4740"/>
        <item m="1" x="6744"/>
        <item m="1" x="6964"/>
        <item m="1" x="2064"/>
        <item m="1" x="4759"/>
        <item m="1" x="1903"/>
        <item m="1" x="5709"/>
        <item m="1" x="2665"/>
        <item m="1" x="885"/>
        <item m="1" x="4096"/>
        <item m="1" x="5180"/>
        <item m="1" x="4741"/>
        <item m="1" x="6909"/>
        <item m="1" x="4311"/>
        <item m="1" x="4527"/>
        <item m="1" x="4760"/>
        <item m="1" x="5198"/>
        <item m="1" x="3695"/>
        <item m="1" x="3669"/>
        <item m="1" x="5688"/>
        <item m="1" x="3641"/>
        <item m="1" x="4742"/>
        <item m="1" x="4393"/>
        <item m="1" x="5731"/>
        <item m="1" x="6533"/>
        <item m="1" x="7442"/>
        <item m="1" x="2015"/>
        <item m="1" x="6526"/>
        <item m="1" x="7110"/>
        <item m="1" x="2722"/>
        <item m="1" x="6849"/>
        <item m="1" x="7765"/>
        <item m="1" x="7929"/>
        <item m="1" x="412"/>
        <item m="1" x="638"/>
        <item m="1" x="2629"/>
        <item m="1" x="3589"/>
        <item m="1" x="3790"/>
        <item m="1" x="3983"/>
        <item m="1" x="3604"/>
        <item m="1" x="3996"/>
        <item m="1" x="4205"/>
        <item m="1" x="4417"/>
        <item m="1" x="2902"/>
        <item m="1" x="2374"/>
        <item m="1" x="4126"/>
        <item m="1" x="4983"/>
        <item m="1" x="7917"/>
        <item m="1" x="1552"/>
        <item m="1" x="1817"/>
        <item m="1" x="4339"/>
        <item m="1" x="1565"/>
        <item m="1" x="3178"/>
        <item m="1" x="2688"/>
        <item m="1" x="2151"/>
        <item m="1" x="3231"/>
        <item m="1" x="2261"/>
        <item m="1" x="6048"/>
        <item m="1" x="5710"/>
        <item m="1" x="2103"/>
        <item m="1" x="6060"/>
        <item m="1" x="2800"/>
        <item m="1" x="4326"/>
        <item m="1" x="5460"/>
        <item m="1" x="4109"/>
        <item m="1" x="6278"/>
        <item m="1" x="6351"/>
        <item m="1" x="5330"/>
        <item m="1" x="4298"/>
        <item m="1" x="905"/>
        <item m="1" x="2983"/>
        <item m="1" x="6049"/>
        <item m="1" x="3891"/>
        <item m="1" x="7111"/>
        <item m="1" x="6569"/>
        <item m="1" x="7142"/>
        <item m="1" x="4088"/>
        <item m="1" x="2969"/>
        <item m="1" x="3542"/>
        <item m="1" x="3939"/>
        <item m="1" x="3890"/>
        <item m="1" x="2384"/>
        <item m="1" x="5757"/>
        <item m="1" x="6392"/>
        <item m="1" x="5406"/>
        <item m="1" x="6453"/>
        <item m="1" x="6556"/>
        <item m="1" x="3856"/>
        <item m="1" x="4058"/>
        <item m="1" x="2453"/>
        <item m="1" x="2948"/>
        <item m="1" x="4074"/>
        <item m="1" x="4277"/>
        <item m="1" x="4492"/>
        <item m="1" x="5181"/>
        <item m="1" x="5426"/>
        <item m="1" x="3930"/>
        <item m="1" x="1028"/>
        <item m="1" x="1293"/>
        <item m="1" x="1580"/>
        <item m="1" x="1843"/>
        <item m="1" x="2116"/>
        <item m="1" x="2657"/>
        <item m="1" x="2925"/>
        <item m="1" x="1308"/>
        <item m="1" x="1631"/>
        <item m="1" x="1859"/>
        <item m="1" x="2127"/>
        <item m="1" x="4287"/>
        <item m="1" x="4504"/>
        <item m="1" x="3232"/>
        <item m="1" x="3513"/>
        <item m="1" x="6992"/>
        <item m="1" x="5505"/>
        <item m="1" x="6850"/>
        <item m="1" x="1850"/>
        <item m="1" x="6596"/>
        <item m="1" x="3670"/>
        <item m="1" x="3450"/>
        <item m="1" x="4312"/>
        <item m="1" x="7902"/>
        <item m="1" x="7785"/>
        <item m="1" x="4340"/>
        <item m="1" x="2295"/>
        <item m="1" x="6328"/>
        <item m="1" x="2187"/>
        <item m="1" x="5258"/>
        <item m="1" x="3696"/>
        <item m="1" x="7602"/>
        <item m="1" x="2128"/>
        <item m="1" x="2666"/>
        <item m="1" x="1860"/>
        <item m="1" x="285"/>
        <item m="1" x="1285"/>
        <item m="1" x="4948"/>
        <item m="1" x="7112"/>
        <item m="1" x="4151"/>
        <item m="1" x="4089"/>
        <item m="1" x="4537"/>
        <item m="1" x="5781"/>
        <item m="1" x="3466"/>
        <item m="1" x="2169"/>
        <item m="1" x="875"/>
        <item m="1" x="1881"/>
        <item m="1" x="5013"/>
        <item m="1" x="1400"/>
        <item m="1" x="7178"/>
        <item m="1" x="7619"/>
        <item m="1" x="4327"/>
        <item m="1" x="4149"/>
        <item m="1" x="1407"/>
        <item m="1" x="3249"/>
        <item m="1" x="5407"/>
        <item m="1" x="1914"/>
        <item m="1" x="3734"/>
        <item m="1" x="5199"/>
        <item m="1" x="3478"/>
        <item m="1" x="3903"/>
        <item m="1" x="4984"/>
        <item m="1" x="5182"/>
        <item m="1" x="5427"/>
        <item m="1" x="3514"/>
        <item m="1" x="3177"/>
        <item m="1" x="4394"/>
        <item m="1" x="4575"/>
        <item m="1" x="6993"/>
        <item m="1" x="6640"/>
        <item m="1" x="7219"/>
        <item m="1" x="2209"/>
        <item m="1" x="5493"/>
        <item m="1" x="4769"/>
        <item m="1" x="3904"/>
        <item m="1" x="6050"/>
        <item m="1" x="2152"/>
        <item m="1" x="3892"/>
        <item m="1" x="3524"/>
        <item m="1" x="3556"/>
        <item m="1" x="927"/>
        <item m="1" x="1584"/>
        <item m="1" x="4367"/>
        <item m="1" x="2689"/>
        <item m="1" x="2984"/>
        <item m="1" x="3248"/>
        <item m="1" x="5014"/>
        <item m="1" x="7680"/>
        <item m="1" x="2821"/>
        <item m="1" x="4090"/>
        <item m="1" x="7389"/>
        <item m="1" x="6774"/>
        <item m="1" x="6088"/>
        <item m="1" x="4110"/>
        <item m="1" x="3712"/>
        <item m="1" x="3266"/>
        <item m="1" x="1593"/>
        <item m="1" x="7159"/>
        <item m="1" x="687"/>
        <item m="1" x="1953"/>
        <item m="1" x="1955"/>
        <item m="1" x="611"/>
        <item m="1" x="2226"/>
        <item m="1" x="4462"/>
        <item m="1" x="4638"/>
        <item m="1" x="3768"/>
        <item m="1" x="247"/>
        <item m="1" x="4383"/>
        <item m="1" x="411"/>
        <item m="1" x="7259"/>
        <item m="1" x="2834"/>
        <item m="1" x="4560"/>
        <item m="1" x="4549"/>
        <item m="1" x="2766"/>
        <item m="1" x="545"/>
        <item m="1" x="5067"/>
        <item m="1" x="4408"/>
        <item m="1" x="669"/>
        <item m="1" x="2656"/>
        <item m="1" x="4031"/>
        <item m="1" x="4449"/>
        <item m="1" x="2408"/>
        <item m="1" x="4817"/>
        <item m="1" x="3575"/>
        <item m="1" x="4172"/>
        <item m="1" x="7891"/>
        <item m="1" x="5545"/>
        <item m="1" x="2492"/>
        <item m="1" x="7910"/>
        <item m="1" x="2684"/>
        <item m="1" x="3697"/>
        <item m="1" x="7207"/>
        <item m="1" x="647"/>
        <item m="1" x="6883"/>
        <item m="1" x="3789"/>
        <item m="1" x="4355"/>
        <item m="1" x="4589"/>
        <item m="1" x="2248"/>
        <item m="1" x="6120"/>
        <item m="1" x="2906"/>
        <item m="1" x="3306"/>
        <item m="1" x="7239"/>
        <item m="1" x="1404"/>
        <item m="1" x="7152"/>
        <item m="1" x="6658"/>
        <item m="1" x="5361"/>
        <item m="1" x="4325"/>
        <item m="1" x="3006"/>
        <item m="1" x="5519"/>
        <item m="1" x="4548"/>
        <item m="1" x="1949"/>
        <item m="1" x="6678"/>
        <item m="1" x="4139"/>
        <item m="1" x="7465"/>
        <item m="1" x="2044"/>
        <item m="1" x="5789"/>
        <item m="1" x="6428"/>
        <item m="1" x="5435"/>
        <item m="1" x="6484"/>
        <item m="1" x="7027"/>
        <item m="1" x="3528"/>
        <item m="1" x="4661"/>
        <item m="1" x="3547"/>
        <item m="1" x="2275"/>
        <item m="1" x="4645"/>
        <item m="1" x="5281"/>
        <item m="1" x="2291"/>
        <item m="1" x="5075"/>
        <item m="1" x="5509"/>
        <item m="1" x="1729"/>
        <item m="1" x="2567"/>
        <item m="1" x="1316"/>
        <item m="1" x="7179"/>
        <item m="1" x="5498"/>
        <item m="1" x="6674"/>
        <item m="1" x="6922"/>
        <item m="1" x="3920"/>
        <item m="1" x="4388"/>
        <item m="1" x="6900"/>
        <item m="1" x="6797"/>
        <item m="1" x="7208"/>
        <item m="1" x="238"/>
        <item m="1" x="7209"/>
        <item m="1" x="5279"/>
        <item m="1" x="4199"/>
        <item m="1" x="5315"/>
        <item m="1" x="7974"/>
        <item m="1" x="3214"/>
        <item m="1" x="7028"/>
        <item m="1" x="4163"/>
        <item m="1" x="7251"/>
        <item m="1" x="7911"/>
        <item m="1" x="7263"/>
        <item m="1" x="270"/>
        <item m="1" x="957"/>
        <item m="1" x="6359"/>
        <item m="1" x="6638"/>
        <item m="1" x="5705"/>
        <item m="1" x="6999"/>
        <item m="1" x="7266"/>
        <item m="1" x="7507"/>
        <item m="1" x="7963"/>
        <item m="1" x="437"/>
        <item m="1" x="694"/>
        <item m="1" x="4562"/>
        <item m="1" x="7742"/>
        <item m="1" x="457"/>
        <item m="1" x="707"/>
        <item m="1" x="931"/>
        <item m="1" x="5617"/>
        <item m="1" x="1391"/>
        <item m="1" x="6152"/>
        <item m="1" x="913"/>
        <item m="1" x="4779"/>
        <item m="1" x="5436"/>
        <item m="1" x="6423"/>
        <item m="1" x="1670"/>
        <item m="1" x="2815"/>
        <item m="1" x="980"/>
        <item m="1" x="1201"/>
        <item m="1" x="1483"/>
        <item m="1" x="7774"/>
        <item m="1" x="293"/>
        <item m="1" x="549"/>
        <item m="1" x="734"/>
        <item m="1" x="962"/>
        <item m="1" x="1445"/>
        <item m="1" x="1870"/>
        <item m="1" x="1926"/>
        <item m="1" x="6553"/>
        <item m="1" x="1273"/>
        <item m="1" x="1821"/>
        <item m="1" x="702"/>
        <item m="1" x="2687"/>
        <item m="1" x="4056"/>
        <item m="1" x="4482"/>
        <item m="1" x="2435"/>
        <item m="1" x="1464"/>
        <item m="1" x="2524"/>
        <item m="1" x="7485"/>
        <item m="1" x="963"/>
        <item m="1" x="1769"/>
        <item m="1" x="6725"/>
        <item m="1" x="6764"/>
        <item m="1" x="1004"/>
        <item m="1" x="1239"/>
        <item m="1" x="1520"/>
        <item m="1" x="7801"/>
        <item m="1" x="6390"/>
        <item m="1" x="7048"/>
        <item m="1" x="7497"/>
        <item m="1" x="2324"/>
        <item m="1" x="6190"/>
        <item m="1" x="5382"/>
        <item m="1" x="5562"/>
        <item m="1" x="7975"/>
        <item m="1" x="6442"/>
        <item m="1" x="7282"/>
        <item m="1" x="6749"/>
        <item m="1" x="5396"/>
        <item m="1" x="4354"/>
        <item m="1" x="5197"/>
        <item m="1" x="6441"/>
        <item m="1" x="4225"/>
        <item m="1" x="1992"/>
        <item m="1" x="7743"/>
        <item m="1" x="1222"/>
        <item m="1" x="4876"/>
        <item m="1" x="1040"/>
        <item m="1" x="1272"/>
        <item m="1" x="1557"/>
        <item m="1" x="7830"/>
        <item m="1" x="1853"/>
        <item m="1" x="2123"/>
        <item m="1" x="2573"/>
        <item m="1" x="7288"/>
        <item m="1" x="4185"/>
        <item m="1" x="5410"/>
        <item m="1" x="1484"/>
        <item m="1" x="5578"/>
        <item m="1" x="5826"/>
        <item m="1" x="6461"/>
        <item m="1" x="5469"/>
        <item m="1" x="6525"/>
        <item m="1" x="486"/>
        <item m="1" x="735"/>
        <item m="1" x="7059"/>
        <item m="1" x="1541"/>
        <item m="1" x="2527"/>
        <item m="1" x="1571"/>
        <item m="1" x="6983"/>
        <item m="1" x="2799"/>
        <item m="1" x="7771"/>
        <item m="1" x="1072"/>
        <item m="1" x="1301"/>
        <item m="1" x="6127"/>
        <item m="1" x="458"/>
        <item m="1" x="766"/>
        <item m="1" x="7337"/>
        <item m="1" x="7572"/>
        <item m="1" x="1465"/>
        <item m="1" x="2026"/>
        <item m="1" x="7750"/>
        <item m="1" x="7498"/>
        <item m="1" x="982"/>
        <item m="1" x="2624"/>
        <item m="1" x="1354"/>
        <item m="1" x="5893"/>
        <item m="1" x="7049"/>
        <item m="1" x="7524"/>
        <item m="1" x="914"/>
        <item m="1" x="7525"/>
        <item m="1" x="3041"/>
        <item m="1" x="487"/>
        <item m="1" x="7475"/>
        <item m="1" x="7758"/>
        <item m="1" x="6727"/>
        <item m="1" x="5604"/>
        <item m="1" x="6969"/>
        <item m="1" x="1655"/>
        <item m="1" x="7918"/>
        <item m="1" x="7965"/>
        <item m="1" x="2005"/>
        <item m="1" x="752"/>
        <item m="1" x="793"/>
        <item m="1" x="1019"/>
        <item m="1" x="7000"/>
        <item m="1" x="7301"/>
        <item m="1" x="505"/>
        <item m="1" x="7338"/>
        <item m="1" x="7534"/>
        <item m="1" x="2079"/>
        <item m="1" x="280"/>
        <item m="1" x="7240"/>
        <item m="1" x="438"/>
        <item m="1" x="1542"/>
        <item m="1" x="7689"/>
        <item m="1" x="5602"/>
        <item m="1" x="724"/>
        <item m="1" x="7355"/>
        <item m="1" x="6778"/>
        <item m="1" x="7097"/>
        <item m="1" x="2609"/>
        <item m="1" x="2876"/>
        <item m="1" x="3110"/>
        <item m="1" x="1254"/>
        <item m="1" x="6424"/>
        <item m="1" x="6968"/>
        <item m="1" x="7725"/>
        <item m="1" x="1288"/>
        <item m="1" x="2401"/>
        <item m="1" x="2641"/>
        <item m="1" x="5621"/>
        <item m="1" x="7487"/>
        <item m="1" x="7050"/>
        <item m="1" x="948"/>
        <item m="1" x="473"/>
        <item m="1" x="6180"/>
        <item m="1" x="6443"/>
        <item m="1" x="6726"/>
        <item m="1" x="521"/>
        <item m="1" x="7790"/>
        <item m="1" x="7643"/>
        <item m="1" x="2062"/>
        <item m="1" x="315"/>
        <item m="1" x="1681"/>
        <item m="1" x="7946"/>
        <item m="1" x="814"/>
        <item m="1" x="1058"/>
        <item m="1" x="3148"/>
        <item m="1" x="5461"/>
        <item m="1" x="5689"/>
        <item m="1" x="5915"/>
        <item m="1" x="6472"/>
        <item m="1" x="5274"/>
        <item m="1" x="1558"/>
        <item m="1" x="3159"/>
        <item m="1" x="6789"/>
        <item m="1" x="7167"/>
        <item m="1" x="294"/>
        <item m="1" x="1788"/>
        <item m="1" x="2912"/>
        <item m="1" x="947"/>
        <item m="1" x="4676"/>
        <item m="1" x="5113"/>
        <item m="1" x="5350"/>
        <item m="1" x="5603"/>
        <item m="1" x="5894"/>
        <item m="1" x="3433"/>
        <item m="1" x="1629"/>
        <item m="1" x="6164"/>
        <item m="1" x="281"/>
        <item m="1" x="5139"/>
        <item m="1" x="7466"/>
        <item m="1" x="2491"/>
        <item m="1" x="4210"/>
        <item m="1" x="1543"/>
        <item m="1" x="7964"/>
        <item m="1" x="5183"/>
        <item m="1" x="3944"/>
        <item m="1" x="7813"/>
        <item m="1" x="1605"/>
        <item m="1" x="7340"/>
        <item m="1" x="474"/>
        <item m="1" x="867"/>
        <item m="1" x="565"/>
        <item m="1" x="805"/>
        <item m="1" x="1043"/>
        <item m="1" x="1588"/>
        <item m="1" x="7445"/>
        <item m="1" x="1502"/>
        <item m="1" x="2330"/>
        <item m="1" x="2590"/>
        <item m="1" x="751"/>
        <item m="1" x="979"/>
        <item m="1" x="7339"/>
        <item m="1" x="1572"/>
        <item m="1" x="332"/>
        <item m="1" x="1302"/>
        <item m="1" x="767"/>
        <item m="1" x="2099"/>
        <item m="1" x="1837"/>
        <item m="1" x="2677"/>
        <item m="1" x="732"/>
        <item m="1" x="2537"/>
        <item m="1" x="6707"/>
        <item m="1" x="5126"/>
        <item m="1" x="5914"/>
        <item m="1" x="6181"/>
        <item m="1" x="6444"/>
        <item m="1" x="7252"/>
        <item m="1" x="6211"/>
        <item m="1" x="7775"/>
        <item m="1" x="295"/>
        <item m="1" x="127"/>
        <item m="1" x="7832"/>
        <item m="1" x="316"/>
        <item m="1" x="4360"/>
        <item m="1" x="7847"/>
        <item m="1" x="6212"/>
        <item m="1" x="6511"/>
        <item m="1" x="6779"/>
        <item m="1" x="5938"/>
        <item m="1" x="7481"/>
        <item m="1" x="906"/>
        <item m="1" x="828"/>
        <item m="1" x="1074"/>
        <item m="1" x="7559"/>
        <item m="1" x="551"/>
        <item m="1" x="317"/>
        <item m="1" x="7833"/>
        <item m="1" x="794"/>
        <item m="1" x="5767"/>
        <item m="1" x="781"/>
        <item m="1" x="782"/>
        <item m="1" x="1789"/>
        <item m="1" x="552"/>
        <item m="1" x="6863"/>
        <item m="1" x="7063"/>
        <item m="1" x="3239"/>
        <item m="1" x="3473"/>
        <item m="1" x="4693"/>
        <item m="1" x="5140"/>
        <item m="1" x="5411"/>
        <item m="1" x="5746"/>
        <item m="1" x="6061"/>
        <item m="1" x="5711"/>
        <item m="1" x="506"/>
        <item m="1" x="5229"/>
        <item m="1" x="2931"/>
        <item m="1" x="318"/>
        <item m="1" x="7673"/>
        <item m="1" x="3588"/>
        <item m="1" x="937"/>
        <item m="1" x="632"/>
        <item m="1" x="853"/>
        <item m="1" x="1101"/>
        <item m="1" x="144"/>
        <item m="1" x="5402"/>
        <item m="1" x="5690"/>
        <item m="1" x="1587"/>
        <item m="1" x="1787"/>
        <item m="1" x="815"/>
        <item m="1" x="5838"/>
        <item m="1" x="806"/>
        <item m="1" x="522"/>
        <item m="1" x="1006"/>
        <item m="1" x="816"/>
        <item m="1" x="418"/>
        <item m="1" x="633"/>
        <item m="1" x="3664"/>
        <item m="1" x="167"/>
        <item m="1" x="6493"/>
        <item m="1" x="5501"/>
        <item m="1" x="520"/>
        <item m="1" x="765"/>
        <item m="1" x="1255"/>
        <item m="1" x="2100"/>
        <item m="1" x="2371"/>
        <item m="1" x="6458"/>
        <item m="1" x="6750"/>
        <item m="1" x="7848"/>
        <item m="1" x="7849"/>
        <item m="1" x="995"/>
        <item m="1" x="1256"/>
        <item m="1" x="3173"/>
        <item m="1" x="6232"/>
        <item m="1" x="6790"/>
        <item m="1" x="7383"/>
        <item m="1" x="7589"/>
        <item m="1" x="3717"/>
        <item m="1" x="4770"/>
        <item m="1" x="5216"/>
        <item m="1" x="6062"/>
        <item m="1" x="5747"/>
        <item m="1" x="6051"/>
        <item m="1" x="4252"/>
        <item m="1" x="5491"/>
        <item m="1" x="1570"/>
        <item m="1" x="6210"/>
        <item m="1" x="6292"/>
        <item m="1" x="1838"/>
        <item m="1" x="4958"/>
        <item m="1" x="7876"/>
        <item m="1" x="5691"/>
        <item m="1" x="6822"/>
        <item m="1" x="6512"/>
        <item m="1" x="3186"/>
        <item m="1" x="666"/>
        <item m="1" x="882"/>
        <item m="1" x="1521"/>
        <item m="1" x="5992"/>
        <item m="1" x="6892"/>
        <item m="1" x="7129"/>
        <item m="1" x="7395"/>
        <item m="1" x="2296"/>
        <item m="1" x="7858"/>
        <item m="1" x="255"/>
        <item m="1" x="841"/>
        <item m="1" x="829"/>
        <item m="1" x="7814"/>
        <item m="1" x="5165"/>
        <item m="1" x="6254"/>
        <item m="1" x="7051"/>
        <item m="1" x="7064"/>
        <item m="1" x="996"/>
        <item m="1" x="1044"/>
        <item m="1" x="7799"/>
        <item m="1" x="826"/>
        <item m="1" x="7718"/>
        <item m="1" x="450"/>
        <item m="1" x="355"/>
        <item m="1" x="7077"/>
        <item m="1" x="6935"/>
        <item m="1" x="1362"/>
        <item m="1" x="7460"/>
        <item m="1" x="688"/>
        <item m="1" x="431"/>
        <item m="1" x="341"/>
        <item m="1" x="234"/>
        <item m="1" x="533"/>
        <item m="1" x="574"/>
        <item m="1" x="1492"/>
        <item m="1" x="143"/>
        <item m="1" x="7600"/>
        <item m="1" x="466"/>
        <item m="1" x="956"/>
        <item m="1" x="2143"/>
        <item m="1" x="2678"/>
        <item m="1" x="7845"/>
        <item m="1" x="3319"/>
        <item m="1" x="7079"/>
        <item m="1" x="310"/>
        <item m="1" x="7220"/>
        <item m="1" x="5937"/>
        <item m="1" x="6513"/>
        <item m="1" x="2132"/>
        <item m="1" x="7558"/>
        <item m="1" x="6005"/>
        <item m="1" x="7499"/>
        <item m="1" x="7898"/>
        <item m="1" x="7954"/>
        <item m="1" x="3693"/>
        <item m="1" x="5779"/>
        <item m="1" x="2954"/>
        <item m="1" x="3240"/>
        <item m="1" x="1647"/>
        <item m="1" x="7160"/>
        <item m="1" x="7421"/>
        <item m="1" x="1907"/>
        <item m="1" x="2191"/>
        <item m="1" x="1312"/>
        <item m="1" x="1597"/>
        <item m="1" x="2752"/>
        <item m="1" x="3499"/>
        <item m="1" x="6534"/>
        <item m="1" x="2447"/>
        <item m="1" x="3894"/>
        <item m="1" x="2535"/>
        <item m="1" x="536"/>
        <item m="1" x="7088"/>
        <item m="1" x="7933"/>
        <item m="1" x="2418"/>
        <item m="1" x="2679"/>
        <item m="1" x="3271"/>
        <item m="1" x="3172"/>
        <item m="1" x="6281"/>
        <item m="1" x="7197"/>
        <item m="1" x="7447"/>
        <item m="1" x="4022"/>
        <item m="1" x="5331"/>
        <item m="1" x="4533"/>
        <item m="1" x="5542"/>
        <item m="1" x="256"/>
        <item m="1" x="1622"/>
        <item m="1" x="1822"/>
        <item m="1" x="1809"/>
        <item m="1" x="2864"/>
        <item m="1" x="2818"/>
        <item m="1" x="6123"/>
        <item m="1" x="981"/>
        <item m="1" x="5479"/>
        <item m="1" x="5028"/>
        <item m="1" x="4808"/>
        <item m="1" x="5233"/>
        <item m="1" x="3739"/>
        <item m="1" x="4776"/>
        <item m="1" x="4356"/>
        <item m="1" x="3546"/>
        <item m="1" x="4791"/>
        <item m="1" x="2438"/>
        <item m="1" x="2856"/>
        <item m="1" x="5098"/>
        <item m="1" x="5784"/>
        <item m="1" x="152"/>
        <item m="1" x="7968"/>
        <item m="1" x="3218"/>
        <item m="1" x="3272"/>
        <item m="1" x="7245"/>
        <item m="1" x="7468"/>
        <item m="1" x="3288"/>
        <item m="1" x="3289"/>
        <item m="1" x="3757"/>
        <item m="1" x="3951"/>
        <item m="1" x="5785"/>
        <item m="1" x="3187"/>
        <item m="1" x="3185"/>
        <item m="1" x="2568"/>
        <item m="1" x="4792"/>
        <item m="1" x="7726"/>
        <item m="1" x="2192"/>
        <item m="1" x="3771"/>
        <item m="1" x="1307"/>
        <item m="1" x="6471"/>
        <item m="1" x="6253"/>
        <item m="1" x="7802"/>
        <item m="1" x="2897"/>
        <item m="1" x="3202"/>
        <item m="1" x="7588"/>
        <item m="1" x="1068"/>
        <item m="1" x="446"/>
        <item m="1" x="3330"/>
        <item m="1" x="1109"/>
        <item m="1" x="2253"/>
        <item m="1" x="2508"/>
        <item m="1" x="1351"/>
        <item m="1" x="1665"/>
        <item m="1" x="1693"/>
        <item m="1" x="5821"/>
        <item m="1" x="2489"/>
        <item m="1" x="2773"/>
        <item m="1" x="2234"/>
        <item m="1" x="7385"/>
        <item m="1" x="4190"/>
        <item m="1" x="5265"/>
        <item m="1" x="3273"/>
        <item m="1" x="3500"/>
        <item m="1" x="4154"/>
        <item m="1" x="5257"/>
        <item m="1" x="1969"/>
        <item m="1" x="1604"/>
        <item m="1" x="2195"/>
        <item m="1" x="7711"/>
        <item m="1" x="4579"/>
        <item m="1" x="5332"/>
        <item m="1" x="5906"/>
        <item m="1" x="5598"/>
        <item m="1" x="1656"/>
        <item m="1" x="1854"/>
        <item m="1" x="5864"/>
        <item m="1" x="3379"/>
        <item m="1" x="623"/>
        <item m="1" x="2789"/>
        <item m="1" x="3024"/>
        <item m="1" x="7411"/>
        <item m="1" x="5805"/>
        <item m="1" x="2235"/>
        <item m="1" x="126"/>
        <item m="1" x="304"/>
        <item m="1" x="1289"/>
        <item m="1" x="2124"/>
        <item m="1" x="6491"/>
        <item m="1" x="4578"/>
        <item m="1" x="2725"/>
        <item m="1" x="4165"/>
        <item m="1" x="2750"/>
        <item m="1" x="7523"/>
        <item m="1" x="2615"/>
        <item m="1" x="2456"/>
        <item m="1" x="4819"/>
        <item m="1" x="4428"/>
        <item m="1" x="4615"/>
        <item m="1" x="4830"/>
        <item m="1" x="2292"/>
        <item m="1" x="3025"/>
        <item m="1" x="5984"/>
        <item m="1" x="3816"/>
        <item m="1" x="4671"/>
        <item m="1" x="4429"/>
        <item m="1" x="2236"/>
        <item m="1" x="5887"/>
        <item m="1" x="2733"/>
        <item m="1" x="3005"/>
        <item m="1" x="6252"/>
        <item m="1" x="3648"/>
        <item m="1" x="4191"/>
        <item m="1" x="3773"/>
        <item m="1" x="2805"/>
        <item m="1" x="4861"/>
        <item m="1" x="2857"/>
        <item m="1" x="3861"/>
        <item m="1" x="4909"/>
        <item m="1" x="1682"/>
        <item m="1" x="1836"/>
        <item m="1" x="3787"/>
        <item m="1" x="1908"/>
        <item m="1" x="4386"/>
        <item m="1" x="1005"/>
        <item m="1" x="1042"/>
        <item m="1" x="2774"/>
        <item m="1" x="7620"/>
        <item m="1" x="3758"/>
        <item m="1" x="3723"/>
        <item m="1" x="3348"/>
        <item m="1" x="3581"/>
        <item m="1" x="3312"/>
        <item m="1" x="7247"/>
        <item m="1" x="7094"/>
        <item m="1" x="1884"/>
        <item m="1" x="3227"/>
        <item m="1" x="3331"/>
        <item m="1" x="4686"/>
        <item m="1" x="4596"/>
        <item m="1" x="6846"/>
        <item m="1" x="3349"/>
        <item m="1" x="3601"/>
        <item m="1" x="7787"/>
        <item m="1" x="7652"/>
        <item m="1" x="780"/>
        <item m="1" x="760"/>
        <item m="1" x="3274"/>
        <item m="1" x="403"/>
        <item m="1" x="202"/>
        <item m="1" x="761"/>
        <item m="1" x="1117"/>
        <item m="1" x="3207"/>
        <item m="1" x="2940"/>
        <item m="1" x="1672"/>
        <item m="1" x="2569"/>
        <item m="1" x="4484"/>
        <item m="1" x="4357"/>
        <item m="1" x="4155"/>
        <item m="1" x="4862"/>
        <item m="1" x="1341"/>
        <item m="1" x="6510"/>
        <item m="1" x="6280"/>
        <item m="1" x="7831"/>
        <item m="1" x="2921"/>
        <item m="1" x="3236"/>
        <item m="1" x="3714"/>
        <item m="1" x="3788"/>
        <item m="1" x="2843"/>
        <item m="1" x="3563"/>
        <item m="1" x="1030"/>
        <item m="1" x="2254"/>
        <item m="1" x="2591"/>
        <item m="1" x="3993"/>
        <item m="1" x="4202"/>
        <item m="1" x="4412"/>
        <item m="1" x="3367"/>
        <item m="1" x="4068"/>
        <item m="1" x="4430"/>
        <item m="1" x="4643"/>
        <item m="1" x="5362"/>
        <item m="1" x="1730"/>
        <item m="1" x="3058"/>
        <item m="1" x="5110"/>
        <item m="1" x="5111"/>
        <item m="1" x="5135"/>
        <item m="1" x="1639"/>
        <item m="1" x="4113"/>
        <item m="1" x="3980"/>
        <item m="1" x="3802"/>
        <item m="1" x="7747"/>
        <item m="1" x="2844"/>
        <item m="1" x="3774"/>
        <item m="1" x="1835"/>
        <item m="1" x="5397"/>
        <item m="1" x="2878"/>
        <item m="1" x="3994"/>
        <item m="1" x="1722"/>
        <item m="1" x="1919"/>
        <item m="1" x="5121"/>
        <item m="1" x="5363"/>
        <item m="1" x="5379"/>
        <item m="1" x="6418"/>
        <item m="1" x="157"/>
        <item m="1" x="331"/>
        <item m="1" x="2163"/>
        <item m="1" x="4614"/>
        <item m="1" x="6279"/>
        <item m="1" x="1770"/>
        <item m="1" x="5634"/>
        <item m="1" x="3038"/>
        <item m="1" x="4531"/>
        <item m="1" x="7557"/>
        <item m="1" x="1202"/>
        <item m="1" x="4924"/>
        <item m="1" x="5422"/>
        <item m="1" x="3350"/>
        <item m="1" x="3616"/>
        <item m="1" x="4687"/>
        <item m="1" x="1810"/>
        <item m="1" x="5985"/>
        <item m="1" x="3380"/>
        <item m="1" x="7278"/>
        <item m="1" x="2339"/>
        <item m="1" x="2006"/>
        <item m="1" x="2879"/>
        <item m="1" x="4413"/>
        <item m="1" x="1182"/>
        <item m="1" x="5414"/>
        <item m="1" x="2880"/>
        <item m="1" x="5455"/>
        <item m="1" x="3381"/>
        <item m="1" x="2402"/>
        <item m="1" x="4701"/>
        <item m="1" x="1771"/>
        <item m="1" x="4444"/>
        <item m="1" x="1247"/>
        <item m="1" x="3238"/>
        <item m="1" x="5444"/>
        <item m="1" x="4027"/>
        <item m="1" x="5950"/>
        <item m="1" x="3783"/>
        <item m="1" x="5694"/>
        <item m="1" x="5600"/>
        <item m="1" x="5487"/>
        <item m="1" x="3132"/>
        <item m="1" x="5462"/>
        <item m="1" x="5122"/>
        <item m="1" x="5977"/>
        <item m="1" x="1760"/>
        <item m="1" x="1958"/>
        <item m="1" x="1871"/>
        <item m="1" x="4173"/>
        <item m="1" x="3562"/>
        <item m="1" x="5346"/>
        <item m="1" x="4320"/>
        <item m="1" x="5986"/>
        <item m="1" x="1721"/>
        <item m="1" x="1041"/>
        <item m="1" x="3403"/>
        <item m="1" x="3817"/>
        <item m="1" x="4217"/>
        <item m="1" x="4431"/>
        <item m="1" x="4879"/>
        <item m="1" x="3832"/>
        <item m="1" x="4229"/>
        <item m="1" x="4443"/>
        <item m="1" x="1790"/>
        <item m="1" x="2570"/>
        <item m="1" x="3818"/>
        <item m="1" x="4026"/>
        <item m="1" x="5364"/>
        <item m="1" x="5646"/>
        <item m="1" x="4479"/>
        <item m="1" x="4688"/>
        <item m="1" x="4925"/>
        <item m="1" x="4944"/>
        <item m="1" x="5398"/>
        <item m="1" x="5647"/>
        <item m="1" x="5949"/>
        <item m="1" x="6505"/>
        <item m="1" x="6784"/>
        <item m="1" x="5408"/>
        <item m="1" x="5970"/>
        <item m="1" x="6224"/>
        <item m="1" x="6485"/>
        <item m="1" x="7029"/>
        <item m="1" x="2610"/>
        <item m="1" x="451"/>
        <item m="1" x="1941"/>
        <item m="1" x="1801"/>
        <item m="1" x="3749"/>
        <item m="1" x="1514"/>
        <item m="1" x="4910"/>
        <item m="1" x="6272"/>
        <item m="1" x="1485"/>
        <item m="1" x="3602"/>
        <item m="1" x="7695"/>
        <item m="1" x="4007"/>
        <item m="1" x="6422"/>
        <item m="1" x="3259"/>
        <item m="1" x="4658"/>
        <item m="1" x="5958"/>
        <item m="1" x="6184"/>
        <item m="1" x="6014"/>
        <item m="1" x="150"/>
        <item m="1" x="2368"/>
        <item m="1" x="3402"/>
        <item m="1" x="5515"/>
        <item m="1" x="1309"/>
        <item m="1" x="4119"/>
        <item m="1" x="5308"/>
        <item m="1" x="5994"/>
        <item m="1" x="1594"/>
        <item m="1" x="2454"/>
        <item m="1" x="4926"/>
        <item m="1" x="511"/>
        <item m="1" x="1414"/>
        <item m="1" x="6557"/>
        <item m="1" x="6309"/>
        <item m="1" x="7857"/>
        <item m="1" x="4268"/>
        <item m="1" x="3270"/>
        <item m="1" x="1344"/>
        <item m="1" x="770"/>
        <item m="1" x="1632"/>
        <item m="1" x="1325"/>
        <item m="1" x="2153"/>
        <item m="1" x="2804"/>
        <item m="1" x="7649"/>
        <item m="1" x="6539"/>
        <item m="1" x="6538"/>
        <item m="1" x="5995"/>
        <item m="1" x="1051"/>
        <item m="1" x="6792"/>
        <item m="1" x="7569"/>
        <item m="1" x="2690"/>
        <item m="1" x="699"/>
        <item m="1" x="3419"/>
        <item m="1" x="5463"/>
        <item m="1" x="5736"/>
        <item m="1" x="6285"/>
        <item m="1" x="6563"/>
        <item m="1" x="6580"/>
        <item m="1" x="6825"/>
        <item m="1" x="1861"/>
        <item m="1" x="1862"/>
        <item m="1" x="7563"/>
        <item m="1" x="133"/>
        <item m="1" x="4997"/>
        <item m="1" x="583"/>
        <item m="1" x="6308"/>
        <item m="1" x="1326"/>
        <item m="1" x="2182"/>
        <item m="1" x="169"/>
        <item m="1" x="3737"/>
        <item m="1" x="7587"/>
        <item m="1" x="7574"/>
        <item m="1" x="2474"/>
        <item m="1" x="2516"/>
        <item m="1" x="1863"/>
        <item m="1" x="5806"/>
        <item m="1" x="1759"/>
        <item m="1" x="6354"/>
        <item m="1" x="6635"/>
        <item m="1" x="7666"/>
        <item m="1" x="1385"/>
        <item m="1" x="619"/>
        <item m="1" x="6020"/>
        <item m="1" x="307"/>
        <item m="1" x="2703"/>
        <item m="1" x="5445"/>
        <item m="1" x="2422"/>
        <item m="1" x="2170"/>
        <item m="1" x="1223"/>
        <item m="1" x="832"/>
        <item m="1" x="6840"/>
        <item m="1" x="7371"/>
        <item m="1" x="6332"/>
        <item m="1" x="7103"/>
        <item m="1" x="2096"/>
        <item m="1" x="6564"/>
        <item m="1" x="6160"/>
        <item m="1" x="6386"/>
        <item m="1" x="6672"/>
        <item m="1" x="1417"/>
        <item m="1" x="7424"/>
        <item m="1" x="4736"/>
        <item m="1" x="7861"/>
        <item m="1" x="5714"/>
        <item m="1" x="6581"/>
        <item m="1" x="6615"/>
        <item m="1" x="336"/>
        <item m="1" x="637"/>
        <item m="1" x="620"/>
        <item m="1" x="6599"/>
        <item m="1" x="347"/>
        <item m="1" x="1052"/>
        <item m="1" x="820"/>
        <item m="1" x="1613"/>
        <item m="1" x="5029"/>
        <item m="1" x="7115"/>
        <item m="1" x="7387"/>
        <item m="1" x="7622"/>
        <item m="1" x="7188"/>
        <item m="1" x="4552"/>
        <item m="1" x="7579"/>
        <item m="1" x="7609"/>
        <item m="1" x="6600"/>
        <item m="1" x="2640"/>
        <item m="1" x="5743"/>
        <item m="1" x="5480"/>
        <item m="1" x="5749"/>
        <item m="1" x="6747"/>
        <item m="1" x="6455"/>
        <item m="1" x="6705"/>
        <item m="1" x="1459"/>
        <item m="1" x="5486"/>
        <item m="1" x="187"/>
        <item m="1" x="3394"/>
        <item m="1" x="3297"/>
        <item m="1" x="1894"/>
        <item m="1" x="7887"/>
        <item m="1" x="7638"/>
        <item m="1" x="1073"/>
        <item m="1" x="7452"/>
        <item m="1" x="6030"/>
        <item m="1" x="7777"/>
        <item m="1" x="6826"/>
        <item m="1" x="7116"/>
        <item m="1" x="7202"/>
        <item m="1" x="3673"/>
        <item m="1" x="2885"/>
        <item m="1" x="5224"/>
        <item m="1" x="7133"/>
        <item m="1" x="170"/>
        <item m="1" x="6601"/>
        <item m="1" x="2270"/>
        <item m="1" x="6080"/>
        <item m="1" x="188"/>
        <item m="1" x="7164"/>
        <item m="1" x="5017"/>
        <item m="1" x="7888"/>
        <item m="1" x="7639"/>
        <item m="1" x="7610"/>
        <item m="1" x="7719"/>
        <item m="1" x="3434"/>
        <item m="1" x="218"/>
        <item m="1" x="407"/>
        <item m="1" x="5543"/>
        <item m="1" x="7667"/>
        <item m="1" x="6636"/>
        <item m="1" x="6919"/>
        <item m="1" x="7437"/>
        <item m="1" x="6068"/>
        <item m="1" x="1123"/>
        <item m="1" x="7425"/>
        <item m="1" x="3989"/>
        <item m="1" x="6653"/>
        <item m="1" x="641"/>
        <item m="1" x="1454"/>
        <item m="1" x="7883"/>
        <item m="1" x="314"/>
        <item m="1" x="3311"/>
        <item m="1" x="3002"/>
        <item m="1" x="3267"/>
        <item m="1" x="4540"/>
        <item m="1" x="5220"/>
        <item m="1" x="5737"/>
        <item m="1" x="6031"/>
        <item m="1" x="7656"/>
        <item m="1" x="5508"/>
        <item m="1" x="1371"/>
        <item m="1" x="6602"/>
        <item m="1" x="5046"/>
        <item m="1" x="5478"/>
        <item m="1" x="7668"/>
        <item m="1" x="6081"/>
        <item m="1" x="6867"/>
        <item m="1" x="6032"/>
        <item m="1" x="7611"/>
        <item m="1" x="2926"/>
        <item m="1" x="2519"/>
        <item m="1" x="250"/>
        <item m="1" x="498"/>
        <item m="1" x="381"/>
        <item m="1" x="1160"/>
        <item m="1" x="7135"/>
        <item m="1" x="4381"/>
        <item m="1" x="1122"/>
        <item m="1" x="2795"/>
        <item m="1" x="6616"/>
        <item m="1" x="7134"/>
        <item m="1" x="6654"/>
        <item m="1" x="7905"/>
        <item m="1" x="183"/>
        <item m="1" x="840"/>
        <item m="1" x="7998"/>
        <item m="1" x="219"/>
        <item m="1" x="888"/>
        <item m="1" x="2801"/>
        <item m="1" x="6299"/>
        <item m="1" x="2503"/>
        <item m="1" x="2842"/>
        <item m="1" x="1688"/>
        <item m="1" x="1195"/>
        <item m="1" x="277"/>
        <item m="1" x="531"/>
        <item m="1" x="236"/>
        <item m="1" x="1194"/>
        <item m="1" x="6107"/>
        <item m="1" x="2813"/>
        <item m="1" x="5559"/>
        <item m="1" x="1689"/>
        <item m="1" x="1088"/>
        <item m="1" x="390"/>
        <item m="1" x="4670"/>
        <item m="1" x="6312"/>
        <item m="1" x="5523"/>
        <item m="1" x="6356"/>
        <item m="1" x="7148"/>
        <item m="1" x="7438"/>
        <item m="1" x="264"/>
        <item m="1" x="7249"/>
        <item m="1" x="7453"/>
        <item m="1" x="7906"/>
        <item m="1" x="206"/>
        <item m="1" x="393"/>
        <item m="1" x="642"/>
        <item m="1" x="7229"/>
        <item m="1" x="7924"/>
        <item m="1" x="220"/>
        <item m="1" x="872"/>
        <item m="1" x="1124"/>
        <item m="1" x="7703"/>
        <item m="1" x="672"/>
        <item m="1" x="912"/>
        <item m="1" x="5072"/>
        <item m="1" x="3071"/>
        <item m="1" x="6578"/>
        <item m="1" x="389"/>
        <item m="1" x="1236"/>
        <item m="1" x="301"/>
        <item m="1" x="562"/>
        <item m="1" x="408"/>
        <item m="1" x="1213"/>
        <item m="1" x="360"/>
        <item m="1" x="1744"/>
        <item m="1" x="3082"/>
        <item m="1" x="6057"/>
        <item m="1" x="1235"/>
        <item m="1" x="6176"/>
        <item m="1" x="3361"/>
        <item m="1" x="442"/>
        <item m="1" x="265"/>
        <item m="1" x="929"/>
        <item m="1" x="2599"/>
        <item m="1" x="3984"/>
        <item m="1" x="918"/>
        <item m="1" x="1257"/>
        <item m="1" x="858"/>
        <item m="1" x="7623"/>
        <item m="1" x="1242"/>
        <item m="1" x="1994"/>
        <item m="1" x="7099"/>
        <item m="1" x="1727"/>
        <item m="1" x="328"/>
        <item m="1" x="589"/>
        <item m="1" x="4451"/>
        <item m="1" x="5868"/>
        <item m="1" x="4913"/>
        <item m="1" x="4764"/>
        <item m="1" x="3398"/>
        <item m="1" x="4771"/>
        <item m="1" x="6139"/>
        <item m="1" x="2016"/>
        <item m="1" x="954"/>
        <item m="1" x="2331"/>
        <item m="1" x="4452"/>
        <item m="1" x="223"/>
        <item m="1" x="3037"/>
        <item m="1" x="4662"/>
        <item m="1" x="842"/>
        <item m="1" x="6066"/>
        <item m="1" x="7923"/>
        <item m="1" x="3642"/>
        <item m="1" x="7804"/>
        <item m="1" x="421"/>
        <item m="1" x="4232"/>
        <item m="1" x="4471"/>
        <item m="1" x="2560"/>
        <item m="1" x="3621"/>
        <item m="1" x="4013"/>
        <item m="1" x="2979"/>
        <item m="1" x="4045"/>
        <item m="1" x="351"/>
        <item m="1" x="1066"/>
        <item m="1" x="470"/>
        <item m="1" x="7132"/>
        <item m="1" x="6213"/>
        <item m="1" x="5947"/>
        <item m="1" x="4206"/>
        <item m="1" x="5366"/>
        <item m="1" x="6317"/>
        <item m="1" x="1327"/>
        <item m="1" x="1266"/>
        <item m="1" x="3428"/>
        <item m="1" x="4826"/>
        <item m="1" x="1735"/>
        <item m="1" x="4111"/>
        <item m="1" x="2883"/>
        <item m="1" x="2065"/>
        <item m="1" x="2297"/>
        <item m="1" x="1139"/>
        <item m="1" x="2066"/>
        <item m="1" x="372"/>
        <item m="1" x="2193"/>
        <item m="1" x="4703"/>
        <item m="1" x="4743"/>
        <item m="1" x="4483"/>
        <item m="1" x="5974"/>
        <item m="1" x="3643"/>
        <item m="1" x="1494"/>
        <item m="1" x="7919"/>
        <item m="1" x="6067"/>
        <item m="1" x="4914"/>
        <item m="1" x="2375"/>
        <item m="1" x="2332"/>
        <item m="1" x="2600"/>
        <item m="1" x="2862"/>
        <item m="1" x="3099"/>
        <item m="1" x="1526"/>
        <item m="1" x="2082"/>
        <item m="1" x="2631"/>
        <item m="1" x="3407"/>
        <item m="1" x="3622"/>
        <item m="1" x="3820"/>
        <item m="1" x="4014"/>
        <item m="1" x="3424"/>
        <item m="1" x="3162"/>
        <item m="1" x="6233"/>
        <item m="1" x="1401"/>
        <item m="1" x="3425"/>
        <item m="1" x="3606"/>
        <item m="1" x="2914"/>
        <item m="1" x="3116"/>
        <item m="1" x="4787"/>
        <item m="1" x="3590"/>
        <item m="1" x="1002"/>
        <item m="1" x="824"/>
        <item m="1" x="3276"/>
        <item m="1" x="532"/>
        <item m="1" x="3857"/>
        <item m="1" x="4278"/>
        <item m="1" x="2047"/>
        <item m="1" x="4886"/>
        <item m="1" x="4505"/>
        <item m="1" x="4075"/>
        <item m="1" x="6514"/>
        <item m="1" x="2104"/>
        <item m="1" x="7585"/>
        <item m="1" x="5289"/>
        <item m="1" x="2877"/>
        <item m="1" x="5403"/>
        <item m="1" x="5412"/>
        <item m="1" x="4098"/>
        <item m="1" x="3834"/>
        <item m="1" x="7985"/>
        <item m="1" x="1911"/>
        <item m="1" x="4156"/>
        <item m="1" x="4724"/>
        <item m="1" x="4965"/>
        <item m="1" x="2888"/>
        <item m="1" x="5339"/>
        <item m="1" x="1280"/>
        <item m="1" x="4528"/>
        <item m="1" x="1844"/>
        <item m="1" x="6025"/>
        <item m="1" x="2903"/>
        <item m="1" x="4506"/>
        <item m="1" x="6977"/>
        <item m="1" x="7052"/>
        <item m="1" x="2645"/>
        <item m="1" x="550"/>
        <item m="1" x="417"/>
        <item m="1" x="4700"/>
        <item m="1" x="6355"/>
        <item m="1" x="5558"/>
        <item m="1" x="6388"/>
        <item m="1" x="7463"/>
        <item m="1" x="3451"/>
        <item m="1" x="2915"/>
        <item m="1" x="731"/>
        <item m="1" x="5217"/>
        <item m="1" x="1827"/>
        <item m="1" x="2399"/>
        <item m="1" x="4761"/>
        <item m="1" x="5060"/>
        <item m="1" x="590"/>
        <item m="1" x="4986"/>
        <item m="1" x="1595"/>
        <item m="1" x="6052"/>
        <item m="1" x="6310"/>
        <item m="1" x="6083"/>
        <item m="1" x="1310"/>
        <item m="1" x="4550"/>
        <item m="1" x="4725"/>
        <item m="1" x="4529"/>
        <item m="1" x="1063"/>
        <item m="1" x="1614"/>
        <item m="1" x="4966"/>
        <item m="1" x="2129"/>
        <item m="1" x="5442"/>
        <item m="1" x="2290"/>
        <item m="1" x="7065"/>
        <item m="1" x="1423"/>
        <item m="1" x="1290"/>
        <item m="1" x="887"/>
        <item m="1" x="5094"/>
        <item m="1" x="5570"/>
        <item m="1" x="7736"/>
        <item m="1" x="1763"/>
        <item m="1" x="5443"/>
        <item m="1" x="3721"/>
        <item m="1" x="3943"/>
        <item m="1" x="6126"/>
        <item m="1" x="3284"/>
        <item m="1" x="2271"/>
        <item m="1" x="4798"/>
        <item m="1" x="2117"/>
        <item m="1" x="4576"/>
        <item m="1" x="2385"/>
        <item m="1" x="630"/>
        <item m="1" x="5246"/>
        <item m="1" x="4099"/>
        <item m="1" x="6876"/>
        <item m="1" x="3233"/>
        <item m="1" x="3320"/>
        <item m="1" x="3907"/>
        <item m="1" x="4128"/>
        <item m="1" x="2724"/>
        <item m="1" x="4153"/>
        <item m="1" x="3079"/>
        <item m="1" x="2723"/>
        <item m="1" x="4994"/>
        <item m="1" x="7866"/>
        <item m="1" x="6092"/>
        <item m="1" x="7958"/>
        <item m="1" x="460"/>
        <item m="1" x="4328"/>
        <item m="1" x="7073"/>
        <item m="1" x="4833"/>
        <item m="1" x="7235"/>
        <item m="1" x="3872"/>
        <item m="1" x="1984"/>
        <item m="1" x="1372"/>
        <item m="1" x="2919"/>
        <item m="1" x="1345"/>
        <item m="1" x="4608"/>
        <item m="1" x="4561"/>
        <item m="1" x="4341"/>
        <item m="1" x="4789"/>
        <item m="1" x="745"/>
        <item m="1" x="2605"/>
        <item m="1" x="370"/>
        <item m="1" x="321"/>
        <item m="1" x="3198"/>
        <item m="1" x="3438"/>
        <item m="1" x="3690"/>
        <item m="1" x="4507"/>
        <item m="1" x="2949"/>
        <item m="1" x="3199"/>
        <item m="1" x="3713"/>
        <item m="1" x="2552"/>
        <item m="1" x="5853"/>
        <item m="1" x="1067"/>
        <item m="1" x="7415"/>
        <item m="1" x="4538"/>
        <item m="1" x="5782"/>
        <item m="1" x="3873"/>
        <item m="1" x="5494"/>
        <item m="1" x="2130"/>
        <item m="1" x="3250"/>
        <item m="1" x="4129"/>
        <item m="1" x="1500"/>
        <item m="1" x="6360"/>
        <item m="1" x="2007"/>
        <item m="1" x="661"/>
        <item m="1" x="1127"/>
        <item m="1" x="5259"/>
        <item m="1" x="5245"/>
        <item m="1" x="6911"/>
        <item m="1" x="462"/>
        <item m="1" x="7198"/>
        <item m="1" x="7400"/>
        <item m="1" x="2667"/>
        <item m="1" x="4590"/>
        <item m="1" x="1466"/>
        <item m="1" x="1143"/>
        <item m="1" x="2008"/>
        <item m="1" x="5786"/>
        <item m="1" x="6110"/>
        <item m="1" x="6689"/>
        <item m="1" x="1533"/>
        <item m="1" x="7947"/>
        <item m="1" x="4949"/>
        <item m="1" x="5529"/>
        <item m="1" x="5812"/>
        <item m="1" x="439"/>
        <item m="1" x="1438"/>
        <item m="1" x="5015"/>
        <item m="1" x="1487"/>
        <item m="1" x="6111"/>
        <item m="1" x="6373"/>
        <item m="1" x="2544"/>
        <item m="1" x="1751"/>
        <item m="1" x="6967"/>
        <item m="1" x="252"/>
        <item m="1" x="2194"/>
        <item m="1" x="1144"/>
        <item m="1" x="1970"/>
        <item m="1" x="6947"/>
        <item m="1" x="1486"/>
        <item m="1" x="4097"/>
        <item m="1" x="3906"/>
        <item m="1" x="4624"/>
        <item m="1" x="5317"/>
        <item m="1" x="2027"/>
        <item m="1" x="6096"/>
        <item m="1" x="6333"/>
        <item m="1" x="7168"/>
        <item m="1" x="6391"/>
        <item m="1" x="4617"/>
        <item m="1" x="475"/>
        <item m="1" x="3674"/>
        <item m="1" x="1329"/>
        <item m="1" x="7001"/>
        <item m="1" x="932"/>
        <item m="1" x="1772"/>
        <item m="1" x="7210"/>
        <item m="1" x="7456"/>
        <item m="1" x="6978"/>
        <item m="1" x="7961"/>
        <item m="1" x="1198"/>
        <item m="1" x="2592"/>
        <item m="1" x="725"/>
        <item m="1" x="4371"/>
        <item m="1" x="6621"/>
        <item m="1" x="7927"/>
        <item m="1" x="6558"/>
        <item m="1" x="6405"/>
        <item m="1" x="2936"/>
        <item m="1" x="4667"/>
        <item m="1" x="4653"/>
        <item m="1" x="708"/>
        <item m="1" x="7489"/>
        <item m="1" x="695"/>
        <item m="1" x="507"/>
        <item m="1" x="949"/>
        <item m="1" x="6708"/>
        <item m="1" x="440"/>
        <item m="1" x="1421"/>
        <item m="1" x="7966"/>
        <item m="1" x="537"/>
        <item m="1" x="447"/>
        <item m="1" x="4735"/>
        <item m="1" x="6387"/>
        <item m="1" x="5599"/>
        <item m="1" x="6420"/>
        <item m="1" x="3479"/>
        <item m="1" x="1877"/>
        <item m="1" x="7770"/>
        <item m="1" x="6728"/>
        <item m="1" x="6948"/>
        <item m="1" x="7211"/>
        <item m="1" x="7938"/>
        <item m="1" x="240"/>
        <item m="1" x="4157"/>
        <item m="1" x="5277"/>
        <item m="1" x="6622"/>
        <item m="1" x="7307"/>
        <item m="1" x="4681"/>
        <item m="1" x="282"/>
        <item m="1" x="1203"/>
        <item m="1" x="6720"/>
        <item m="1" x="239"/>
        <item m="1" x="709"/>
        <item m="1" x="933"/>
        <item m="1" x="950"/>
        <item m="1" x="6041"/>
        <item m="1" x="2063"/>
        <item m="1" x="2340"/>
        <item m="1" x="2611"/>
        <item m="1" x="6214"/>
        <item m="1" x="7759"/>
        <item m="1" x="7967"/>
        <item m="1" x="410"/>
        <item m="1" x="3060"/>
        <item m="1" x="928"/>
        <item m="1" x="5612"/>
        <item m="1" x="6535"/>
        <item m="1" x="7727"/>
        <item m="1" x="7992"/>
        <item m="1" x="1503"/>
        <item m="1" x="6124"/>
        <item m="1" x="7986"/>
        <item m="1" x="5579"/>
        <item m="1" x="631"/>
        <item m="1" x="5663"/>
        <item m="1" x="6949"/>
        <item m="1" x="7212"/>
        <item m="1" x="5351"/>
        <item m="1" x="5895"/>
        <item m="1" x="5916"/>
        <item m="1" x="6182"/>
        <item m="1" x="7158"/>
        <item m="1" x="942"/>
        <item m="1" x="2337"/>
        <item m="1" x="4823"/>
        <item m="1" x="6729"/>
        <item m="1" x="308"/>
        <item m="1" x="305"/>
        <item m="1" x="7037"/>
        <item m="1" x="1258"/>
        <item m="1" x="1544"/>
        <item m="1" x="2767"/>
        <item m="1" x="5615"/>
        <item m="1" x="6752"/>
        <item m="1" x="7797"/>
        <item m="1" x="7509"/>
        <item m="1" x="7760"/>
        <item m="1" x="2059"/>
        <item m="1" x="1093"/>
        <item m="1" x="3905"/>
        <item m="1" x="5996"/>
        <item m="1" x="1402"/>
        <item m="1" x="2963"/>
        <item m="1" x="7508"/>
        <item m="1" x="7015"/>
        <item m="1" x="6576"/>
        <item m="1" x="1059"/>
        <item m="1" x="508"/>
        <item m="1" x="488"/>
        <item m="1" x="6012"/>
        <item m="1" x="1977"/>
        <item m="1" x="4915"/>
        <item m="1" x="5367"/>
        <item m="1" x="7283"/>
        <item m="1" x="6709"/>
        <item m="1" x="915"/>
        <item m="1" x="4864"/>
        <item m="1" x="248"/>
        <item m="1" x="2898"/>
        <item m="1" x="4432"/>
        <item m="1" x="4648"/>
        <item m="1" x="4881"/>
        <item m="1" x="4896"/>
        <item m="1" x="5352"/>
        <item m="1" x="5605"/>
        <item m="1" x="6165"/>
        <item m="1" x="6426"/>
        <item m="1" x="6970"/>
        <item m="1" x="7241"/>
        <item m="1" x="6459"/>
        <item m="1" x="6751"/>
        <item m="1" x="5896"/>
        <item m="1" x="3594"/>
        <item m="1" x="7236"/>
        <item m="1" x="6166"/>
        <item m="1" x="6690"/>
        <item m="1" x="383"/>
        <item m="1" x="1283"/>
        <item m="1" x="5100"/>
        <item m="1" x="7708"/>
        <item m="1" x="6427"/>
        <item m="1" x="7761"/>
        <item m="1" x="1007"/>
        <item m="1" x="7488"/>
        <item m="1" x="5639"/>
        <item m="1" x="3467"/>
        <item m="1" x="2421"/>
        <item m="1" x="7803"/>
        <item m="1" x="5816"/>
        <item m="1" x="5309"/>
        <item m="1" x="2410"/>
        <item m="1" x="4127"/>
        <item m="1" x="6519"/>
        <item m="1" x="1606"/>
        <item m="1" x="1303"/>
        <item m="1" x="1045"/>
        <item m="1" x="983"/>
        <item m="1" x="7560"/>
        <item m="1" x="1560"/>
        <item m="1" x="5589"/>
        <item m="1" x="7980"/>
        <item m="1" x="4985"/>
        <item m="1" x="5563"/>
        <item m="1" x="5855"/>
        <item m="1" x="333"/>
        <item m="1" x="3864"/>
        <item m="1" x="158"/>
        <item m="1" x="1559"/>
        <item m="1" x="753"/>
        <item m="1" x="2403"/>
        <item m="1" x="7993"/>
        <item m="1" x="846"/>
        <item m="1" x="2238"/>
        <item m="1" x="1199"/>
        <item m="1" x="1046"/>
        <item m="1" x="3481"/>
        <item m="1" x="7564"/>
        <item m="1" x="1589"/>
        <item m="1" x="145"/>
        <item m="1" x="1872"/>
        <item m="1" x="2144"/>
        <item m="1" x="7762"/>
        <item m="1" x="6780"/>
        <item m="1" x="1248"/>
        <item m="1" x="1839"/>
        <item m="1" x="2382"/>
        <item m="1" x="2922"/>
        <item m="1" x="5955"/>
        <item m="1" x="7368"/>
        <item m="1" x="1667"/>
        <item m="1" x="232"/>
        <item m="1" x="6370"/>
        <item m="1" x="6425"/>
        <item m="1" x="4279"/>
        <item m="1" x="491"/>
        <item m="1" x="1060"/>
        <item m="1" x="1952"/>
        <item m="1" x="3313"/>
        <item m="1" x="7356"/>
        <item m="1" x="538"/>
        <item m="1" x="2974"/>
        <item m="1" x="2990"/>
        <item m="1" x="4313"/>
        <item m="1" x="557"/>
        <item m="1" x="7535"/>
        <item m="1" x="1623"/>
        <item m="1" x="1920"/>
        <item m="1" x="2201"/>
        <item m="1" x="3489"/>
        <item m="1" x="4334"/>
        <item m="1" x="343"/>
        <item m="1" x="1291"/>
        <item m="1" x="1855"/>
        <item m="1" x="1008"/>
        <item m="1" x="2448"/>
        <item m="1" x="2757"/>
        <item m="1" x="4295"/>
        <item m="1" x="5286"/>
        <item m="1" x="476"/>
        <item m="1" x="4763"/>
        <item m="1" x="6419"/>
        <item m="1" x="5635"/>
        <item m="1" x="3515"/>
        <item m="1" x="356"/>
        <item m="1" x="844"/>
        <item m="1" x="180"/>
        <item m="1" x="7825"/>
        <item m="1" x="6662"/>
        <item m="1" x="7319"/>
        <item m="1" x="2178"/>
        <item m="1" x="3260"/>
        <item m="1" x="3522"/>
        <item m="1" x="5854"/>
        <item m="1" x="7413"/>
        <item m="1" x="2338"/>
        <item m="1" x="5302"/>
        <item m="1" x="5792"/>
        <item m="1" x="7675"/>
        <item m="1" x="7915"/>
        <item m="1" x="2778"/>
        <item m="1" x="7642"/>
        <item m="1" x="5230"/>
        <item m="1" x="1657"/>
        <item m="1" x="4508"/>
        <item m="1" x="2496"/>
        <item m="1" x="146"/>
        <item m="1" x="6753"/>
        <item m="1" x="6641"/>
        <item m="1" x="6926"/>
        <item m="1" x="7171"/>
        <item m="1" x="1640"/>
        <item m="1" x="1684"/>
        <item m="1" x="3229"/>
        <item m="1" x="3887"/>
        <item m="1" x="2259"/>
        <item m="1" x="975"/>
        <item m="1" x="4135"/>
        <item m="1" x="1373"/>
        <item m="1" x="3900"/>
        <item m="1" x="2229"/>
        <item m="1" x="3493"/>
        <item m="1" x="3040"/>
        <item m="1" x="5897"/>
        <item m="1" x="6375"/>
        <item m="1" x="6330"/>
        <item m="1" x="1683"/>
        <item m="1" x="1573"/>
        <item m="1" x="2578"/>
        <item m="1" x="1379"/>
        <item m="1" x="5238"/>
        <item m="1" x="6100"/>
        <item m="1" x="6754"/>
        <item m="1" x="1562"/>
        <item m="1" x="3958"/>
        <item m="1" x="4375"/>
        <item m="1" x="3333"/>
        <item m="1" x="7763"/>
        <item m="1" x="5993"/>
        <item m="1" x="6536"/>
        <item m="1" x="595"/>
        <item m="1" x="4080"/>
        <item m="1" x="5608"/>
        <item m="1" x="1102"/>
        <item m="1" x="2734"/>
        <item m="1" x="3741"/>
        <item m="1" x="4120"/>
        <item m="1" x="2835"/>
        <item m="1" x="5648"/>
        <item m="1" x="5476"/>
        <item m="1" x="1364"/>
        <item m="1" x="1906"/>
        <item m="1" x="7854"/>
        <item m="1" x="4348"/>
        <item m="1" x="5102"/>
        <item m="1" x="3968"/>
        <item m="1" x="4178"/>
        <item m="1" x="2735"/>
        <item m="1" x="1439"/>
        <item m="1" x="3027"/>
        <item m="1" x="3931"/>
        <item m="1" x="4152"/>
        <item m="1" x="1151"/>
        <item m="1" x="7590"/>
        <item m="1" x="2617"/>
        <item m="1" x="4813"/>
        <item m="1" x="4376"/>
        <item m="1" x="6679"/>
        <item m="1" x="3750"/>
        <item m="1" x="4602"/>
        <item m="1" x="4194"/>
        <item m="1" x="4167"/>
        <item m="1" x="3506"/>
        <item m="1" x="3533"/>
        <item m="1" x="2125"/>
        <item m="1" x="3228"/>
        <item m="1" x="5760"/>
        <item m="1" x="5777"/>
        <item m="1" x="6074"/>
        <item m="1" x="5062"/>
        <item m="1" x="6663"/>
        <item m="1" x="6895"/>
        <item m="1" x="3523"/>
        <item m="1" x="1987"/>
        <item m="1" x="5050"/>
        <item m="1" x="4435"/>
        <item m="1" x="1094"/>
        <item m="1" x="1405"/>
        <item m="1" x="7573"/>
        <item m="1" x="4969"/>
        <item m="1" x="5516"/>
        <item m="1" x="5038"/>
        <item m="1" x="3084"/>
        <item m="1" x="6477"/>
        <item m="1" x="1668"/>
        <item m="1" x="1943"/>
        <item m="1" x="2230"/>
        <item m="1" x="2758"/>
        <item m="1" x="2995"/>
        <item m="1" x="5039"/>
        <item m="1" x="5857"/>
        <item m="1" x="3986"/>
        <item m="1" x="4207"/>
        <item m="1" x="5064"/>
        <item m="1" x="3498"/>
        <item m="1" x="5384"/>
        <item m="1" x="6691"/>
        <item m="1" x="4866"/>
        <item m="1" x="7478"/>
        <item m="1" x="3997"/>
        <item m="1" x="7943"/>
        <item m="1" x="1152"/>
        <item m="1" x="1429"/>
        <item m="1" x="5260"/>
        <item m="1" x="6167"/>
        <item m="1" x="4850"/>
        <item m="1" x="4522"/>
        <item m="1" x="3777"/>
        <item m="1" x="3970"/>
        <item m="1" x="4050"/>
        <item m="1" x="4218"/>
        <item m="1" x="5624"/>
        <item m="1" x="5144"/>
        <item m="1" x="5145"/>
        <item m="1" x="3064"/>
        <item m="1" x="7603"/>
        <item m="1" x="160"/>
        <item m="1" x="5550"/>
        <item m="1" x="7748"/>
        <item m="1" x="2319"/>
        <item m="1" x="4867"/>
        <item m="1" x="7491"/>
        <item m="1" x="5566"/>
        <item m="1" x="3806"/>
        <item m="1" x="7255"/>
        <item m="1" x="4849"/>
        <item m="1" x="2847"/>
        <item m="1" x="4403"/>
        <item m="1" x="3850"/>
        <item m="1" x="4017"/>
        <item m="1" x="4456"/>
        <item m="1" x="955"/>
        <item m="1" x="3396"/>
        <item m="1" x="4436"/>
        <item m="1" x="4649"/>
        <item m="1" x="5585"/>
        <item m="1" x="5870"/>
        <item m="1" x="5941"/>
        <item m="1" x="4455"/>
        <item m="1" x="5303"/>
        <item m="1" x="4235"/>
        <item m="1" x="3998"/>
        <item m="1" x="5899"/>
        <item m="1" x="5063"/>
        <item m="1" x="5322"/>
        <item m="1" x="3824"/>
        <item m="1" x="2299"/>
        <item m="1" x="5128"/>
        <item m="1" x="4840"/>
        <item m="1" x="1211"/>
        <item m="1" x="2320"/>
        <item m="1" x="3550"/>
        <item m="1" x="4078"/>
        <item m="1" x="4247"/>
        <item m="1" x="2377"/>
        <item m="1" x="6185"/>
        <item m="1" x="1878"/>
        <item m="1" x="2087"/>
        <item m="1" x="2360"/>
        <item m="1" x="2634"/>
        <item m="1" x="4036"/>
        <item m="1" x="1077"/>
        <item m="1" x="6810"/>
        <item m="1" x="3630"/>
        <item m="1" x="4289"/>
        <item m="1" x="6128"/>
        <item m="1" x="4219"/>
        <item m="1" x="2094"/>
        <item m="1" x="6430"/>
        <item m="1" x="7287"/>
        <item m="1" x="4062"/>
        <item m="1" x="4315"/>
        <item m="1" x="4299"/>
        <item m="1" x="4705"/>
        <item m="1" x="5695"/>
        <item m="1" x="4100"/>
        <item m="1" x="4281"/>
        <item m="1" x="423"/>
        <item m="1" x="3858"/>
        <item m="1" x="5584"/>
        <item m="1" x="4934"/>
        <item m="1" x="1230"/>
        <item m="1" x="4883"/>
        <item m="1" x="5369"/>
        <item m="1" x="3837"/>
        <item m="1" x="2602"/>
        <item m="1" x="5625"/>
        <item m="1" x="6446"/>
        <item m="1" x="6199"/>
        <item m="1" x="3372"/>
        <item m="1" x="3595"/>
        <item m="1" x="2904"/>
        <item m="1" x="3111"/>
        <item m="1" x="2870"/>
        <item m="1" x="4520"/>
        <item m="1" x="5716"/>
        <item m="1" x="3203"/>
        <item m="1" x="7055"/>
        <item m="1" x="3658"/>
        <item m="1" x="3974"/>
        <item m="1" x="4130"/>
        <item m="1" x="6496"/>
        <item m="1" x="3699"/>
        <item m="1" x="4418"/>
        <item m="1" x="7632"/>
        <item m="1" x="7544"/>
        <item m="1" x="7324"/>
        <item m="1" x="3987"/>
        <item m="1" x="7104"/>
        <item m="1" x="2283"/>
        <item m="1" x="1355"/>
        <item m="1" x="3469"/>
        <item m="1" x="884"/>
        <item m="1" x="4402"/>
        <item m="1" x="4621"/>
        <item m="1" x="1428"/>
        <item m="1" x="1978"/>
        <item m="1" x="5565"/>
        <item m="1" x="5103"/>
        <item m="1" x="5898"/>
        <item m="1" x="7227"/>
        <item m="1" x="7778"/>
        <item m="1" x="1777"/>
        <item m="1" x="2935"/>
        <item m="1" x="7286"/>
        <item m="1" x="6732"/>
        <item m="1" x="4728"/>
        <item m="1" x="4951"/>
        <item m="1" x="6475"/>
        <item m="1" x="2411"/>
        <item m="1" x="2525"/>
        <item m="1" x="4063"/>
        <item m="1" x="2670"/>
        <item m="1" x="608"/>
        <item m="1" x="4727"/>
        <item m="1" x="5978"/>
        <item m="1" x="6235"/>
        <item m="1" x="3851"/>
        <item m="1" x="4220"/>
        <item m="1" x="4706"/>
        <item m="1" x="5942"/>
        <item m="1" x="4300"/>
        <item m="1" x="7090"/>
        <item m="1" x="7364"/>
        <item m="1" x="3908"/>
        <item m="1" x="1286"/>
        <item m="1" x="5401"/>
        <item m="1" x="6631"/>
        <item m="1" x="6706"/>
        <item m="1" x="4899"/>
        <item m="1" x="1047"/>
        <item m="1" x="177"/>
        <item m="1" x="1882"/>
        <item m="1" x="1651"/>
        <item m="1" x="6478"/>
        <item m="1" x="5778"/>
        <item m="1" x="1618"/>
        <item m="1" x="3681"/>
        <item m="1" x="4174"/>
        <item m="1" x="4330"/>
        <item m="1" x="2439"/>
        <item m="1" x="2391"/>
        <item m="1" x="5713"/>
        <item m="1" x="6642"/>
        <item m="1" x="7645"/>
        <item m="1" x="7323"/>
        <item m="1" x="6845"/>
        <item m="1" x="7548"/>
        <item m="1" x="6858"/>
        <item m="1" x="7628"/>
        <item m="1" x="352"/>
        <item m="1" x="801"/>
        <item m="1" x="7583"/>
        <item m="1" x="5990"/>
        <item m="1" x="6936"/>
        <item m="1" x="6801"/>
        <item m="1" x="130"/>
        <item m="1" x="7925"/>
        <item m="1" x="7539"/>
        <item m="1" x="2147"/>
        <item m="1" x="4611"/>
        <item m="1" x="2355"/>
        <item m="1" x="2080"/>
        <item m="1" x="1591"/>
        <item m="1" x="409"/>
        <item m="1" x="2383"/>
        <item m="1" x="2251"/>
        <item m="1" x="1224"/>
        <item m="1" x="7376"/>
        <item m="1" x="138"/>
        <item m="1" x="790"/>
        <item m="1" x="7122"/>
        <item m="1" x="7390"/>
        <item m="1" x="7598"/>
        <item m="1" x="7841"/>
        <item m="1" x="176"/>
        <item m="1" x="563"/>
        <item m="1" x="1299"/>
        <item m="1" x="7646"/>
        <item m="1" x="6179"/>
        <item m="1" x="811"/>
        <item m="1" x="4186"/>
        <item m="1" x="2730"/>
        <item m="1" x="3008"/>
        <item m="1" x="2482"/>
        <item m="1" x="7826"/>
        <item m="1" x="6839"/>
        <item m="1" x="1540"/>
        <item m="1" x="373"/>
        <item m="1" x="7391"/>
        <item m="1" x="4591"/>
        <item m="1" x="4358"/>
        <item m="1" x="3028"/>
        <item m="1" x="5715"/>
        <item m="1" x="2278"/>
        <item m="1" x="1408"/>
        <item m="1" x="1184"/>
        <item m="1" x="7580"/>
        <item m="1" x="591"/>
        <item m="1" x="837"/>
        <item m="1" x="1082"/>
        <item m="1" x="1168"/>
        <item m="1" x="2218"/>
        <item m="1" x="3315"/>
        <item m="1" x="576"/>
        <item m="1" x="2071"/>
        <item m="1" x="3427"/>
        <item m="1" x="4476"/>
        <item m="1" x="4677"/>
        <item m="1" x="5919"/>
        <item m="1" x="5701"/>
        <item m="1" x="1678"/>
        <item m="1" x="1652"/>
        <item m="1" x="4262"/>
        <item m="1" x="4933"/>
        <item m="1" x="380"/>
        <item m="1" x="1132"/>
        <item m="1" x="1490"/>
        <item m="1" x="7403"/>
        <item m="1" x="2405"/>
        <item m="1" x="7872"/>
        <item m="1" x="1392"/>
        <item m="1" x="2478"/>
        <item m="1" x="257"/>
        <item m="1" x="1056"/>
        <item m="1" x="7377"/>
        <item m="1" x="7851"/>
        <item m="1" x="5239"/>
        <item m="1" x="3278"/>
        <item m="1" x="6887"/>
        <item m="1" x="2219"/>
        <item m="1" x="1698"/>
        <item m="1" x="374"/>
        <item m="1" x="6063"/>
        <item m="1" x="1356"/>
        <item m="1" x="2481"/>
        <item m="1" x="7138"/>
        <item m="1" x="3666"/>
        <item m="1" x="2522"/>
        <item m="1" x="899"/>
        <item m="1" x="1147"/>
        <item m="1" x="3169"/>
        <item m="1" x="7322"/>
        <item m="1" x="1131"/>
        <item m="1" x="2198"/>
        <item m="1" x="679"/>
        <item m="1" x="6626"/>
        <item m="1" x="900"/>
        <item m="1" x="2512"/>
        <item m="1" x="1956"/>
        <item m="1" x="6731"/>
        <item m="1" x="4035"/>
        <item m="1" x="4972"/>
        <item m="1" x="1368"/>
        <item m="1" x="3559"/>
        <item m="1" x="6697"/>
        <item m="1" x="4827"/>
        <item m="1" x="2776"/>
        <item m="1" x="2596"/>
        <item m="1" x="830"/>
        <item m="1" x="2242"/>
        <item m="1" x="2531"/>
        <item m="1" x="6627"/>
        <item m="1" x="6322"/>
        <item m="1" x="7873"/>
        <item m="1" x="7916"/>
        <item m="1" x="4509"/>
        <item m="1" x="838"/>
        <item m="1" x="195"/>
        <item m="1" x="2017"/>
        <item m="1" x="1219"/>
        <item m="1" x="4001"/>
        <item m="1" x="5839"/>
        <item m="1" x="6541"/>
        <item m="1" x="2067"/>
        <item m="1" x="2138"/>
        <item m="1" x="7612"/>
        <item m="1" x="7192"/>
        <item m="1" x="698"/>
        <item m="1" x="1715"/>
        <item m="1" x="7392"/>
        <item m="1" x="7458"/>
        <item m="1" x="1976"/>
        <item m="1" x="2220"/>
        <item m="1" x="2318"/>
        <item m="1" x="7172"/>
        <item m="1" x="7617"/>
        <item m="1" x="7647"/>
        <item m="1" x="849"/>
        <item m="1" x="3009"/>
        <item m="1" x="3529"/>
        <item m="1" x="1699"/>
        <item m="1" x="1975"/>
        <item m="1" x="2777"/>
        <item m="1" x="3725"/>
        <item m="1" x="443"/>
        <item m="1" x="879"/>
        <item m="1" x="2197"/>
        <item m="1" x="7173"/>
        <item m="1" x="7529"/>
        <item m="1" x="2509"/>
        <item m="1" x="1448"/>
        <item m="1" x="7360"/>
        <item m="1" x="3316"/>
        <item m="1" x="2822"/>
        <item m="1" x="3100"/>
        <item m="1" x="227"/>
        <item m="1" x="241"/>
        <item m="1" x="6343"/>
        <item m="1" x="648"/>
        <item m="1" x="7881"/>
        <item m="1" x="226"/>
        <item m="1" x="1714"/>
        <item m="1" x="6927"/>
        <item m="1" x="3044"/>
        <item m="1" x="2532"/>
        <item m="1" x="7827"/>
        <item m="1" x="3761"/>
        <item m="1" x="7060"/>
        <item m="1" x="6353"/>
        <item m="1" x="5815"/>
        <item m="1" x="713"/>
        <item m="1" x="1110"/>
        <item m="1" x="901"/>
        <item m="1" x="3355"/>
        <item m="1" x="3292"/>
        <item m="1" x="1888"/>
        <item m="1" x="4485"/>
        <item m="1" x="1775"/>
        <item m="1" x="2632"/>
        <item m="1" x="342"/>
        <item m="1" x="2050"/>
        <item m="1" x="2361"/>
        <item m="1" x="3103"/>
        <item m="1" x="3373"/>
        <item m="1" x="3791"/>
        <item m="1" x="3988"/>
        <item m="1" x="4197"/>
        <item m="1" x="5667"/>
        <item m="1" x="6871"/>
        <item m="1" x="2808"/>
        <item m="1" x="210"/>
        <item m="1" x="258"/>
        <item m="1" x="426"/>
        <item m="1" x="733"/>
        <item m="1" x="3052"/>
        <item m="1" x="6960"/>
        <item m="1" x="2545"/>
        <item m="1" x="1925"/>
        <item m="1" x="3117"/>
        <item m="1" x="3370"/>
        <item m="1" x="2028"/>
        <item m="1" x="5109"/>
        <item m="1" x="5458"/>
        <item m="1" x="5943"/>
        <item m="1" x="7880"/>
        <item m="1" x="880"/>
        <item m="1" x="1409"/>
        <item m="1" x="2863"/>
        <item m="1" x="3553"/>
        <item m="1" x="3607"/>
        <item m="1" x="1036"/>
        <item m="1" x="404"/>
        <item m="1" x="7676"/>
        <item m="1" x="5012"/>
        <item m="1" x="714"/>
        <item m="1" x="7952"/>
        <item m="1" x="461"/>
        <item m="1" x="4200"/>
        <item m="1" x="2333"/>
        <item m="1" x="3017"/>
        <item m="1" x="3154"/>
        <item m="1" x="3426"/>
        <item m="1" x="7640"/>
        <item m="1" x="3354"/>
        <item m="1" x="2068"/>
        <item m="1" x="3796"/>
        <item m="1" x="1133"/>
        <item m="1" x="3362"/>
        <item m="1" x="3344"/>
        <item m="1" x="3576"/>
        <item m="1" x="5538"/>
        <item m="1" x="3155"/>
        <item m="1" x="3455"/>
        <item m="1" x="4496"/>
        <item m="1" x="4704"/>
        <item m="1" x="1713"/>
        <item m="1" x="5325"/>
        <item m="1" x="4288"/>
        <item m="1" x="6767"/>
        <item m="1" x="4061"/>
        <item m="1" x="4998"/>
        <item m="1" x="4937"/>
        <item m="1" x="5387"/>
        <item m="1" x="3598"/>
        <item m="1" x="1535"/>
        <item m="1" x="2593"/>
        <item m="1" x="3101"/>
        <item m="1" x="3781"/>
        <item m="1" x="5465"/>
        <item m="1" x="7309"/>
        <item m="1" x="3179"/>
        <item m="1" x="5466"/>
        <item m="1" x="3408"/>
        <item m="1" x="5962"/>
        <item m="1" x="6258"/>
        <item m="1" x="7729"/>
        <item m="1" x="2871"/>
        <item m="1" x="3106"/>
        <item m="1" x="2682"/>
        <item m="1" x="2891"/>
        <item m="1" x="3813"/>
        <item m="1" x="936"/>
        <item m="1" x="4730"/>
        <item m="1" x="1169"/>
        <item m="1" x="2241"/>
        <item m="1" x="3122"/>
        <item m="1" x="4954"/>
        <item m="1" x="7988"/>
        <item m="1" x="6833"/>
        <item m="1" x="4344"/>
        <item m="1" x="992"/>
        <item m="1" x="6144"/>
        <item m="1" x="6577"/>
        <item m="1" x="5231"/>
        <item m="1" x="940"/>
        <item m="1" x="3672"/>
        <item m="1" x="2889"/>
        <item m="1" x="4487"/>
        <item m="1" x="3866"/>
        <item m="1" x="4082"/>
        <item m="1" x="3828"/>
        <item m="1" x="3457"/>
        <item m="1" x="4253"/>
        <item m="1" x="4975"/>
        <item m="1" x="3619"/>
        <item m="1" x="3947"/>
        <item m="1" x="2074"/>
        <item m="1" x="2352"/>
        <item m="1" x="2920"/>
        <item m="1" x="3452"/>
        <item m="1" x="4264"/>
        <item m="1" x="2105"/>
        <item m="1" x="1804"/>
        <item m="1" x="3167"/>
        <item m="1" x="4116"/>
        <item m="1" x="5388"/>
        <item m="1" x="6001"/>
        <item m="1" x="6520"/>
        <item m="1" x="7056"/>
        <item m="1" x="7327"/>
        <item m="1" x="4263"/>
        <item m="1" x="3378"/>
        <item m="1" x="3470"/>
        <item m="1" x="4115"/>
        <item m="1" x="5172"/>
        <item m="1" x="5741"/>
        <item m="1" x="5020"/>
        <item m="1" x="5204"/>
        <item m="1" x="5450"/>
        <item m="1" x="6018"/>
        <item m="1" x="6336"/>
        <item m="1" x="5433"/>
        <item m="1" x="5742"/>
        <item m="1" x="6038"/>
        <item m="1" x="5482"/>
        <item m="1" x="7374"/>
        <item m="1" x="1569"/>
        <item m="1" x="1832"/>
        <item m="1" x="7944"/>
        <item m="1" x="4553"/>
        <item m="1" x="2582"/>
        <item m="1" x="4091"/>
        <item m="1" x="6039"/>
        <item m="1" x="6002"/>
        <item m="1" x="7347"/>
        <item m="1" x="5661"/>
        <item m="1" x="4673"/>
        <item m="1" x="4424"/>
        <item m="1" x="2054"/>
        <item m="1" x="6582"/>
        <item m="1" x="2091"/>
        <item m="1" x="2459"/>
        <item m="1" x="2175"/>
        <item m="1" x="6045"/>
        <item m="1" x="3166"/>
        <item m="1" x="4542"/>
        <item m="1" x="4751"/>
        <item m="1" x="4991"/>
        <item m="1" x="5432"/>
        <item m="1" x="2637"/>
        <item m="1" x="2907"/>
        <item m="1" x="7669"/>
        <item m="1" x="3456"/>
        <item m="1" x="7807"/>
        <item m="1" x="1277"/>
        <item m="1" x="3687"/>
        <item m="1" x="3192"/>
        <item m="1" x="659"/>
        <item m="1" x="3143"/>
        <item m="1" x="3416"/>
        <item m="1" x="2346"/>
        <item m="1" x="705"/>
        <item m="1" x="2890"/>
        <item m="1" x="3415"/>
        <item m="1" x="5189"/>
        <item m="1" x="2364"/>
        <item m="1" x="6368"/>
        <item m="1" x="6229"/>
        <item m="1" x="4064"/>
        <item m="1" x="2561"/>
        <item m="1" x="4569"/>
        <item m="1" x="296"/>
        <item m="1" x="2353"/>
        <item m="1" x="2892"/>
        <item m="1" x="3123"/>
        <item m="1" x="525"/>
        <item m="1" x="3093"/>
        <item m="1" x="2823"/>
        <item m="1" x="2792"/>
        <item m="1" x="5348"/>
        <item m="1" x="7388"/>
        <item m="1" x="1553"/>
        <item m="1" x="6314"/>
        <item m="1" x="1857"/>
        <item m="1" x="4265"/>
        <item m="1" x="4955"/>
        <item m="1" x="3141"/>
        <item m="1" x="3480"/>
        <item m="1" x="2951"/>
        <item m="1" x="4065"/>
        <item m="1" x="4696"/>
        <item m="1" x="5451"/>
        <item m="1" x="5752"/>
        <item m="1" x="6289"/>
        <item m="1" x="3657"/>
        <item m="1" x="2387"/>
        <item m="1" x="6904"/>
        <item m="1" x="2365"/>
        <item m="1" x="4117"/>
        <item m="1" x="2061"/>
        <item m="1" x="1270"/>
        <item m="1" x="4114"/>
        <item m="1" x="4123"/>
        <item m="1" x="2429"/>
        <item m="1" x="3204"/>
        <item m="1" x="5510"/>
        <item m="1" x="4002"/>
        <item m="1" x="4838"/>
        <item m="1" x="2131"/>
        <item m="1" x="1585"/>
        <item m="1" x="2393"/>
        <item m="1" x="6121"/>
        <item m="1" x="5267"/>
        <item m="1" x="5483"/>
        <item m="1" x="6842"/>
        <item m="1" x="6854"/>
        <item m="1" x="5775"/>
        <item m="1" x="6097"/>
        <item m="1" x="6315"/>
        <item m="1" x="6639"/>
        <item m="1" x="7118"/>
        <item m="1" x="3458"/>
        <item m="1" x="4282"/>
        <item m="1" x="4143"/>
        <item m="1" x="4291"/>
        <item m="1" x="7903"/>
        <item m="1" x="4536"/>
        <item m="1" x="4132"/>
        <item m="1" x="6055"/>
        <item m="1" x="3867"/>
        <item m="1" x="4625"/>
        <item m="1" x="4052"/>
        <item m="1" x="3910"/>
        <item m="1" x="6381"/>
        <item m="1" x="5169"/>
        <item m="1" x="3875"/>
        <item m="1" x="7704"/>
        <item m="1" x="3387"/>
        <item m="1" x="2171"/>
        <item m="1" x="4762"/>
        <item m="1" x="3921"/>
        <item m="1" x="7333"/>
        <item m="1" x="2369"/>
        <item m="1" x="3237"/>
        <item m="1" x="5190"/>
        <item m="1" x="5021"/>
        <item m="1" x="5753"/>
        <item m="1" x="4060"/>
        <item m="1" x="3483"/>
        <item m="1" x="4516"/>
        <item m="1" x="4745"/>
        <item m="1" x="1754"/>
        <item m="1" x="4314"/>
        <item m="1" x="2139"/>
        <item m="1" x="1333"/>
        <item m="1" x="4907"/>
        <item m="1" x="3934"/>
        <item m="1" x="432"/>
        <item m="1" x="2991"/>
        <item m="1" x="7401"/>
        <item m="1" x="5310"/>
        <item m="1" x="2210"/>
        <item m="1" x="3485"/>
        <item m="1" x="3896"/>
        <item m="1" x="4303"/>
        <item m="1" x="2662"/>
        <item m="1" x="6326"/>
        <item m="1" x="3726"/>
        <item m="1" x="4144"/>
        <item m="1" x="4317"/>
        <item m="1" x="4999"/>
        <item m="1" x="968"/>
        <item m="1" x="1185"/>
        <item m="1" x="2307"/>
        <item m="1" x="1281"/>
        <item m="1" x="712"/>
        <item m="1" x="4092"/>
        <item m="1" x="4192"/>
        <item m="1" x="5019"/>
        <item m="1" x="3740"/>
        <item m="1" x="3935"/>
        <item m="1" x="5880"/>
        <item m="1" x="3956"/>
        <item m="1" x="7457"/>
        <item m="1" x="7912"/>
        <item m="1" x="4782"/>
        <item m="1" x="4469"/>
        <item m="1" x="4316"/>
        <item m="1" x="7412"/>
        <item m="1" x="4794"/>
        <item m="1" x="2140"/>
        <item m="1" x="5484"/>
        <item m="1" x="5298"/>
        <item m="1" x="5564"/>
        <item m="1" x="4101"/>
        <item m="1" x="4518"/>
        <item m="1" x="4752"/>
        <item m="1" x="4332"/>
        <item m="1" x="4543"/>
        <item m="1" x="6228"/>
        <item m="1" x="3880"/>
        <item m="1" x="2972"/>
        <item m="1" x="3503"/>
        <item m="1" x="3701"/>
        <item m="1" x="3715"/>
        <item m="1" x="1634"/>
        <item m="1" x="3279"/>
        <item m="1" x="2992"/>
        <item m="1" x="4118"/>
        <item m="1" x="7161"/>
        <item m="1" x="5477"/>
        <item m="1" x="7143"/>
        <item m="1" x="7448"/>
        <item m="1" x="214"/>
        <item m="1" x="3282"/>
        <item m="1" x="6893"/>
        <item m="1" x="5033"/>
        <item m="1" x="7937"/>
        <item m="1" x="5358"/>
        <item m="1" x="6617"/>
        <item m="1" x="596"/>
        <item m="1" x="3504"/>
        <item m="1" x="5856"/>
        <item m="1" x="233"/>
        <item m="1" x="4820"/>
        <item m="1" x="7428"/>
        <item m="1" x="3486"/>
        <item m="1" x="4401"/>
        <item m="1" x="3388"/>
        <item m="1" x="5537"/>
        <item m="1" x="5902"/>
        <item m="1" x="7899"/>
        <item m="1" x="7260"/>
        <item m="1" x="2376"/>
        <item m="1" x="1153"/>
        <item m="1" x="7730"/>
        <item m="1" x="4712"/>
        <item m="1" x="5205"/>
        <item m="1" x="5252"/>
        <item m="1" x="7867"/>
        <item m="1" x="4781"/>
        <item m="1" x="5237"/>
        <item m="1" x="7228"/>
        <item m="1" x="7169"/>
        <item m="1" x="1357"/>
        <item m="1" x="2445"/>
        <item m="1" x="3716"/>
        <item m="1" x="4158"/>
        <item m="1" x="4372"/>
        <item m="1" x="5048"/>
        <item m="1" x="4835"/>
        <item m="1" x="1576"/>
        <item m="1" x="6740"/>
        <item m="1" x="6000"/>
        <item m="1" x="5946"/>
        <item m="1" x="4015"/>
        <item m="1" x="6352"/>
        <item m="1" x="4581"/>
        <item m="1" x="4821"/>
        <item m="1" x="4618"/>
        <item m="1" x="6153"/>
        <item m="1" x="7681"/>
        <item m="1" x="6457"/>
        <item m="1" x="6503"/>
        <item m="1" x="7981"/>
        <item m="1" x="2460"/>
        <item m="1" x="5787"/>
        <item m="1" x="5580"/>
        <item m="1" x="2973"/>
        <item m="1" x="5083"/>
        <item m="1" x="2284"/>
        <item m="1" x="4855"/>
        <item m="1" x="4046"/>
        <item m="1" x="512"/>
        <item m="1" x="1452"/>
        <item m="1" x="1761"/>
        <item m="1" x="922"/>
        <item m="1" x="1231"/>
        <item m="1" x="907"/>
        <item m="1" x="1472"/>
        <item m="1" x="1740"/>
        <item m="1" x="5555"/>
        <item m="1" x="6136"/>
        <item m="1" x="4495"/>
        <item m="1" x="2424"/>
        <item m="1" x="6955"/>
        <item m="1" x="2392"/>
        <item m="1" x="3540"/>
        <item m="1" x="2262"/>
        <item m="1" x="7690"/>
        <item m="1" x="7461"/>
        <item m="1" x="7221"/>
        <item m="1" x="5903"/>
        <item m="1" x="3792"/>
        <item m="1" x="7246"/>
        <item m="1" x="667"/>
        <item m="1" x="6933"/>
        <item m="1" x="7222"/>
        <item m="1" x="5879"/>
        <item m="1" x="7044"/>
        <item m="1" x="4470"/>
        <item m="1" x="1685"/>
        <item m="1" x="260"/>
        <item m="1" x="6546"/>
        <item m="1" x="3591"/>
        <item m="1" x="7731"/>
        <item m="1" x="3560"/>
        <item m="1" x="1154"/>
        <item m="1" x="4639"/>
        <item m="1" x="1180"/>
        <item m="1" x="7697"/>
        <item m="1" x="7969"/>
        <item m="1" x="448"/>
        <item m="1" x="668"/>
        <item m="1" x="923"/>
        <item m="1" x="2347"/>
        <item m="1" x="7696"/>
        <item m="1" x="715"/>
        <item m="1" x="7714"/>
        <item m="1" x="463"/>
        <item m="1" x="2865"/>
        <item m="1" x="5571"/>
        <item m="1" x="7682"/>
        <item m="1" x="1478"/>
        <item m="1" x="5047"/>
        <item m="1" x="2866"/>
        <item m="1" x="7199"/>
        <item m="1" x="5326"/>
        <item m="1" x="6435"/>
        <item m="1" x="1115"/>
        <item m="1" x="6991"/>
        <item m="1" x="7683"/>
        <item m="1" x="1174"/>
        <item m="1" x="6957"/>
        <item m="1" x="700"/>
        <item m="1" x="6172"/>
        <item m="1" x="7715"/>
        <item m="1" x="7948"/>
        <item m="1" x="4968"/>
        <item m="1" x="3517"/>
        <item m="1" x="4541"/>
        <item m="1" x="4777"/>
        <item m="1" x="1795"/>
        <item m="1" x="4346"/>
        <item m="1" x="5878"/>
        <item m="1" x="2348"/>
        <item m="1" x="2362"/>
        <item m="1" x="2635"/>
        <item m="1" x="1170"/>
        <item m="1" x="1529"/>
        <item m="1" x="5740"/>
        <item m="1" x="6413"/>
        <item m="1" x="3623"/>
        <item m="1" x="6988"/>
        <item m="1" x="6712"/>
        <item m="1" x="1232"/>
        <item m="1" x="7310"/>
        <item m="1" x="6736"/>
        <item m="1" x="7005"/>
        <item m="1" x="999"/>
        <item m="1" x="1227"/>
        <item m="1" x="1311"/>
        <item m="1" x="796"/>
        <item m="1" x="6154"/>
        <item m="1" x="7716"/>
        <item m="1" x="477"/>
        <item m="1" x="379"/>
        <item m="1" x="7984"/>
        <item m="1" x="1829"/>
        <item m="1" x="5299"/>
        <item m="1" x="7439"/>
        <item m="1" x="1778"/>
        <item m="1" x="716"/>
        <item m="1" x="1189"/>
        <item m="1" x="1548"/>
        <item m="1" x="729"/>
        <item m="1" x="6174"/>
        <item m="1" x="1509"/>
        <item m="1" x="492"/>
        <item m="1" x="5360"/>
        <item m="1" x="7503"/>
        <item m="1" x="478"/>
        <item m="1" x="298"/>
        <item m="1" x="1530"/>
        <item m="1" x="938"/>
        <item m="1" x="283"/>
        <item m="1" x="5096"/>
        <item m="1" x="7698"/>
        <item m="1" x="7042"/>
        <item m="1" x="278"/>
        <item m="1" x="3838"/>
        <item m="1" x="7023"/>
        <item m="1" x="2107"/>
        <item m="1" x="3219"/>
        <item m="1" x="3484"/>
        <item m="1" x="1171"/>
        <item m="1" x="6714"/>
        <item m="1" x="7479"/>
        <item m="1" x="7493"/>
        <item m="1" x="3531"/>
        <item m="1" x="3502"/>
        <item m="1" x="728"/>
        <item m="1" x="276"/>
        <item m="1" x="740"/>
        <item m="1" x="1865"/>
        <item m="1" x="6975"/>
        <item m="1" x="6437"/>
        <item m="1" x="6223"/>
        <item m="1" x="1188"/>
        <item m="1" x="4426"/>
        <item m="1" x="2379"/>
        <item m="1" x="2440"/>
        <item m="1" x="2051"/>
        <item m="1" x="2603"/>
        <item m="1" x="5095"/>
        <item m="1" x="6411"/>
        <item m="1" x="6989"/>
        <item m="1" x="7751"/>
        <item m="1" x="6173"/>
        <item m="1" x="2681"/>
        <item m="1" x="2135"/>
        <item m="1" x="2106"/>
        <item m="1" x="5173"/>
        <item m="1" x="5255"/>
        <item m="1" x="1798"/>
        <item m="1" x="275"/>
        <item m="1" x="5206"/>
        <item m="1" x="3243"/>
        <item m="1" x="1013"/>
        <item m="1" x="274"/>
        <item m="1" x="3409"/>
        <item m="1" x="6713"/>
        <item m="1" x="2378"/>
        <item m="1" x="3860"/>
        <item m="1" x="3253"/>
        <item m="1" x="3518"/>
        <item m="1" x="1243"/>
        <item m="1" x="7766"/>
        <item m="1" x="262"/>
        <item m="1" x="1813"/>
        <item m="1" x="493"/>
        <item m="1" x="299"/>
        <item m="1" x="7290"/>
        <item m="1" x="7531"/>
        <item m="1" x="741"/>
        <item m="1" x="5025"/>
        <item m="1" x="5429"/>
        <item m="1" x="2428"/>
        <item m="1" x="3567"/>
        <item m="1" x="6436"/>
        <item m="1" x="7273"/>
        <item m="1" x="7494"/>
        <item m="1" x="7732"/>
        <item m="1" x="7970"/>
        <item m="1" x="261"/>
        <item m="1" x="7289"/>
        <item m="1" x="7808"/>
        <item m="1" x="7982"/>
        <item m="1" x="504"/>
        <item m="1" x="6239"/>
        <item m="1" x="396"/>
        <item m="1" x="6812"/>
        <item m="1" x="2246"/>
        <item m="1" x="1263"/>
        <item m="1" x="3290"/>
        <item m="1" x="3538"/>
        <item m="1" x="325"/>
        <item m="1" x="2828"/>
        <item m="1" x="7070"/>
        <item m="1" x="529"/>
        <item m="1" x="7085"/>
        <item m="1" x="6932"/>
        <item m="1" x="1262"/>
        <item m="1" x="5629"/>
        <item m="1" x="7565"/>
        <item m="1" x="337"/>
        <item m="1" x="1065"/>
        <item m="1" x="1352"/>
        <item m="1" x="3463"/>
        <item m="1" x="5084"/>
        <item m="1" x="774"/>
        <item m="1" x="3564"/>
        <item m="1" x="2441"/>
        <item m="1" x="4136"/>
        <item m="1" x="755"/>
        <item m="1" x="1885"/>
        <item m="1" x="5630"/>
        <item m="1" x="2962"/>
        <item m="1" x="4093"/>
        <item m="1" x="159"/>
        <item m="1" x="7006"/>
        <item m="1" x="7733"/>
        <item m="1" x="6259"/>
        <item m="1" x="1244"/>
        <item m="1" x="3188"/>
        <item m="1" x="1812"/>
        <item m="1" x="1581"/>
        <item m="1" x="5124"/>
        <item m="1" x="2710"/>
        <item m="1" x="527"/>
        <item m="1" x="2449"/>
        <item m="1" x="6396"/>
        <item m="1" x="4501"/>
        <item m="1" x="4774"/>
        <item m="1" x="3876"/>
        <item m="1" x="3368"/>
        <item m="1" x="5488"/>
        <item m="1" x="5023"/>
        <item m="1" x="2285"/>
        <item m="1" x="2464"/>
        <item m="1" x="7480"/>
        <item m="1" x="6084"/>
        <item m="1" x="3718"/>
        <item m="1" x="4570"/>
        <item m="1" x="5011"/>
        <item m="1" x="5051"/>
        <item m="1" x="2996"/>
        <item m="1" x="3230"/>
        <item m="1" x="6101"/>
        <item m="1" x="7435"/>
        <item m="1" x="4775"/>
        <item m="1" x="7034"/>
        <item m="1" x="7174"/>
        <item m="1" x="5389"/>
        <item m="1" x="5871"/>
        <item m="1" x="1365"/>
        <item m="1" x="5065"/>
        <item m="1" x="3404"/>
        <item m="1" x="3617"/>
        <item m="1" x="3551"/>
        <item m="1" x="7677"/>
        <item m="1" x="6407"/>
        <item m="1" x="3937"/>
        <item m="1" x="4248"/>
        <item m="1" x="2086"/>
        <item m="1" x="2465"/>
        <item m="1" x="4556"/>
        <item m="1" x="3924"/>
        <item m="1" x="6291"/>
        <item m="1" x="5304"/>
        <item m="1" x="4145"/>
        <item m="1" x="7156"/>
        <item m="1" x="5587"/>
        <item m="1" x="6664"/>
        <item m="1" x="6905"/>
        <item m="1" x="2265"/>
        <item m="1" x="3299"/>
        <item m="1" x="5517"/>
        <item m="1" x="1337"/>
        <item m="1" x="5078"/>
        <item m="1" x="2202"/>
        <item m="1" x="5793"/>
        <item m="1" x="5305"/>
        <item m="1" x="7462"/>
        <item m="1" x="2133"/>
        <item m="1" x="3435"/>
        <item m="1" x="3654"/>
        <item m="1" x="3778"/>
        <item m="1" x="1895"/>
        <item m="1" x="5532"/>
        <item m="1" x="5270"/>
        <item m="1" x="5287"/>
        <item m="1" x="7476"/>
        <item m="1" x="3923"/>
        <item m="1" x="4137"/>
        <item m="1" x="3530"/>
        <item m="1" x="773"/>
        <item m="1" x="6378"/>
        <item m="1" x="4121"/>
        <item m="1" x="4377"/>
        <item m="1" x="2466"/>
        <item m="1" x="6168"/>
        <item m="1" x="4604"/>
        <item m="1" x="3708"/>
        <item m="1" x="2088"/>
        <item m="1" x="3707"/>
        <item m="1" x="3011"/>
        <item m="1" x="4419"/>
        <item m="1" x="6643"/>
        <item m="1" x="6692"/>
        <item m="1" x="2759"/>
        <item m="1" x="6113"/>
        <item m="1" x="6681"/>
        <item m="1" x="5835"/>
        <item m="1" x="7291"/>
        <item m="1" x="6003"/>
        <item m="1" x="789"/>
        <item m="1" x="4521"/>
        <item m="1" x="4321"/>
        <item m="1" x="6085"/>
        <item m="1" x="6509"/>
        <item m="1" x="6644"/>
        <item m="1" x="6363"/>
        <item m="1" x="3751"/>
        <item m="1" x="788"/>
        <item m="1" x="4612"/>
        <item m="1" x="2887"/>
        <item m="1" x="6928"/>
        <item m="1" x="3742"/>
        <item m="1" x="4138"/>
        <item m="1" x="5024"/>
        <item m="1" x="5419"/>
        <item m="1" x="4571"/>
        <item m="1" x="3764"/>
        <item m="1" x="5518"/>
        <item m="1" x="4851"/>
        <item m="1" x="6682"/>
        <item m="1" x="6693"/>
        <item m="1" x="5091"/>
        <item m="1" x="2181"/>
        <item m="1" x="3913"/>
        <item m="1" x="4584"/>
        <item m="1" x="3844"/>
        <item m="1" x="4039"/>
        <item m="1" x="5551"/>
        <item m="1" x="6102"/>
        <item m="1" x="3728"/>
        <item m="1" x="6146"/>
        <item m="1" x="6665"/>
        <item m="1" x="1959"/>
        <item m="1" x="7175"/>
        <item m="1" x="7553"/>
        <item m="1" x="2711"/>
        <item m="1" x="3031"/>
        <item m="1" x="4146"/>
        <item m="1" x="2458"/>
        <item m="1" x="3592"/>
        <item m="1" x="6466"/>
        <item m="1" x="7839"/>
        <item m="1" x="3012"/>
        <item m="1" x="5533"/>
        <item m="1" x="7193"/>
        <item m="1" x="7660"/>
        <item m="1" x="1847"/>
        <item m="1" x="216"/>
        <item m="1" x="5092"/>
        <item m="1" x="558"/>
        <item m="1" x="490"/>
        <item m="1" x="1031"/>
        <item m="1" x="5567"/>
        <item m="1" x="6972"/>
        <item m="1" x="5146"/>
        <item m="1" x="5677"/>
        <item m="1" x="4942"/>
        <item m="1" x="1746"/>
        <item m="1" x="4420"/>
        <item m="1" x="4633"/>
        <item m="1" x="5586"/>
        <item m="1" x="6733"/>
        <item m="1" x="6186"/>
        <item m="1" x="2779"/>
        <item m="1" x="4180"/>
        <item m="1" x="1960"/>
        <item m="1" x="2203"/>
        <item m="1" x="2467"/>
        <item m="1" x="6270"/>
        <item m="1" x="4391"/>
        <item m="1" x="4605"/>
        <item m="1" x="4018"/>
        <item m="1" x="4622"/>
        <item m="1" x="4634"/>
        <item m="1" x="6432"/>
        <item m="1" x="5170"/>
        <item m="1" x="6814"/>
        <item m="1" x="2873"/>
        <item m="1" x="7215"/>
        <item m="1" x="6218"/>
        <item m="1" x="807"/>
        <item m="1" x="528"/>
        <item m="1" x="823"/>
        <item m="1" x="5104"/>
        <item m="1" x="5115"/>
        <item m="1" x="5921"/>
        <item m="1" x="7270"/>
        <item m="1" x="1076"/>
        <item m="1" x="7041"/>
        <item m="1" x="6290"/>
        <item m="1" x="6147"/>
        <item m="1" x="3763"/>
        <item m="1" x="6734"/>
        <item m="1" x="1909"/>
        <item m="1" x="1615"/>
        <item m="1" x="4606"/>
        <item m="1" x="3999"/>
        <item m="1" x="4650"/>
        <item m="1" x="7257"/>
        <item m="1" x="5452"/>
        <item m="1" x="5920"/>
        <item m="1" x="555"/>
        <item m="1" x="1741"/>
        <item m="1" x="4404"/>
        <item m="1" x="4255"/>
        <item m="1" x="5657"/>
        <item m="1" x="4221"/>
        <item m="1" x="4665"/>
        <item m="1" x="2300"/>
        <item m="1" x="2555"/>
        <item m="1" x="4182"/>
        <item m="1" x="4361"/>
        <item m="1" x="3932"/>
        <item m="1" x="7821"/>
        <item m="1" x="4181"/>
        <item m="1" x="6694"/>
        <item m="1" x="5626"/>
        <item m="1" x="5944"/>
        <item m="1" x="465"/>
        <item m="1" x="1116"/>
        <item m="1" x="2072"/>
        <item m="1" x="4900"/>
        <item m="1" x="3570"/>
        <item m="1" x="3765"/>
        <item m="1" x="3147"/>
        <item m="1" x="2810"/>
        <item m="1" x="3793"/>
        <item m="1" x="4603"/>
        <item m="1" x="3030"/>
        <item m="1" x="3261"/>
        <item m="1" x="4019"/>
        <item m="1" x="4421"/>
        <item m="1" x="4236"/>
        <item m="1" x="586"/>
        <item m="1" x="5485"/>
        <item m="1" x="4020"/>
        <item m="1" x="4222"/>
        <item m="1" x="3358"/>
        <item m="1" x="6803"/>
        <item m="1" x="6821"/>
        <item m="1" x="6200"/>
        <item m="1" x="809"/>
        <item m="1" x="5982"/>
        <item m="1" x="4952"/>
        <item m="1" x="3794"/>
        <item m="1" x="459"/>
        <item m="1" x="5641"/>
        <item m="1" x="5642"/>
        <item m="1" x="559"/>
        <item m="1" x="5116"/>
        <item m="1" x="4466"/>
        <item m="1" x="4037"/>
        <item m="1" x="5354"/>
        <item m="1" x="4888"/>
        <item m="1" x="6768"/>
        <item m="1" x="1990"/>
        <item m="1" x="6961"/>
        <item m="1" x="6756"/>
        <item m="1" x="5405"/>
        <item m="1" x="1158"/>
        <item m="1" x="288"/>
        <item m="1" x="2173"/>
        <item m="1" x="1891"/>
        <item m="1" x="6447"/>
        <item m="1" x="5385"/>
        <item m="1" x="7326"/>
        <item m="1" x="3548"/>
        <item m="1" x="834"/>
        <item m="1" x="845"/>
        <item m="1" x="1510"/>
        <item m="1" x="6583"/>
        <item m="1" x="7020"/>
        <item m="1" x="6220"/>
        <item m="1" x="2119"/>
        <item m="1" x="4868"/>
        <item m="1" x="1531"/>
        <item m="1" x="6431"/>
        <item m="1" x="5609"/>
        <item m="1" x="3085"/>
        <item m="1" x="4198"/>
        <item m="1" x="4405"/>
        <item m="1" x="5588"/>
        <item m="1" x="6148"/>
        <item m="1" x="3086"/>
        <item m="1" x="2867"/>
        <item m="1" x="6187"/>
        <item m="1" x="6735"/>
        <item m="1" x="3337"/>
        <item m="1" x="2321"/>
        <item m="1" x="6479"/>
        <item m="1" x="6680"/>
        <item m="1" x="5751"/>
        <item m="1" x="1245"/>
        <item m="1" x="7441"/>
        <item m="1" x="4623"/>
        <item m="1" x="3826"/>
        <item m="1" x="5093"/>
        <item m="1" x="5129"/>
        <item m="1" x="5370"/>
        <item m="1" x="5147"/>
        <item m="1" x="5945"/>
        <item m="1" x="5658"/>
        <item m="1" x="6236"/>
        <item m="1" x="6769"/>
        <item m="1" x="4457"/>
        <item m="1" x="6257"/>
        <item m="1" x="5130"/>
        <item m="1" x="2988"/>
        <item m="1" x="135"/>
        <item m="1" x="6177"/>
        <item m="1" x="6225"/>
        <item m="1" x="3830"/>
        <item m="1" x="6565"/>
        <item m="1" x="5447"/>
        <item m="1" x="4678"/>
        <item m="1" x="1549"/>
        <item m="1" x="7330"/>
        <item m="1" x="6035"/>
        <item m="1" x="7737"/>
        <item m="1" x="3624"/>
        <item m="1" x="6499"/>
        <item m="1" x="7868"/>
        <item m="1" x="7271"/>
        <item m="1" x="5960"/>
        <item m="1" x="5696"/>
        <item m="1" x="5636"/>
        <item m="1" x="4223"/>
        <item m="1" x="4290"/>
        <item m="1" x="4511"/>
        <item m="1" x="4729"/>
        <item m="1" x="4708"/>
        <item m="1" x="5659"/>
        <item m="1" x="5979"/>
        <item m="1" x="6237"/>
        <item m="1" x="6811"/>
        <item m="1" x="7361"/>
        <item m="1" x="7805"/>
        <item m="1" x="4737"/>
        <item m="1" x="4980"/>
        <item m="1" x="5176"/>
        <item m="1" x="5680"/>
        <item m="1" x="6761"/>
        <item m="1" x="7010"/>
        <item m="1" x="5192"/>
        <item m="1" x="5437"/>
        <item m="1" x="3853"/>
        <item m="1" x="4051"/>
        <item m="1" x="5430"/>
        <item m="1" x="5234"/>
        <item m="1" x="6497"/>
        <item m="1" x="7343"/>
        <item m="1" x="5951"/>
        <item m="1" x="6793"/>
        <item m="1" x="1883"/>
        <item m="1" x="4345"/>
        <item m="1" x="5511"/>
        <item m="1" x="7533"/>
        <item m="1" x="3683"/>
        <item m="1" x="4717"/>
        <item m="1" x="4960"/>
        <item m="1" x="5163"/>
        <item m="1" x="329"/>
        <item m="1" x="778"/>
        <item m="1" x="1014"/>
        <item m="1" x="2952"/>
        <item m="1" x="7297"/>
        <item m="1" x="499"/>
        <item m="1" x="4943"/>
        <item m="1" x="2461"/>
        <item m="1" x="2731"/>
        <item m="1" x="3205"/>
        <item m="1" x="7351"/>
        <item m="1" x="7549"/>
        <item m="1" x="4707"/>
        <item m="1" x="5336"/>
        <item m="1" x="1582"/>
        <item m="1" x="1716"/>
        <item m="1" x="5669"/>
        <item m="1" x="5681"/>
        <item m="1" x="7365"/>
        <item m="1" x="6262"/>
        <item m="1" x="6527"/>
        <item m="1" x="6486"/>
        <item m="1" x="6775"/>
        <item m="1" x="7030"/>
        <item m="1" x="2157"/>
        <item m="1" x="5209"/>
        <item m="1" x="7004"/>
        <item m="1" x="1330"/>
        <item m="1" x="680"/>
        <item m="1" x="6300"/>
        <item m="1" x="5959"/>
        <item m="1" x="1015"/>
        <item m="1" x="139"/>
        <item m="1" x="5954"/>
        <item m="1" x="5987"/>
        <item m="1" x="6507"/>
        <item m="1" x="5682"/>
        <item m="1" x="7200"/>
        <item m="1" x="5243"/>
        <item m="1" x="1267"/>
        <item m="1" x="1554"/>
        <item m="1" x="1818"/>
        <item m="1" x="5193"/>
        <item m="1" x="2034"/>
        <item m="1" x="6506"/>
        <item m="1" x="5703"/>
        <item m="1" x="4746"/>
        <item m="1" x="874"/>
        <item m="1" x="1616"/>
        <item m="1" x="6244"/>
        <item m="1" x="1096"/>
        <item m="1" x="516"/>
        <item m="1" x="2122"/>
        <item m="1" x="6245"/>
        <item m="1" x="7075"/>
        <item m="1" x="7520"/>
        <item m="1" x="6316"/>
        <item m="1" x="6219"/>
        <item m="1" x="6816"/>
        <item m="1" x="7074"/>
        <item m="1" x="5794"/>
        <item m="1" x="6263"/>
        <item m="1" x="140"/>
        <item m="1" x="1648"/>
        <item m="1" x="7325"/>
        <item m="1" x="1001"/>
        <item m="1" x="7106"/>
        <item m="1" x="7378"/>
        <item m="1" x="580"/>
        <item m="1" x="7828"/>
        <item m="1" x="1619"/>
        <item m="1" x="5210"/>
        <item m="1" x="1016"/>
        <item m="1" x="720"/>
        <item m="1" x="1317"/>
        <item m="1" x="5723"/>
        <item m="1" x="4698"/>
        <item m="1" x="7011"/>
        <item m="1" x="7472"/>
        <item m="1" x="2513"/>
        <item m="1" x="7091"/>
        <item m="1" x="587"/>
        <item m="1" x="1155"/>
        <item m="1" x="5738"/>
        <item m="1" x="1649"/>
        <item m="1" x="4249"/>
        <item m="1" x="1334"/>
        <item m="1" x="3702"/>
        <item m="1" x="6836"/>
        <item m="1" x="5456"/>
        <item m="1" x="3825"/>
        <item m="1" x="7550"/>
        <item m="1" x="4632"/>
        <item m="1" x="3065"/>
        <item m="1" x="3298"/>
        <item m="1" x="4510"/>
        <item m="1" x="353"/>
        <item m="1" x="1358"/>
        <item m="1" x="178"/>
        <item m="1" x="624"/>
        <item m="1" x="5546"/>
        <item m="1" x="6508"/>
        <item m="1" x="7842"/>
        <item m="1" x="1097"/>
        <item m="1" x="2180"/>
        <item m="1" x="802"/>
        <item m="1" x="6844"/>
        <item m="1" x="4684"/>
        <item m="1" x="388"/>
        <item m="1" x="1504"/>
        <item m="1" x="5717"/>
        <item m="1" x="6817"/>
        <item m="1" x="1601"/>
        <item m="1" x="625"/>
        <item m="1" x="1676"/>
        <item m="1" x="6550"/>
        <item m="1" x="7076"/>
        <item m="1" x="5226"/>
        <item m="1" x="7092"/>
        <item m="1" x="7855"/>
        <item m="1" x="7366"/>
        <item m="1" x="5727"/>
        <item m="1" x="6058"/>
        <item m="1" x="7404"/>
        <item m="1" x="2565"/>
        <item m="1" x="1915"/>
        <item m="1" x="185"/>
        <item m="1" x="3255"/>
        <item m="1" x="2222"/>
        <item m="1" x="7843"/>
        <item m="1" x="2215"/>
        <item m="1" x="7853"/>
        <item m="1" x="1600"/>
        <item m="1" x="1331"/>
        <item m="1" x="1516"/>
        <item m="1" x="7717"/>
        <item m="1" x="1666"/>
        <item m="1" x="6296"/>
        <item m="1" x="3584"/>
        <item m="1" x="916"/>
        <item m="1" x="1710"/>
        <item m="1" x="839"/>
        <item m="1" x="153"/>
        <item m="1" x="2154"/>
        <item m="1" x="772"/>
        <item m="1" x="6785"/>
        <item m="1" x="6008"/>
        <item m="1" x="825"/>
        <item m="1" x="2158"/>
        <item m="1" x="3018"/>
        <item m="1" x="6815"/>
        <item m="1" x="6710"/>
        <item m="1" x="1603"/>
        <item m="1" x="546"/>
        <item m="1" x="5417"/>
        <item m="1" x="2694"/>
        <item m="1" x="6273"/>
        <item m="1" x="1376"/>
        <item m="1" x="6274"/>
        <item m="1" x="1566"/>
        <item m="1" x="5581"/>
        <item m="1" x="5997"/>
        <item m="1" x="6589"/>
        <item m="1" x="7176"/>
        <item m="1" x="7430"/>
        <item m="1" x="592"/>
        <item m="1" x="2693"/>
        <item m="1" x="7123"/>
        <item m="1" x="1602"/>
        <item m="1" x="2993"/>
        <item m="1" x="3417"/>
        <item m="1" x="3295"/>
        <item m="1" x="1057"/>
        <item m="1" x="7367"/>
        <item m="1" x="7892"/>
        <item m="1" x="7304"/>
        <item m="1" x="5998"/>
        <item m="1" x="5772"/>
        <item m="1" x="5668"/>
        <item m="1" x="6548"/>
        <item m="1" x="1939"/>
        <item m="1" x="1675"/>
        <item m="1" x="2279"/>
        <item m="1" x="6337"/>
        <item m="1" x="2809"/>
        <item m="1" x="3317"/>
        <item m="1" x="662"/>
        <item m="1" x="1635"/>
        <item m="1" x="4148"/>
        <item m="1" x="6549"/>
        <item m="1" x="2223"/>
        <item m="1" x="7107"/>
        <item m="1" x="6872"/>
        <item m="1" x="1935"/>
        <item m="1" x="4067"/>
        <item m="1" x="7822"/>
        <item m="1" x="1736"/>
        <item m="1" x="3293"/>
        <item m="1" x="4711"/>
        <item m="1" x="2018"/>
        <item m="1" x="2514"/>
        <item m="1" x="2794"/>
        <item m="1" x="6345"/>
        <item m="1" x="7629"/>
        <item m="1" x="413"/>
        <item m="1" x="2263"/>
        <item m="1" x="6873"/>
        <item m="1" x="6645"/>
        <item m="1" x="7882"/>
        <item m="1" x="718"/>
        <item m="1" x="211"/>
        <item m="1" x="1718"/>
        <item m="1" x="3727"/>
        <item m="1" x="5489"/>
        <item m="1" x="7194"/>
        <item m="1" x="6132"/>
        <item m="1" x="6365"/>
        <item m="1" x="864"/>
        <item m="1" x="628"/>
        <item m="1" x="3318"/>
        <item m="1" x="228"/>
        <item m="1" x="6906"/>
        <item m="1" x="682"/>
        <item m="1" x="534"/>
        <item m="1" x="2280"/>
        <item m="1" x="2281"/>
        <item m="1" x="951"/>
        <item m="1" x="6305"/>
        <item m="1" x="229"/>
        <item m="1" x="3294"/>
        <item m="1" x="6606"/>
        <item m="1" x="7405"/>
        <item m="1" x="5473"/>
        <item m="1" x="926"/>
        <item m="1" x="6361"/>
        <item m="1" x="6256"/>
        <item m="1" x="1653"/>
        <item m="1" x="1098"/>
        <item m="1" x="1737"/>
        <item m="1" x="242"/>
        <item m="1" x="427"/>
        <item m="1" x="1111"/>
        <item m="1" x="3062"/>
        <item m="1" x="6380"/>
        <item m="1" x="7586"/>
        <item m="1" x="3662"/>
        <item m="1" x="850"/>
        <item m="1" x="7895"/>
        <item m="1" x="3954"/>
        <item m="1" x="810"/>
        <item m="1" x="5446"/>
        <item m="1" x="681"/>
        <item m="1" x="5697"/>
        <item m="1" x="5771"/>
        <item m="1" x="7648"/>
        <item m="1" x="2019"/>
        <item m="1" x="1112"/>
        <item m="1" x="7419"/>
        <item m="1" x="1719"/>
        <item m="1" x="6889"/>
        <item m="1" x="2824"/>
        <item m="1" x="3852"/>
        <item m="1" x="212"/>
        <item m="1" x="1134"/>
        <item m="1" x="3849"/>
        <item m="1" x="5079"/>
        <item m="1" x="7692"/>
        <item m="1" x="6114"/>
        <item m="1" x="1148"/>
        <item m="1" x="1425"/>
        <item m="1" x="4664"/>
        <item m="1" x="3104"/>
        <item m="1" x="3336"/>
        <item m="1" x="4534"/>
        <item m="1" x="7678"/>
        <item m="1" x="2575"/>
        <item m="1" x="398"/>
        <item m="1" x="7256"/>
        <item m="1" x="1637"/>
        <item m="1" x="2551"/>
        <item m="1" x="5900"/>
        <item m="1" x="213"/>
        <item m="1" x="5066"/>
        <item m="1" x="7431"/>
        <item m="1" x="7931"/>
        <item m="1" x="4848"/>
        <item m="1" x="4979"/>
        <item m="1" x="5371"/>
        <item m="1" x="6782"/>
        <item m="1" x="6973"/>
        <item m="1" x="7244"/>
        <item m="1" x="2626"/>
        <item m="1" x="903"/>
        <item m="1" x="6830"/>
        <item m="1" x="6075"/>
        <item m="1" x="444"/>
        <item m="1" x="3371"/>
        <item m="1" x="7781"/>
        <item m="1" x="6133"/>
        <item m="1" x="904"/>
        <item m="1" x="273"/>
        <item m="1" x="1938"/>
        <item m="1" x="2221"/>
        <item m="1" x="2755"/>
        <item m="1" x="1493"/>
        <item m="1" x="3034"/>
        <item m="1" x="2308"/>
        <item m="1" x="6033"/>
        <item m="1" x="5053"/>
        <item m="1" x="3345"/>
        <item m="1" x="4211"/>
        <item m="1" x="2255"/>
        <item m="1" x="3886"/>
        <item m="1" x="1375"/>
        <item m="1" x="1555"/>
        <item m="1" x="5750"/>
        <item m="1" x="7838"/>
        <item m="1" x="2030"/>
        <item m="1" x="5341"/>
        <item m="1" x="3608"/>
        <item m="1" x="1481"/>
        <item m="1" x="6344"/>
        <item m="1" x="6323"/>
        <item m="1" x="919"/>
        <item m="1" x="3356"/>
        <item m="1" x="2237"/>
        <item m="1" x="6646"/>
        <item m="1" x="297"/>
        <item m="1" x="6667"/>
        <item m="1" x="2264"/>
        <item m="1" x="6346"/>
        <item m="1" x="7418"/>
        <item m="1" x="1208"/>
        <item m="1" x="2533"/>
        <item m="1" x="5534"/>
        <item m="1" x="196"/>
        <item m="1" x="7693"/>
        <item m="1" x="1756"/>
        <item m="1" x="2029"/>
        <item m="1" x="2845"/>
        <item m="1" x="197"/>
        <item m="1" x="649"/>
        <item m="1" x="1738"/>
        <item m="1" x="1450"/>
        <item m="1" x="3821"/>
        <item m="1" x="6409"/>
        <item m="1" x="2989"/>
        <item m="1" x="6755"/>
        <item m="1" x="2572"/>
        <item m="1" x="902"/>
        <item m="1" x="2298"/>
        <item m="1" x="5764"/>
        <item m="1" x="1598"/>
        <item m="1" x="5393"/>
        <item m="1" x="5472"/>
        <item m="1" x="5342"/>
        <item m="1" x="6591"/>
        <item m="1" x="5706"/>
        <item m="1" x="7126"/>
        <item m="1" x="6717"/>
        <item m="1" x="6414"/>
        <item m="1" x="6275"/>
        <item m="1" x="7496"/>
        <item m="1" x="6979"/>
        <item m="1" x="6698"/>
        <item m="1" x="6401"/>
        <item m="1" x="7276"/>
        <item m="1" x="7127"/>
        <item m="1" x="6718"/>
        <item m="1" x="6415"/>
        <item m="1" x="6276"/>
        <item m="1" x="7482"/>
        <item m="1" x="7380"/>
        <item m="1" x="6242"/>
        <item m="1" x="6307"/>
        <item m="1" x="7930"/>
        <item m="1" x="1680"/>
        <item m="1" x="1999"/>
        <item m="1" x="3399"/>
        <item m="1" x="3092"/>
        <item m="1" x="4874"/>
        <item m="1" x="6191"/>
        <item m="1" x="6737"/>
        <item m="1" x="1161"/>
        <item m="1" x="4682"/>
        <item m="1" x="5374"/>
        <item m="1" x="3072"/>
        <item m="1" x="2837"/>
        <item m="1" x="5662"/>
        <item m="1" x="2538"/>
        <item m="1" x="4072"/>
        <item m="1" x="6543"/>
        <item m="1" x="3975"/>
        <item m="1" x="3782"/>
        <item m="1" x="1765"/>
        <item m="1" x="7119"/>
        <item m="1" x="2836"/>
        <item m="1" x="5390"/>
        <item m="1" x="4609"/>
        <item m="1" x="1449"/>
        <item m="1" x="6907"/>
        <item m="1" x="3145"/>
        <item m="1" x="3798"/>
        <item m="1" x="5118"/>
        <item m="1" x="4683"/>
        <item m="1" x="4920"/>
        <item m="1" x="5391"/>
        <item m="1" x="5981"/>
        <item m="1" x="4904"/>
        <item m="1" x="1745"/>
        <item m="1" x="1706"/>
        <item m="1" x="2055"/>
        <item m="1" x="3429"/>
        <item m="1" x="2451"/>
        <item m="1" x="5702"/>
        <item m="1" x="629"/>
        <item m="1" x="1099"/>
        <item m="1" x="7679"/>
        <item m="1" x="7945"/>
        <item m="1" x="399"/>
        <item m="1" x="683"/>
        <item m="1" x="323"/>
        <item m="1" x="3797"/>
        <item m="1" x="2504"/>
        <item m="1" x="1764"/>
        <item m="1" x="3990"/>
        <item m="1" x="3459"/>
        <item m="1" x="4226"/>
        <item m="1" x="5627"/>
        <item m="1" x="3692"/>
        <item m="1" x="1963"/>
        <item m="1" x="7024"/>
        <item m="1" x="3377"/>
        <item m="1" x="3599"/>
        <item m="1" x="1196"/>
        <item m="1" x="230"/>
        <item m="1" x="2583"/>
        <item m="1" x="2852"/>
        <item m="1" x="4940"/>
        <item m="1" x="3843"/>
        <item m="1" x="348"/>
        <item m="1" x="1149"/>
        <item m="1" x="4440"/>
        <item m="1" x="7546"/>
        <item m="1" x="2092"/>
        <item m="1" x="4066"/>
        <item m="1" x="7532"/>
        <item m="1" x="1806"/>
        <item m="1" x="3615"/>
        <item m="1" x="6438"/>
        <item m="1" x="7277"/>
        <item m="1" x="3922"/>
        <item m="1" x="1537"/>
        <item m="1" x="974"/>
        <item m="1" x="4254"/>
        <item m="1" x="6379"/>
        <item m="1" x="414"/>
        <item m="1" x="2619"/>
        <item m="1" x="3430"/>
        <item m="1" x="2927"/>
        <item m="1" x="4053"/>
        <item m="1" x="4957"/>
        <item m="1" x="5160"/>
        <item m="1" x="6521"/>
        <item m="1" x="7043"/>
        <item m="1" x="6240"/>
        <item m="1" x="7272"/>
        <item m="1" x="1679"/>
        <item m="1" x="4939"/>
        <item m="1" x="5149"/>
        <item m="1" x="6203"/>
        <item m="1" x="5375"/>
        <item m="1" x="5628"/>
        <item m="1" x="367"/>
        <item m="1" x="5355"/>
        <item m="1" x="6433"/>
        <item m="1" x="6683"/>
        <item m="1" x="6929"/>
        <item m="1" x="7195"/>
        <item m="1" x="3586"/>
        <item m="1" x="3881"/>
        <item m="1" x="4463"/>
        <item m="1" x="941"/>
        <item m="1" x="4212"/>
        <item m="1" x="4464"/>
        <item m="1" x="959"/>
        <item m="1" x="3124"/>
        <item m="1" x="2415"/>
        <item m="1" x="3125"/>
        <item m="1" x="3633"/>
        <item m="1" x="1218"/>
        <item m="1" x="7701"/>
        <item m="1" x="3107"/>
        <item m="1" x="5420"/>
        <item m="1" x="4266"/>
        <item m="1" x="4731"/>
        <item m="1" x="759"/>
        <item m="1" x="2620"/>
        <item m="1" x="3126"/>
        <item m="1" x="2908"/>
        <item m="1" x="3146"/>
        <item m="1" x="6056"/>
        <item m="1" x="3868"/>
        <item m="1" x="7057"/>
        <item m="1" x="2562"/>
        <item m="1" x="4978"/>
        <item m="1" x="2650"/>
        <item m="1" x="179"/>
        <item m="1" x="5807"/>
        <item m="1" x="5499"/>
        <item m="1" x="7136"/>
        <item m="1" x="6855"/>
        <item m="1" x="1636"/>
        <item m="1" x="5699"/>
        <item m="1" x="2483"/>
        <item m="1" x="7121"/>
        <item m="1" x="7566"/>
        <item m="1" x="2638"/>
        <item m="1" x="4554"/>
        <item m="1" x="4713"/>
        <item m="1" x="4905"/>
        <item m="1" x="5721"/>
        <item m="1" x="5009"/>
        <item m="1" x="3144"/>
        <item m="1" x="4903"/>
        <item m="1" x="3442"/>
        <item m="1" x="3462"/>
        <item m="1" x="5698"/>
        <item m="1" x="1268"/>
        <item m="1" x="3444"/>
        <item m="1" x="4304"/>
        <item m="1" x="1287"/>
        <item m="1" x="3655"/>
        <item m="1" x="2814"/>
        <item m="1" x="3660"/>
        <item m="1" x="3158"/>
        <item m="1" x="2938"/>
        <item m="1" x="6412"/>
        <item m="1" x="1083"/>
        <item m="1" x="3829"/>
        <item m="1" x="1805"/>
        <item m="1" x="1033"/>
        <item m="1" x="4732"/>
        <item m="1" x="4084"/>
        <item m="1" x="6303"/>
        <item m="1" x="4499"/>
        <item m="1" x="2430"/>
        <item m="1" x="2964"/>
        <item m="1" x="2671"/>
        <item m="1" x="3461"/>
        <item m="1" x="3183"/>
        <item m="1" x="5468"/>
        <item m="1" x="5830"/>
        <item m="1" x="1393"/>
        <item m="1" x="2550"/>
        <item m="1" x="2928"/>
        <item m="1" x="3168"/>
        <item m="1" x="3488"/>
        <item m="1" x="5454"/>
        <item m="1" x="2395"/>
        <item m="1" x="4865"/>
        <item m="1" x="6040"/>
        <item m="1" x="4887"/>
        <item m="1" x="7120"/>
        <item m="1" x="2695"/>
        <item m="1" x="6408"/>
        <item m="1" x="1069"/>
        <item m="1" x="4697"/>
        <item m="1" x="3705"/>
        <item m="1" x="4267"/>
        <item m="1" x="4783"/>
        <item m="1" x="4024"/>
        <item m="1" x="5467"/>
        <item m="1" x="1834"/>
        <item m="1" x="3661"/>
        <item m="1" x="6019"/>
        <item m="1" x="6302"/>
        <item m="1" x="4292"/>
        <item m="1" x="7570"/>
        <item m="1" x="4134"/>
        <item m="1" x="4333"/>
        <item m="1" x="5530"/>
        <item m="1" x="6362"/>
        <item m="1" x="3223"/>
        <item m="1" x="4318"/>
        <item m="1" x="3885"/>
        <item m="1" x="3911"/>
        <item m="1" x="5834"/>
        <item m="1" x="7712"/>
        <item m="1" x="3225"/>
        <item m="1" x="4566"/>
        <item m="1" x="4938"/>
        <item m="1" x="5755"/>
        <item m="1" x="3257"/>
        <item m="1" x="6118"/>
        <item m="1" x="3532"/>
        <item m="1" x="6603"/>
        <item m="1" x="3973"/>
        <item m="1" x="6131"/>
        <item m="1" x="3659"/>
        <item m="1" x="3549"/>
        <item m="1" x="5268"/>
        <item m="1" x="3487"/>
        <item m="1" x="3685"/>
        <item m="1" x="3957"/>
        <item m="1" x="4373"/>
        <item m="1" x="5253"/>
        <item m="1" x="1620"/>
        <item m="1" x="6071"/>
        <item m="1" x="7311"/>
        <item m="1" x="6286"/>
        <item m="1" x="1717"/>
        <item m="1" x="2038"/>
        <item m="1" x="1833"/>
        <item m="1" x="4555"/>
        <item m="1" x="5049"/>
        <item m="1" x="3882"/>
        <item m="1" x="4237"/>
        <item m="1" x="4465"/>
        <item m="1" x="4668"/>
        <item m="1" x="5035"/>
        <item m="1" x="2672"/>
        <item m="1" x="3898"/>
        <item m="1" x="3520"/>
        <item m="1" x="5531"/>
        <item m="1" x="2696"/>
        <item m="1" x="4159"/>
        <item m="1" x="7153"/>
        <item m="1" x="4620"/>
        <item m="1" x="5036"/>
        <item m="1" x="6340"/>
        <item m="1" x="1498"/>
        <item m="1" x="5848"/>
        <item m="1" x="6675"/>
        <item m="1" x="4545"/>
        <item m="1" x="5512"/>
        <item m="1" x="5254"/>
        <item m="1" x="3224"/>
        <item m="1" x="1335"/>
        <item m="1" x="3912"/>
        <item m="1" x="5513"/>
        <item m="1" x="4637"/>
        <item m="1" x="6902"/>
        <item m="1" x="4922"/>
        <item m="1" x="5754"/>
        <item m="1" x="6868"/>
        <item m="1" x="4784"/>
        <item m="1" x="4796"/>
        <item m="1" x="5756"/>
        <item m="1" x="7749"/>
        <item m="1" x="4582"/>
        <item m="1" x="7224"/>
        <item m="1" x="1424"/>
        <item m="1" x="6934"/>
        <item m="1" x="6937"/>
        <item m="1" x="4489"/>
        <item m="1" x="3061"/>
        <item m="1" x="4083"/>
        <item m="1" x="3256"/>
        <item m="1" x="5861"/>
        <item m="1" x="391"/>
        <item m="1" x="7699"/>
        <item m="1" x="883"/>
        <item m="1" x="5799"/>
        <item m="1" x="6629"/>
        <item m="1" x="1113"/>
        <item m="1" x="3869"/>
        <item m="1" x="685"/>
        <item m="1" x="3854"/>
        <item m="1" x="7634"/>
        <item m="1" x="2301"/>
        <item m="1" x="2497"/>
        <item m="1" x="2780"/>
        <item m="1" x="7922"/>
        <item m="1" x="7436"/>
        <item m="1" x="3899"/>
        <item m="1" x="2244"/>
        <item m="1" x="3013"/>
        <item m="1" x="1156"/>
        <item m="1" x="6684"/>
        <item m="1" x="312"/>
        <item m="1" x="6137"/>
        <item m="1" x="1473"/>
        <item m="1" x="6880"/>
        <item m="1" x="7650"/>
        <item m="1" x="6339"/>
        <item m="1" x="7105"/>
        <item m="1" x="2394"/>
        <item m="1" x="2663"/>
        <item m="1" x="1380"/>
        <item m="1" x="7900"/>
        <item m="1" x="2796"/>
        <item m="1" x="3982"/>
        <item m="1" x="5876"/>
        <item m="1" x="2708"/>
        <item m="1" x="3519"/>
        <item m="1" x="5283"/>
        <item m="1" x="5547"/>
        <item m="1" x="5500"/>
        <item m="1" x="5282"/>
        <item m="1" x="6696"/>
        <item m="1" x="5872"/>
        <item m="1" x="4567"/>
        <item m="1" x="4810"/>
        <item m="1" x="4103"/>
        <item m="1" x="5269"/>
        <item m="1" x="1701"/>
        <item m="1" x="2266"/>
        <item m="1" x="3571"/>
        <item m="1" x="7469"/>
        <item m="1" x="4956"/>
        <item m="1" x="7187"/>
        <item m="1" x="201"/>
        <item m="1" x="3441"/>
        <item m="1" x="6843"/>
        <item m="1" x="7225"/>
        <item m="1" x="7684"/>
        <item m="1" x="1138"/>
        <item m="1" x="742"/>
        <item m="1" x="5284"/>
        <item m="1" x="3704"/>
        <item m="1" x="4600"/>
        <item m="1" x="7180"/>
        <item m="1" x="7920"/>
        <item m="1" x="7949"/>
        <item m="1" x="1702"/>
        <item m="1" x="3460"/>
        <item m="1" x="5453"/>
        <item m="1" x="5720"/>
        <item m="1" x="6271"/>
        <item m="1" x="6544"/>
        <item m="1" x="6813"/>
        <item m="1" x="758"/>
        <item m="1" x="634"/>
        <item m="1" x="924"/>
        <item m="1" x="6912"/>
        <item m="1" x="5572"/>
        <item m="1" x="5860"/>
        <item m="1" x="6138"/>
        <item m="1" x="7901"/>
        <item m="1" x="6715"/>
        <item m="1" x="7459"/>
        <item m="1" x="7274"/>
        <item m="1" x="7971"/>
        <item m="1" x="5068"/>
        <item m="1" x="7226"/>
        <item m="1" x="402"/>
        <item m="1" x="1172"/>
        <item m="1" x="1723"/>
        <item m="1" x="1995"/>
        <item m="1" x="2286"/>
        <item m="1" x="2536"/>
        <item m="1" x="2811"/>
        <item m="1" x="3684"/>
        <item m="1" x="245"/>
        <item m="1" x="464"/>
        <item m="1" x="730"/>
        <item m="1" x="925"/>
        <item m="1" x="6976"/>
        <item m="1" x="1190"/>
        <item m="1" x="5582"/>
        <item m="1" x="4610"/>
        <item m="1" x="5212"/>
        <item m="1" x="7934"/>
        <item m="1" x="2485"/>
        <item m="1" x="7342"/>
        <item m="1" x="6034"/>
        <item m="1" x="5808"/>
        <item m="1" x="6588"/>
        <item m="1" x="739"/>
        <item m="1" x="5131"/>
        <item m="1" x="1474"/>
        <item m="1" x="7734"/>
        <item m="1" x="6155"/>
        <item m="1" x="4619"/>
        <item m="1" x="6572"/>
        <item m="1" x="7261"/>
        <item m="1" x="5590"/>
        <item m="1" x="5926"/>
        <item m="1" x="7950"/>
        <item m="1" x="6958"/>
        <item m="1" x="6175"/>
        <item m="1" x="430"/>
        <item m="1" x="7293"/>
        <item m="1" x="6739"/>
        <item m="1" x="7242"/>
        <item m="1" x="3045"/>
        <item m="1" x="1191"/>
        <item m="1" x="1475"/>
        <item m="1" x="1742"/>
        <item m="1" x="2303"/>
        <item m="1" x="2556"/>
        <item m="1" x="2829"/>
        <item m="1" x="3066"/>
        <item m="1" x="3338"/>
        <item m="1" x="3572"/>
        <item m="1" x="7275"/>
        <item m="1" x="908"/>
        <item m="1" x="1233"/>
        <item m="1" x="263"/>
        <item m="1" x="5622"/>
        <item m="1" x="6400"/>
        <item m="1" x="1228"/>
        <item m="1" x="4519"/>
        <item m="1" x="686"/>
        <item m="1" x="2388"/>
        <item m="1" x="5594"/>
        <item m="1" x="7008"/>
        <item m="1" x="4875"/>
        <item m="1" x="2052"/>
        <item m="1" x="2604"/>
        <item m="1" x="5591"/>
        <item m="1" x="3118"/>
        <item m="1" x="3703"/>
        <item m="1" x="7735"/>
        <item m="1" x="5910"/>
        <item m="1" x="3541"/>
        <item m="1" x="3748"/>
        <item m="1" x="5318"/>
        <item m="1" x="5652"/>
        <item m="1" x="1779"/>
        <item m="1" x="1755"/>
        <item m="1" x="4977"/>
        <item m="1" x="5174"/>
        <item m="1" x="6301"/>
        <item m="1" x="2075"/>
        <item m="1" x="2085"/>
        <item m="1" x="1868"/>
        <item m="1" x="5213"/>
        <item m="1" x="6157"/>
        <item m="1" x="4976"/>
        <item m="1" x="7294"/>
        <item m="1" x="1476"/>
        <item m="1" x="494"/>
        <item m="1" x="743"/>
        <item m="1" x="5592"/>
        <item m="1" x="7951"/>
        <item m="1" x="2334"/>
        <item m="1" x="2557"/>
        <item m="1" x="7267"/>
        <item m="1" x="7312"/>
        <item m="1" x="6738"/>
        <item m="1" x="7087"/>
        <item m="1" x="1536"/>
        <item m="1" x="7013"/>
        <item m="1" x="5888"/>
        <item m="1" x="5692"/>
        <item m="1" x="939"/>
        <item m="1" x="6771"/>
        <item m="1" x="1173"/>
        <item m="1" x="7752"/>
        <item m="1" x="5964"/>
        <item m="1" x="2923"/>
        <item m="1" x="5788"/>
        <item m="1" x="6901"/>
        <item m="1" x="4811"/>
        <item m="1" x="4822"/>
        <item m="1" x="7262"/>
        <item m="1" x="1469"/>
        <item m="1" x="1252"/>
        <item m="1" x="513"/>
        <item m="1" x="4669"/>
        <item m="1" x="5132"/>
        <item m="1" x="1453"/>
        <item m="1" x="1724"/>
        <item m="1" x="1996"/>
        <item m="1" x="300"/>
        <item m="1" x="970"/>
        <item m="1" x="1246"/>
        <item m="1" x="1532"/>
        <item m="1" x="1830"/>
        <item m="1" x="4390"/>
        <item m="1" x="2647"/>
        <item m="1" x="5424"/>
        <item m="1" x="2850"/>
        <item m="1" x="1799"/>
        <item m="1" x="7007"/>
        <item m="1" x="7495"/>
        <item m="1" x="1511"/>
        <item m="1" x="2304"/>
        <item m="1" x="7767"/>
        <item m="1" x="6156"/>
        <item m="1" x="6959"/>
        <item m="1" x="1150"/>
        <item m="1" x="3897"/>
        <item m="1" x="6500"/>
        <item m="1" x="744"/>
        <item m="1" x="972"/>
        <item m="1" x="1264"/>
        <item m="1" x="5593"/>
        <item m="1" x="4646"/>
        <item m="1" x="573"/>
        <item m="1" x="6204"/>
        <item m="1" x="6796"/>
        <item m="1" x="121"/>
        <item m="1" x="3960"/>
        <item m="1" x="284"/>
        <item m="1" x="480"/>
        <item m="1" x="7780"/>
        <item m="1" x="495"/>
        <item m="1" x="971"/>
        <item m="1" x="326"/>
        <item m="1" x="2089"/>
        <item m="1" x="338"/>
        <item m="1" x="541"/>
        <item m="1" x="6374"/>
        <item m="1" x="988"/>
        <item m="1" x="6990"/>
        <item m="1" x="1815"/>
        <item m="1" x="2108"/>
        <item m="1" x="991"/>
        <item m="1" x="6986"/>
        <item m="1" x="2754"/>
        <item m="1" x="3568"/>
        <item m="1" x="7547"/>
        <item m="1" x="7996"/>
        <item m="1" x="7997"/>
        <item m="1" x="7296"/>
        <item m="1" x="1816"/>
        <item m="1" x="5922"/>
        <item m="1" x="1800"/>
        <item m="1" x="2073"/>
        <item m="1" x="2349"/>
        <item m="1" x="1814"/>
        <item m="1" x="3649"/>
        <item m="1" x="5376"/>
        <item m="1" x="5963"/>
        <item m="1" x="6450"/>
        <item m="1" x="4992"/>
        <item m="1" x="7722"/>
        <item m="1" x="1512"/>
        <item m="1" x="7516"/>
        <item m="1" x="4921"/>
        <item m="1" x="5353"/>
        <item m="1" x="7223"/>
        <item m="1" x="7071"/>
        <item m="1" x="7779"/>
        <item m="1" x="808"/>
        <item m="1" x="2390"/>
        <item m="1" x="1054"/>
        <item m="1" x="2659"/>
        <item m="1" x="2380"/>
        <item m="1" x="989"/>
        <item m="1" x="7349"/>
        <item m="1" x="3747"/>
        <item m="1" x="5392"/>
        <item m="1" x="5722"/>
        <item m="1" x="756"/>
        <item m="1" x="7414"/>
        <item m="1" x="1567"/>
        <item m="1" x="2413"/>
        <item m="1" x="2668"/>
        <item m="1" x="7328"/>
        <item m="1" x="7072"/>
        <item m="1" x="2120"/>
        <item m="1" x="7313"/>
        <item m="1" x="1617"/>
        <item m="1" x="771"/>
        <item m="1" x="5159"/>
        <item m="1" x="2669"/>
        <item m="1" x="514"/>
        <item m="1" x="1849"/>
        <item m="1" x="2121"/>
        <item m="1" x="362"/>
        <item m="1" x="542"/>
        <item m="1" x="5618"/>
        <item m="1" x="1000"/>
        <item m="1" x="2412"/>
        <item m="1" x="7363"/>
        <item m="1" x="2425"/>
        <item m="1" x="122"/>
        <item m="1" x="7518"/>
        <item m="1" x="719"/>
        <item m="1" x="7058"/>
        <item m="1" x="2134"/>
        <item m="1" x="1091"/>
        <item m="1" x="2660"/>
        <item m="1" x="2706"/>
        <item m="1" x="7292"/>
        <item m="1" x="1866"/>
        <item m="1" x="2414"/>
        <item m="1" x="1338"/>
        <item m="1" x="6757"/>
        <item m="1" x="7582"/>
        <item m="1" x="4544"/>
        <item m="1" x="7137"/>
        <item m="1" x="1599"/>
        <item m="1" x="1624"/>
        <item m="1" x="5818"/>
        <item m="1" x="3220"/>
        <item m="1" x="2955"/>
        <item m="1" x="5214"/>
        <item m="1" x="1694"/>
        <item m="1" x="2009"/>
        <item m="1" x="5700"/>
        <item m="1" x="3300"/>
        <item m="1" x="2442"/>
        <item m="1" x="3593"/>
        <item m="1" x="4102"/>
        <item m="1" x="5413"/>
        <item m="1" x="2156"/>
        <item m="1" x="4322"/>
        <item m="1" x="5323"/>
        <item m="1" x="4378"/>
        <item m="1" x="4305"/>
        <item m="1" x="5862"/>
        <item m="1" x="2164"/>
        <item m="1" x="6313"/>
        <item m="1" x="1796"/>
        <item m="1" x="5000"/>
        <item m="1" x="5207"/>
        <item m="1" x="6338"/>
        <item m="1" x="2110"/>
        <item m="1" x="2095"/>
        <item m="1" x="1892"/>
        <item m="1" x="6765"/>
        <item m="1" x="5744"/>
        <item m="1" x="5470"/>
        <item m="1" x="2389"/>
        <item m="1" x="5334"/>
        <item m="1" x="3729"/>
        <item m="1" x="4040"/>
        <item m="1" x="1186"/>
        <item m="1" x="4023"/>
        <item m="1" x="5490"/>
        <item m="1" x="5761"/>
        <item m="1" x="4362"/>
        <item m="1" x="3280"/>
        <item m="1" x="4799"/>
        <item m="1" x="4459"/>
        <item m="1" x="6406"/>
        <item m="1" x="3534"/>
        <item m="1" x="2793"/>
        <item m="1" x="3625"/>
        <item m="1" x="1848"/>
        <item m="1" x="4785"/>
        <item m="1" x="5271"/>
        <item m="1" x="6036"/>
        <item m="1" x="7410"/>
        <item m="1" x="6306"/>
        <item m="1" x="4122"/>
        <item m="1" x="5241"/>
        <item m="1" x="7806"/>
        <item m="1" x="1879"/>
        <item m="1" x="2469"/>
        <item m="1" x="3730"/>
        <item m="1" x="7394"/>
        <item m="1" x="2431"/>
        <item m="1" x="5008"/>
        <item m="1" x="1783"/>
        <item m="1" x="2479"/>
        <item m="1" x="6451"/>
        <item m="1" x="3490"/>
        <item m="1" x="5745"/>
        <item m="1" x="2736"/>
        <item m="1" x="6324"/>
        <item m="1" x="7772"/>
        <item m="1" x="7505"/>
        <item m="1" x="5288"/>
        <item m="1" x="597"/>
        <item m="1" x="7157"/>
        <item m="1" x="1339"/>
        <item m="1" x="2933"/>
        <item m="1" x="1641"/>
        <item m="1" x="1896"/>
        <item m="1" x="4104"/>
        <item m="1" x="2450"/>
        <item m="1" x="3925"/>
        <item m="1" x="7372"/>
        <item m="1" x="6069"/>
        <item m="1" x="5849"/>
        <item m="1" x="6628"/>
        <item m="1" x="428"/>
        <item m="1" x="797"/>
        <item m="1" x="5191"/>
        <item m="1" x="1897"/>
        <item m="1" x="1703"/>
        <item m="1" x="3596"/>
        <item m="1" x="1086"/>
        <item m="1" x="1669"/>
        <item m="1" x="1381"/>
        <item m="1" x="2761"/>
        <item m="1" x="1103"/>
        <item m="1" x="1658"/>
        <item m="1" x="4857"/>
        <item m="1" x="3206"/>
        <item m="1" x="868"/>
        <item m="1" x="2909"/>
        <item m="1" x="6086"/>
        <item m="1" x="6874"/>
        <item m="1" x="4349"/>
        <item m="1" x="6169"/>
        <item m="1" x="6115"/>
        <item m="1" x="3241"/>
        <item m="1" x="2498"/>
        <item m="1" x="2797"/>
        <item m="1" x="4800"/>
        <item m="1" x="1944"/>
        <item m="1" x="2468"/>
        <item m="1" x="7086"/>
        <item m="1" x="1671"/>
        <item m="1" x="2929"/>
        <item m="1" x="2501"/>
        <item m="1" x="1784"/>
        <item m="1" x="1645"/>
        <item m="1" x="2484"/>
        <item m="1" x="2998"/>
        <item m="1" x="2452"/>
        <item m="1" x="3418"/>
        <item m="1" x="3883"/>
        <item m="1" x="4498"/>
        <item m="1" x="3884"/>
        <item m="1" x="2159"/>
        <item m="1" x="1359"/>
        <item m="1" x="2756"/>
        <item m="1" x="4795"/>
        <item m="1" x="5813"/>
        <item m="1" x="6072"/>
        <item m="1" x="1430"/>
        <item m="1" x="2894"/>
        <item m="1" x="2302"/>
        <item m="1" x="3281"/>
        <item m="1" x="2673"/>
        <item m="1" x="1413"/>
        <item m="1" x="1269"/>
        <item m="1" x="4873"/>
        <item m="1" x="1491"/>
        <item m="1" x="2579"/>
        <item m="1" x="7935"/>
        <item m="1" x="6192"/>
        <item m="1" x="6449"/>
        <item m="1" x="7348"/>
        <item m="1" x="479"/>
        <item m="1" x="1284"/>
        <item m="1" x="3631"/>
        <item m="1" x="4655"/>
        <item m="1" x="7517"/>
        <item m="1" x="7295"/>
        <item m="1" x="2155"/>
        <item m="1" x="2363"/>
        <item m="1" x="3140"/>
        <item m="1" x="5644"/>
        <item m="1" x="7753"/>
        <item m="1" x="7983"/>
        <item m="1" x="6241"/>
        <item m="1" x="4941"/>
        <item m="1" x="560"/>
        <item m="1" x="349"/>
        <item m="1" x="1296"/>
        <item m="1" x="1583"/>
        <item m="1" x="6004"/>
        <item m="1" x="4283"/>
        <item m="1" x="4171"/>
        <item m="1" x="5340"/>
        <item m="1" x="5208"/>
        <item m="1" x="4853"/>
        <item m="1" x="309"/>
        <item m="1" x="515"/>
        <item m="1" x="4839"/>
        <item m="1" x="775"/>
        <item m="1" x="7375"/>
        <item m="1" x="7820"/>
        <item m="1" x="5434"/>
        <item m="1" x="1568"/>
        <item m="1" x="151"/>
        <item m="1" x="1297"/>
        <item m="1" x="1607"/>
        <item m="1" x="1873"/>
        <item m="1" x="2145"/>
        <item m="1" x="2419"/>
        <item m="1" x="3189"/>
        <item m="1" x="3888"/>
        <item m="1" x="4094"/>
        <item m="1" x="4756"/>
        <item m="1" x="3573"/>
        <item m="1" x="5001"/>
        <item m="1" x="5211"/>
        <item m="1" x="4585"/>
        <item m="1" x="5240"/>
        <item m="1" x="943"/>
        <item m="1" x="2207"/>
        <item m="1" x="2060"/>
        <item m="1" x="2420"/>
        <item m="1" x="7795"/>
        <item m="1" x="7616"/>
        <item m="1" x="4565"/>
        <item m="1" x="5552"/>
        <item m="1" x="5858"/>
        <item m="1" x="6103"/>
        <item m="1" x="4587"/>
        <item m="1" x="4183"/>
        <item m="1" x="4586"/>
        <item m="1" x="5105"/>
        <item m="1" x="3959"/>
        <item m="1" x="6347"/>
        <item m="1" x="7139"/>
        <item m="1" x="5831"/>
        <item m="1" x="2231"/>
        <item m="1" x="1075"/>
        <item m="1" x="1625"/>
        <item m="1" x="7432"/>
        <item m="1" x="2204"/>
        <item m="1" x="2737"/>
        <item m="1" x="1979"/>
        <item m="1" x="4010"/>
        <item m="1" x="4133"/>
        <item m="1" x="1961"/>
        <item m="1" x="1431"/>
        <item m="1" x="2781"/>
        <item m="1" x="6397"/>
        <item m="1" x="635"/>
        <item m="1" x="3048"/>
        <item m="1" x="1828"/>
        <item m="1" x="5022"/>
        <item m="1" x="2141"/>
        <item m="1" x="123"/>
        <item m="1" x="6410"/>
        <item m="1" x="2515"/>
        <item m="1" x="5273"/>
        <item m="1" x="5080"/>
        <item m="1" x="4651"/>
        <item m="1" x="5373"/>
        <item m="1" x="1506"/>
        <item m="1" x="3301"/>
        <item m="1" x="4824"/>
        <item m="1" x="7829"/>
        <item m="1" x="4635"/>
        <item m="1" x="1087"/>
        <item m="1" x="3675"/>
        <item m="1" x="3862"/>
        <item m="1" x="2165"/>
        <item m="1" x="4379"/>
        <item m="1" x="4250"/>
        <item m="1" x="6193"/>
        <item m="1" x="5568"/>
        <item m="1" x="577"/>
        <item m="1" x="6325"/>
        <item m="1" x="4147"/>
        <item m="1" x="3938"/>
        <item m="1" x="5052"/>
        <item m="1" x="3535"/>
        <item m="1" x="4869"/>
        <item m="1" x="4350"/>
        <item m="1" x="4335"/>
        <item m="1" x="3971"/>
        <item m="1" x="3359"/>
        <item m="1" x="1434"/>
        <item m="1" x="6366"/>
        <item m="1" x="6647"/>
        <item m="1" x="6888"/>
        <item m="1" x="4654"/>
        <item m="1" x="869"/>
        <item m="1" x="5832"/>
        <item m="1" x="4184"/>
        <item m="1" x="6116"/>
        <item m="1" x="1396"/>
        <item m="1" x="2997"/>
        <item m="1" x="7953"/>
        <item m="1" x="3536"/>
        <item m="1" x="3780"/>
        <item m="1" x="4162"/>
        <item m="1" x="2287"/>
        <item m="1" x="6908"/>
        <item m="1" x="2976"/>
        <item m="1" x="5535"/>
        <item m="1" x="3552"/>
        <item m="1" x="3926"/>
        <item m="1" x="3032"/>
        <item m="1" x="7836"/>
        <item m="1" x="5106"/>
        <item m="1" x="1921"/>
        <item m="1" x="2760"/>
        <item m="1" x="5272"/>
        <item m="1" x="1366"/>
        <item m="1" x="7601"/>
        <item m="1" x="3731"/>
        <item m="1" x="5034"/>
        <item m="1" x="2975"/>
        <item m="1" x="5356"/>
        <item m="1" x="3322"/>
        <item m="1" x="6434"/>
        <item m="1" x="6448"/>
        <item m="1" x="1432"/>
        <item m="1" x="5306"/>
        <item m="1" x="4852"/>
        <item m="1" x="2232"/>
        <item m="1" x="1780"/>
        <item m="1" x="6170"/>
        <item m="1" x="4406"/>
        <item m="1" x="2618"/>
        <item m="1" x="6134"/>
        <item m="1" x="5357"/>
        <item m="1" x="3767"/>
        <item m="1" x="7399"/>
        <item m="1" x="6093"/>
        <item m="1" x="5889"/>
        <item m="1" x="6666"/>
        <item m="1" x="5223"/>
        <item m="1" x="3321"/>
        <item m="1" x="3752"/>
        <item m="1" x="3946"/>
        <item m="1" x="4572"/>
        <item m="1" x="4814"/>
        <item m="1" x="3340"/>
        <item m="1" x="3766"/>
        <item m="1" x="4168"/>
        <item m="1" x="4734"/>
        <item m="1" x="5873"/>
        <item m="1" x="5611"/>
        <item m="1" x="4870"/>
        <item m="1" x="5324"/>
        <item m="1" x="2053"/>
        <item m="1" x="2335"/>
        <item m="1" x="4636"/>
        <item m="1" x="6985"/>
        <item m="1" x="909"/>
        <item m="1" x="2941"/>
        <item m="1" x="2848"/>
        <item m="1" x="6189"/>
        <item m="1" x="5107"/>
        <item m="1" x="6150"/>
        <item m="1" x="3014"/>
        <item m="1" x="2830"/>
        <item m="1" x="717"/>
        <item m="1" x="2648"/>
        <item m="1" x="2649"/>
        <item m="1" x="4407"/>
        <item m="1" x="2636"/>
        <item m="1" x="2905"/>
        <item m="1" x="2849"/>
        <item m="1" x="5386"/>
        <item m="1" x="1980"/>
        <item m="1" x="3927"/>
        <item m="1" x="3411"/>
        <item m="1" x="5874"/>
        <item m="1" x="5148"/>
        <item m="1" x="4599"/>
        <item m="1" x="1071"/>
        <item m="1" x="4224"/>
        <item m="1" x="3339"/>
        <item m="1" x="7003"/>
        <item m="1" x="7344"/>
        <item m="1" x="4666"/>
        <item m="1" x="3397"/>
        <item m="1" x="1157"/>
        <item m="1" x="5859"/>
        <item m="1" x="2918"/>
        <item m="1" x="7492"/>
        <item m="1" x="5418"/>
        <item m="1" x="2868"/>
        <item m="1" x="4679"/>
        <item m="1" x="2499"/>
        <item m="1" x="6357"/>
        <item m="1" x="1864"/>
        <item m="1" x="1214"/>
        <item m="1" x="2965"/>
        <item m="1" x="6201"/>
        <item m="1" x="6463"/>
        <item m="1" x="1032"/>
        <item m="1" x="5171"/>
        <item m="1" x="5724"/>
        <item m="1" x="1997"/>
        <item m="1" x="2288"/>
        <item m="1" x="5157"/>
        <item m="1" x="3412"/>
        <item m="1" x="4747"/>
        <item m="1" x="5464"/>
        <item m="1" x="3051"/>
        <item m="1" x="3375"/>
        <item m="1" x="4871"/>
        <item m="1" x="3827"/>
        <item m="1" x="4439"/>
        <item m="1" x="1725"/>
        <item m="1" x="3341"/>
        <item m="1" x="2336"/>
        <item m="1" x="4301"/>
        <item m="1" x="2446"/>
        <item m="1" x="2323"/>
        <item m="1" x="2160"/>
        <item m="1" x="3809"/>
        <item m="1" x="3046"/>
        <item m="1" x="7258"/>
        <item m="1" x="2707"/>
        <item m="1" x="496"/>
        <item m="1" x="2851"/>
        <item m="1" x="7513"/>
        <item m="1" x="5448"/>
        <item m="1" x="5338"/>
        <item m="1" x="3810"/>
        <item m="1" x="4208"/>
        <item m="1" x="4902"/>
        <item m="1" x="2945"/>
        <item m="1" x="5824"/>
        <item m="1" x="4897"/>
        <item m="1" x="3808"/>
        <item m="1" x="2035"/>
        <item m="1" x="2322"/>
        <item m="1" x="3090"/>
        <item m="1" x="4884"/>
        <item m="1" x="3878"/>
        <item m="1" x="3302"/>
        <item m="1" x="4422"/>
        <item m="1" x="3811"/>
        <item m="1" x="5660"/>
        <item m="1" x="5924"/>
        <item m="1" x="1192"/>
        <item m="1" x="4901"/>
        <item m="1" x="3972"/>
        <item m="1" x="3216"/>
        <item m="1" x="4438"/>
        <item m="1" x="4079"/>
        <item m="1" x="5481"/>
        <item m="1" x="4209"/>
        <item m="1" x="4423"/>
        <item m="1" x="4458"/>
        <item m="1" x="3016"/>
        <item m="1" x="5923"/>
        <item m="1" x="6762"/>
        <item m="1" x="4021"/>
        <item m="1" x="4169"/>
        <item m="1" x="4251"/>
        <item m="1" x="3068"/>
        <item m="1" x="3841"/>
        <item m="1" x="4710"/>
        <item m="1" x="6956"/>
        <item m="1" x="3015"/>
        <item m="1" x="4112"/>
        <item m="1" x="7979"/>
        <item m="1" x="5569"/>
        <item m="1" x="7973"/>
        <item m="1" x="5637"/>
        <item m="1" x="2580"/>
        <item m="1" x="3067"/>
        <item m="1" x="3050"/>
        <item m="1" x="7305"/>
        <item m="1" x="7514"/>
        <item m="1" x="4919"/>
        <item m="1" x="5061"/>
        <item m="1" x="3087"/>
        <item m="1" x="1477"/>
        <item m="1" x="2831"/>
        <item m="1" x="1212"/>
        <item m="1" x="7862"/>
        <item m="1" x="6480"/>
        <item m="1" x="5337"/>
        <item m="1" x="6369"/>
        <item m="1" x="6230"/>
        <item m="1" x="354"/>
        <item m="1" x="3374"/>
        <item m="1" x="4918"/>
        <item m="1" x="544"/>
        <item m="1" x="6787"/>
        <item m="1" x="6464"/>
        <item m="1" x="4437"/>
        <item m="1" x="7279"/>
        <item m="1" x="5016"/>
        <item m="1" x="4652"/>
        <item m="1" x="1586"/>
        <item m="1" x="3184"/>
        <item m="1" x="3431"/>
        <item m="1" x="4927"/>
        <item m="1" x="6226"/>
        <item m="1" x="3049"/>
        <item m="1" x="3779"/>
        <item m="1" x="5961"/>
        <item m="1" x="6149"/>
        <item m="1" x="7568"/>
        <item m="1" x="1851"/>
        <item m="1" x="2396"/>
        <item m="1" x="6528"/>
        <item m="1" x="7783"/>
        <item m="1" x="2416"/>
        <item m="1" x="2939"/>
        <item m="1" x="517"/>
        <item m="1" x="3119"/>
        <item m="1" x="7844"/>
        <item m="1" x="154"/>
        <item m="1" x="6077"/>
        <item m="1" x="6264"/>
        <item m="1" x="340"/>
        <item m="1" x="2397"/>
        <item m="1" x="4953"/>
        <item m="1" x="7140"/>
        <item m="1" x="7599"/>
        <item m="1" x="812"/>
        <item m="1" x="4441"/>
        <item m="1" x="1034"/>
        <item m="1" x="141"/>
        <item m="1" x="1621"/>
        <item m="1" x="593"/>
        <item m="1" x="6648"/>
        <item m="1" x="1251"/>
        <item m="1" x="5108"/>
        <item m="1" x="5203"/>
        <item m="1" x="1869"/>
        <item m="1" x="2953"/>
        <item m="1" x="7521"/>
        <item m="1" x="6837"/>
        <item m="1" x="851"/>
        <item m="1" x="1070"/>
        <item m="1" x="5704"/>
        <item m="1" x="1084"/>
        <item m="1" x="3156"/>
        <item m="1" x="7093"/>
        <item m="1" x="5728"/>
        <item m="1" x="2893"/>
        <item m="1" x="166"/>
        <item m="1" x="1336"/>
        <item m="1" x="5399"/>
        <item m="1" x="6798"/>
        <item m="1" x="5423"/>
        <item m="1" x="7352"/>
        <item m="1" x="1035"/>
        <item m="1" x="3443"/>
        <item m="1" x="4931"/>
        <item m="1" x="3840"/>
        <item m="1" x="1318"/>
        <item m="1" x="2177"/>
        <item m="1" x="2462"/>
        <item m="1" x="2709"/>
        <item m="1" x="3505"/>
        <item m="1" x="609"/>
        <item m="1" x="311"/>
        <item m="1" x="198"/>
        <item m="1" x="4935"/>
        <item m="1" x="7162"/>
        <item m="1" x="4680"/>
        <item m="1" x="803"/>
        <item m="1" x="5194"/>
        <item m="1" x="7874"/>
        <item m="1" x="5999"/>
        <item m="1" x="6188"/>
        <item m="1" x="2994"/>
        <item m="1" x="3258"/>
        <item m="1" x="6786"/>
        <item m="1" x="2225"/>
        <item m="1" x="142"/>
        <item m="1" x="1360"/>
        <item m="1" x="1940"/>
        <item m="1" x="1135"/>
        <item m="1" x="1085"/>
        <item m="1" x="6984"/>
        <item m="1" x="3047"/>
        <item m="1" x="7379"/>
        <item m="1" x="429"/>
        <item m="1" x="5610"/>
        <item m="1" x="4478"/>
        <item m="1" x="243"/>
        <item m="1" x="1377"/>
        <item m="1" x="852"/>
        <item m="1" x="1114"/>
        <item m="1" x="5177"/>
        <item m="1" x="5090"/>
        <item m="1" x="3182"/>
        <item m="1" x="650"/>
        <item m="1" x="155"/>
        <item m="1" x="4993"/>
        <item m="1" x="6046"/>
        <item m="1" x="6518"/>
        <item m="1" x="2199"/>
        <item m="1" x="5372"/>
        <item m="1" x="4988"/>
        <item m="1" x="610"/>
        <item m="1" x="199"/>
        <item m="1" x="400"/>
        <item m="1" x="5081"/>
        <item m="1" x="1100"/>
        <item m="1" x="1916"/>
        <item m="1" x="7618"/>
        <item m="1" x="1361"/>
        <item m="1" x="4477"/>
        <item m="1" x="330"/>
        <item m="1" x="7124"/>
        <item m="1" x="6551"/>
        <item m="1" x="7353"/>
        <item m="1" x="7584"/>
        <item m="1" x="2463"/>
        <item m="1" x="4709"/>
        <item m="1" x="711"/>
        <item m="1" x="1229"/>
        <item m="1" x="5438"/>
        <item m="1" x="6875"/>
        <item m="1" x="1136"/>
        <item m="1" x="3089"/>
        <item m="1" x="3807"/>
        <item m="1" x="7108"/>
        <item m="1" x="7889"/>
        <item m="1" x="7661"/>
        <item m="1" x="1451"/>
        <item m="1" x="6570"/>
        <item m="1" x="6348"/>
        <item m="1" x="6087"/>
        <item m="1" x="6859"/>
        <item m="1" x="3221"/>
        <item m="1" x="651"/>
        <item m="1" x="7630"/>
        <item m="1" x="1774"/>
        <item m="1" x="1259"/>
        <item m="1" x="5471"/>
        <item m="1" x="594"/>
        <item m="1" x="7216"/>
        <item m="1" x="4557"/>
        <item m="1" x="6758"/>
        <item m="1" x="7782"/>
        <item m="1" x="7109"/>
        <item m="1" x="259"/>
        <item m="1" x="3569"/>
        <item m="1" x="5762"/>
        <item m="1" x="5040"/>
        <item m="1" x="6334"/>
        <item m="1" x="6552"/>
        <item m="1" x="5242"/>
        <item m="1" x="865"/>
        <item m="1" x="2900"/>
        <item m="1" x="1410"/>
        <item m="1" x="1294"/>
        <item m="1" x="5502"/>
        <item m="1" x="6930"/>
        <item m="1" x="7875"/>
        <item m="1" x="7177"/>
        <item m="1" x="6498"/>
        <item m="1" x="5235"/>
        <item m="1" x="2020"/>
        <item m="1" x="2534"/>
        <item m="1" x="7631"/>
        <item m="1" x="3410"/>
        <item m="1" x="7433"/>
        <item m="1" x="415"/>
        <item m="1" x="7393"/>
        <item m="1" x="1957"/>
        <item m="1" x="6649"/>
        <item m="1" x="7217"/>
        <item m="1" x="7406"/>
        <item m="1" x="881"/>
        <item m="1" x="4973"/>
        <item m="1" x="866"/>
        <item m="1" x="4748"/>
        <item m="1" x="200"/>
        <item m="1" x="6037"/>
        <item m="1" x="6221"/>
        <item m="1" x="6818"/>
        <item m="1" x="3029"/>
        <item m="1" x="416"/>
        <item m="1" x="1720"/>
        <item m="1" x="921"/>
        <item m="1" x="7021"/>
        <item m="1" x="3088"/>
        <item m="1" x="920"/>
        <item m="1" x="1395"/>
        <item m="1" x="6367"/>
        <item m="1" x="5643"/>
        <item m="1" x="2176"/>
        <item m="1" x="7694"/>
        <item m="1" x="4945"/>
        <item m="1" x="653"/>
        <item m="1" x="1209"/>
        <item m="1" x="6398"/>
        <item m="1" x="3105"/>
        <item m="1" x="1917"/>
        <item m="1" x="244"/>
        <item m="1" x="401"/>
        <item m="1" x="652"/>
        <item m="1" x="2031"/>
        <item m="1" x="5503"/>
        <item m="1" x="6076"/>
        <item m="1" x="7196"/>
        <item m="1" x="665"/>
        <item m="1" x="1507"/>
        <item m="1" x="5795"/>
        <item m="1" x="7896"/>
        <item m="1" x="1412"/>
        <item m="1" x="5561"/>
        <item m="1" x="4530"/>
        <item m="1" x="3010"/>
        <item m="1" x="4497"/>
        <item m="1" x="1187"/>
        <item m="1" x="7932"/>
        <item m="1" x="1700"/>
        <item m="1" x="7125"/>
        <item m="1" x="5006"/>
        <item m="1" x="231"/>
        <item m="1" x="1411"/>
        <item m="1" x="1137"/>
        <item m="1" x="4778"/>
        <item m="1" x="445"/>
        <item m="1" x="1739"/>
        <item m="1" x="6117"/>
        <item m="1" x="6668"/>
        <item m="1" x="1426"/>
        <item m="1" x="3120"/>
        <item m="1" x="3839"/>
        <item m="1" x="7141"/>
        <item m="1" x="2188"/>
        <item m="1" x="3440"/>
        <item m="1" x="5030"/>
        <item m="1" x="2315"/>
        <item m="1" x="2614"/>
        <item m="1" x="2282"/>
        <item m="1" x="5474"/>
        <item m="1" x="7662"/>
        <item m="1" x="3609"/>
        <item m="1" x="3389"/>
        <item m="1" x="3610"/>
        <item m="1" x="1776"/>
        <item m="1" x="3579"/>
        <item m="1" x="5266"/>
        <item m="1" x="7302"/>
        <item m="1" x="4932"/>
        <item m="1" x="5653"/>
        <item m="1" x="1207"/>
        <item m="1" x="7536"/>
        <item m="1" x="2576"/>
        <item m="1" x="2224"/>
        <item m="1" x="1260"/>
        <item m="1" x="3644"/>
        <item m="1" x="7357"/>
        <item m="1" x="4854"/>
        <item m="1" x="7016"/>
        <item m="1" x="2048"/>
        <item m="1" x="3163"/>
        <item m="1" x="2032"/>
        <item m="1" x="5295"/>
        <item m="1" x="3645"/>
        <item m="1" x="2350"/>
        <item m="1" x="3121"/>
        <item m="1" x="3390"/>
        <item m="1" x="3804"/>
        <item m="1" x="4434"/>
        <item m="1" x="4233"/>
        <item m="1" x="4631"/>
        <item m="1" x="6791"/>
        <item m="1" x="5672"/>
        <item m="1" x="4032"/>
        <item m="1" x="6609"/>
        <item m="1" x="4472"/>
        <item m="1" x="5732"/>
        <item m="1" x="2937"/>
        <item m="1" x="5428"/>
        <item m="1" x="5654"/>
        <item m="1" x="5907"/>
        <item m="1" x="1811"/>
        <item x="92"/>
        <item m="1" x="1394"/>
        <item m="1" x="4059"/>
        <item m="1" x="5495"/>
        <item m="1" x="5218"/>
        <item m="1" x="6808"/>
        <item m="1" x="2577"/>
        <item m="1" x="3391"/>
        <item m="1" x="2658"/>
        <item m="1" x="4047"/>
        <item m="1" x="1845"/>
        <item m="1" x="3357"/>
        <item m="1" x="3822"/>
        <item m="1" x="1527"/>
        <item m="1" x="3138"/>
        <item m="1" x="1304"/>
        <item m="1" x="2985"/>
        <item m="1" x="2745"/>
        <item m="1" x="5085"/>
        <item m="1" x="7977"/>
        <item m="1" x="1261"/>
        <item m="1" x="2386"/>
        <item m="1" x="2211"/>
        <item m="1" x="6282"/>
        <item m="1" x="2372"/>
        <item m="1" x="539"/>
        <item m="1" x="3474"/>
        <item m="1" x="344"/>
        <item m="1" x="7409"/>
        <item m="1" x="911"/>
        <item m="1" x="7527"/>
        <item m="1" x="363"/>
        <item m="1" x="482"/>
        <item x="8"/>
        <item m="1" x="894"/>
        <item m="1" x="7440"/>
        <item m="1" x="5583"/>
        <item m="1" x="5917"/>
        <item x="13"/>
        <item m="1" x="1574"/>
        <item m="1" x="510"/>
        <item m="1" x="1020"/>
        <item m="1" x="1840"/>
        <item m="1" x="5097"/>
        <item m="1" x="2932"/>
        <item m="1" x="3209"/>
        <item m="1" x="7253"/>
        <item m="1" x="215"/>
        <item m="1" x="4906"/>
        <item m="1" x="5247"/>
        <item m="1" x="5939"/>
        <item m="1" x="737"/>
        <item m="1" x="3174"/>
        <item m="1" x="7490"/>
        <item m="1" x="7303"/>
        <item m="1" x="7511"/>
        <item m="1" x="319"/>
        <item m="1" x="1025"/>
        <item m="1" x="7788"/>
        <item m="1" x="7522"/>
        <item m="1" x="964"/>
        <item m="1" x="2316"/>
        <item m="1" x="7994"/>
        <item m="1" x="1508"/>
        <item m="1" x="3200"/>
        <item m="1" x="7939"/>
        <item m="1" x="1791"/>
        <item m="1" x="5166"/>
        <item m="1" x="3439"/>
        <item m="1" x="7467"/>
        <item m="1" x="7284"/>
        <item m="1" x="6011"/>
        <item m="1" x="4069"/>
        <item m="1" x="3222"/>
        <item m="1" x="2520"/>
        <item m="1" x="6026"/>
        <item m="1" x="3805"/>
        <item m="1" x="3626"/>
        <item m="1" x="4744"/>
        <item m="1" x="7369"/>
        <item m="1" x="2746"/>
        <item m="1" x="7605"/>
        <item m="1" x="3392"/>
        <item m="1" x="3242"/>
        <item m="1" x="1433"/>
        <item m="1" x="910"/>
        <item m="1" x="6089"/>
        <item m="1" x="5184"/>
        <item m="1" x="7884"/>
        <item m="1" x="676"/>
        <item m="1" x="1626"/>
        <item m="1" x="2625"/>
        <item m="1" x="2697"/>
        <item m="1" x="4967"/>
        <item m="1" x="5768"/>
        <item m="1" x="4048"/>
        <item m="1" x="3497"/>
        <item x="98"/>
        <item m="1" x="7976"/>
        <item m="1" x="3039"/>
        <item m="1" x="1319"/>
        <item m="1" x="2957"/>
        <item m="1" x="3679"/>
        <item m="1" x="6831"/>
        <item m="1" x="6766"/>
        <item m="1" x="6215"/>
        <item m="1" x="5940"/>
        <item m="1" x="2293"/>
        <item m="1" x="726"/>
        <item m="1" x="7928"/>
        <item m="1" x="7709"/>
        <item m="1" x="7268"/>
        <item m="1" x="7744"/>
        <item m="1" x="736"/>
        <item m="1" x="7017"/>
        <item m="1" x="7745"/>
        <item m="1" x="2045"/>
        <item m="1" x="2899"/>
        <item m="1" x="3133"/>
        <item m="1" x="1274"/>
        <item m="1" x="7018"/>
        <item m="1" x="952"/>
        <item m="1" x="7791"/>
        <item m="1" x="7500"/>
        <item m="1" x="7746"/>
        <item m="1" x="754"/>
        <item m="1" x="984"/>
        <item m="1" x="1824"/>
        <item m="1" x="3665"/>
        <item m="1" x="1874"/>
        <item m="1" x="2146"/>
        <item m="1" x="3190"/>
        <item m="1" x="4070"/>
        <item m="1" x="1397"/>
        <item m="1" x="1825"/>
        <item m="1" x="2126"/>
        <item m="1" x="5117"/>
        <item m="1" x="1792"/>
        <item m="1" x="783"/>
        <item m="1" x="7764"/>
        <item m="1" x="5975"/>
        <item m="1" x="2712"/>
        <item m="1" x="1590"/>
        <item m="1" x="2966"/>
        <item m="1" x="3491"/>
        <item m="1" x="1923"/>
        <item m="1" x="5359"/>
        <item m="1" x="129"/>
        <item m="1" x="501"/>
        <item m="1" x="7686"/>
        <item m="1" x="7554"/>
        <item m="1" x="7080"/>
        <item m="1" x="2958"/>
        <item m="1" x="3191"/>
        <item m="1" x="3507"/>
        <item m="1" x="3686"/>
        <item m="1" x="5927"/>
        <item m="1" x="1898"/>
        <item m="1" x="320"/>
        <item m="1" x="509"/>
        <item m="1" x="3180"/>
        <item m="1" x="7526"/>
        <item m="1" x="2179"/>
        <item m="1" x="7341"/>
        <item x="95"/>
        <item x="100"/>
        <item m="1" x="5613"/>
        <item m="1" x="3091"/>
        <item m="1" x="1561"/>
        <item m="1" x="6770"/>
        <item m="1" x="2069"/>
        <item m="1" x="2345"/>
        <item m="1" x="2884"/>
        <item m="1" x="3215"/>
        <item m="1" x="3611"/>
        <item m="1" x="2083"/>
        <item m="1" x="2768"/>
        <item m="1" x="2950"/>
        <item m="1" x="4772"/>
        <item m="1" x="7213"/>
        <item m="1" x="7793"/>
        <item m="1" x="7381"/>
        <item m="1" x="1517"/>
        <item m="1" x="2206"/>
        <item m="1" x="7816"/>
        <item m="1" x="7606"/>
        <item m="1" x="578"/>
        <item m="1" x="523"/>
        <item m="1" x="567"/>
        <item m="1" x="6573"/>
        <item m="1" x="1642"/>
        <item m="1" x="6559"/>
        <item m="1" x="7834"/>
        <item m="1" x="1237"/>
        <item m="1" x="3465"/>
        <item m="1" x="6202"/>
        <item m="1" x="5712"/>
        <item m="1" x="6013"/>
        <item m="1" x="2944"/>
        <item m="1" x="2691"/>
        <item m="1" x="3210"/>
        <item m="1" x="3508"/>
        <item m="1" x="1513"/>
        <item m="1" x="1899"/>
        <item m="1" x="2205"/>
        <item m="1" x="710"/>
        <item m="1" x="7538"/>
        <item m="1" x="1320"/>
        <item m="1" x="7850"/>
        <item m="1" x="2739"/>
        <item m="1" x="3901"/>
        <item m="1" x="1367"/>
        <item m="1" x="2956"/>
        <item m="1" x="3157"/>
        <item m="1" x="1275"/>
        <item m="1" x="965"/>
        <item m="1" x="1021"/>
        <item m="1" x="784"/>
        <item m="1" x="553"/>
        <item m="1" x="795"/>
        <item m="1" x="1022"/>
        <item m="1" x="1292"/>
        <item m="1" x="1841"/>
        <item m="1" x="2113"/>
        <item m="1" x="357"/>
        <item m="1" x="566"/>
        <item m="1" x="2404"/>
        <item m="1" x="2943"/>
        <item m="1" x="1340"/>
        <item m="1" x="1627"/>
        <item m="1" x="2738"/>
        <item m="1" x="1924"/>
        <item m="1" x="2443"/>
        <item m="1" x="5278"/>
        <item m="1" x="768"/>
        <item m="1" x="3254"/>
        <item m="1" x="2971"/>
        <item m="1" x="6022"/>
        <item m="1" x="4105"/>
        <item m="1" x="3877"/>
        <item m="1" x="2987"/>
        <item m="1" x="5496"/>
        <item m="1" x="3539"/>
        <item m="1" x="5524"/>
        <item m="1" x="5773"/>
        <item m="1" x="1029"/>
        <item m="1" x="7621"/>
        <item m="1" x="2021"/>
        <item m="1" x="1659"/>
        <item m="1" x="6053"/>
        <item m="1" x="7370"/>
        <item m="1" x="4141"/>
        <item m="1" x="5809"/>
        <item m="1" x="4433"/>
        <item m="1" x="5101"/>
        <item m="1" x="7815"/>
        <item m="1" x="1662"/>
        <item m="1" x="2475"/>
        <item m="1" x="2961"/>
        <item m="1" x="7510"/>
        <item m="1" x="1950"/>
        <item m="1" x="3895"/>
        <item m="1" x="2784"/>
        <item m="1" x="1933"/>
        <item m="1" x="2249"/>
        <item m="1" x="364"/>
        <item m="1" x="3962"/>
        <item m="1" x="2753"/>
        <item m="1" x="1306"/>
        <item m="1" x="246"/>
        <item m="1" x="6465"/>
        <item m="1" x="1556"/>
        <item m="1" x="6897"/>
        <item m="1" x="7165"/>
        <item m="1" x="3501"/>
        <item m="1" x="5850"/>
        <item m="1" x="4841"/>
        <item m="1" x="1910"/>
        <item m="1" x="2480"/>
        <item m="1" x="2490"/>
        <item m="1" x="3275"/>
        <item m="1" x="3918"/>
        <item m="1" x="2727"/>
        <item m="1" x="7308"/>
        <item m="1" x="1470"/>
        <item m="1" x="4564"/>
        <item m="1" x="1550"/>
        <item m="1" x="2245"/>
        <item m="1" x="3063"/>
        <item m="1" x="7792"/>
        <item m="1" x="7230"/>
        <item m="1" x="3909"/>
        <item m="1" x="4331"/>
        <item m="1" x="6759"/>
        <item m="1" x="4347"/>
        <item m="1" x="3759"/>
        <item m="1" x="3953"/>
        <item m="1" x="5890"/>
        <item m="1" x="4238"/>
        <item m="1" x="4539"/>
        <item m="1" x="5685"/>
        <item m="1" x="3736"/>
        <item m="1" x="2728"/>
        <item m="1" x="3020"/>
        <item m="1" x="1934"/>
        <item m="1" x="6094"/>
        <item m="1" x="4809"/>
        <item m="1" x="1609"/>
        <item m="1" x="3941"/>
        <item m="1" x="4793"/>
        <item m="1" x="2217"/>
        <item m="1" x="7705"/>
        <item m="1" x="2726"/>
        <item m="1" x="4831"/>
        <item m="1" x="5031"/>
        <item m="1" x="1762"/>
        <item m="1" x="1945"/>
        <item m="1" x="2289"/>
        <item m="1" x="5119"/>
        <item m="1" x="128"/>
        <item m="1" x="2216"/>
        <item m="1" x="2807"/>
        <item x="101"/>
        <item m="1" x="3965"/>
        <item m="1" x="3059"/>
        <item m="1" x="3324"/>
        <item m="1" x="5525"/>
        <item m="1" x="7515"/>
        <item m="1" x="3291"/>
        <item m="1" x="5475"/>
        <item m="1" x="2563"/>
        <item m="1" x="7685"/>
        <item m="1" x="2351"/>
        <item m="1" x="334"/>
        <item m="1" x="2546"/>
        <item m="1" x="3026"/>
        <item m="1" x="1951"/>
        <item m="1" x="4175"/>
        <item m="1" x="4359"/>
        <item m="1" x="5250"/>
        <item m="1" x="6650"/>
        <item x="6"/>
        <item m="1" x="4597"/>
        <item m="1" x="4863"/>
        <item m="1" x="5314"/>
        <item m="1" x="6965"/>
        <item m="1" x="5866"/>
        <item m="1" x="7204"/>
        <item m="1" x="3724"/>
        <item m="1" x="6421"/>
        <item m="1" x="5822"/>
        <item x="37"/>
        <item x="38"/>
        <item m="1" x="5296"/>
        <item m="1" x="5733"/>
        <item m="1" x="6108"/>
        <item m="1" x="6898"/>
        <item m="1" x="6687"/>
        <item m="1" x="7203"/>
        <item m="1" x="4580"/>
        <item m="1" x="4832"/>
        <item m="1" x="5058"/>
        <item m="1" x="2819"/>
        <item m="1" x="6371"/>
        <item x="51"/>
        <item m="1" x="6940"/>
        <item m="1" x="6941"/>
        <item x="60"/>
        <item m="1" x="6142"/>
        <item m="1" x="6403"/>
        <item m="1" x="1823"/>
        <item m="1" x="1695"/>
        <item x="73"/>
        <item x="74"/>
        <item x="75"/>
        <item x="80"/>
        <item x="82"/>
        <item m="1" x="1328"/>
        <item m="1" x="1686"/>
        <item m="1" x="3919"/>
        <item m="1" x="2256"/>
        <item m="1" x="4616"/>
        <item m="1" x="7396"/>
        <item m="1" x="5088"/>
        <item x="97"/>
        <item m="1" x="6531"/>
        <item m="1" x="3382"/>
        <item m="1" x="5526"/>
        <item m="1" x="1092"/>
        <item m="1" x="6914"/>
        <item m="1" x="5089"/>
        <item m="1" x="2257"/>
        <item m="1" x="599"/>
        <item m="1" x="6389"/>
        <item m="1" x="1971"/>
        <item m="1" x="1104"/>
        <item m="1" x="6404"/>
        <item x="70"/>
        <item m="1" x="6246"/>
        <item m="1" x="5527"/>
        <item m="1" x="4847"/>
        <item m="1" x="5073"/>
        <item m="1" x="5544"/>
        <item x="76"/>
        <item x="77"/>
        <item m="1" x="7738"/>
        <item m="1" x="757"/>
        <item m="1" x="2729"/>
        <item m="1" x="5164"/>
        <item m="1" x="4598"/>
        <item m="1" x="4488"/>
        <item m="1" x="5347"/>
        <item m="1" x="4805"/>
        <item x="104"/>
        <item x="105"/>
        <item x="106"/>
        <item x="107"/>
        <item x="108"/>
        <item x="109"/>
        <item x="110"/>
        <item x="112"/>
        <item x="113"/>
        <item x="114"/>
        <item m="1" x="6109"/>
        <item x="116"/>
        <item m="1" x="4629"/>
        <item m="1" x="4929"/>
        <item m="1" x="6721"/>
        <item m="1" x="7959"/>
        <item m="1" x="1165"/>
        <item m="1" x="1732"/>
        <item m="1" x="2010"/>
        <item m="1" x="2547"/>
        <item m="1" x="831"/>
        <item m="1" x="2571"/>
        <item m="1" x="7449"/>
        <item m="1" x="2775"/>
        <item m="1" x="2367"/>
        <item m="1" x="4399"/>
        <item m="1" x="4028"/>
        <item m="1" x="817"/>
        <item m="1" x="3351"/>
        <item m="1" x="3966"/>
        <item m="1" x="4008"/>
        <item m="1" x="2341"/>
        <item m="1" x="5365"/>
        <item m="1" x="6143"/>
        <item m="1" x="4480"/>
        <item m="1" x="5112"/>
        <item m="1" x="3074"/>
        <item m="1" x="1128"/>
        <item m="1" x="5616"/>
        <item m="1" x="7280"/>
        <item m="1" x="2011"/>
        <item m="1" x="1752"/>
        <item m="1" x="3775"/>
        <item m="1" x="2594"/>
        <item m="1" x="4387"/>
        <item m="1" x="7706"/>
        <item m="1" x="3332"/>
        <item m="1" x="4414"/>
        <item m="1" x="6161"/>
        <item m="1" x="4547"/>
        <item m="1" x="4630"/>
        <item m="1" x="4176"/>
        <item m="1" x="2820"/>
        <item m="1" x="5683"/>
        <item m="1" x="5988"/>
        <item m="1" x="3516"/>
        <item m="1" x="1726"/>
        <item m="1" x="4415"/>
        <item m="1" x="3405"/>
        <item x="96"/>
        <item m="1" x="4204"/>
        <item m="1" x="4644"/>
        <item m="1" x="5099"/>
        <item m="1" x="4029"/>
        <item m="1" x="7537"/>
        <item m="1" x="2762"/>
        <item m="1" x="3917"/>
        <item m="1" x="3933"/>
        <item m="1" x="6722"/>
        <item m="1" x="6981"/>
        <item m="1" x="5136"/>
        <item m="1" x="5380"/>
        <item m="1" x="6469"/>
        <item m="1" x="6763"/>
        <item m="1" x="4892"/>
        <item m="1" x="3054"/>
        <item m="1" x="4891"/>
        <item m="1" x="3384"/>
        <item m="1" x="2860"/>
        <item m="1" x="5333"/>
        <item m="1" x="2859"/>
        <item m="1" x="3803"/>
        <item m="1" x="3967"/>
        <item m="1" x="4177"/>
        <item m="1" x="7987"/>
        <item m="1" x="3134"/>
        <item m="1" x="4243"/>
        <item m="1" x="7955"/>
        <item m="1" x="5123"/>
        <item m="1" x="6746"/>
        <item m="1" x="6470"/>
        <item m="1" x="7298"/>
        <item m="1" x="7755"/>
        <item m="1" x="5971"/>
        <item m="1" x="7810"/>
        <item m="1" x="3628"/>
        <item m="1" x="6194"/>
        <item m="1" x="4659"/>
        <item m="1" x="1205"/>
        <item m="1" x="5394"/>
        <item m="1" x="3447"/>
        <item m="1" x="5152"/>
        <item m="1" x="6594"/>
        <item m="1" x="2858"/>
        <item m="1" x="4672"/>
        <item m="1" x="5729"/>
        <item m="1" x="3565"/>
        <item m="1" x="6196"/>
        <item m="1" x="4468"/>
        <item m="1" x="7477"/>
        <item m="1" x="5909"/>
        <item m="1" x="4256"/>
        <item m="1" x="4702"/>
        <item m="1" x="6996"/>
        <item m="1" x="3406"/>
        <item m="1" x="6995"/>
        <item m="1" x="5328"/>
        <item m="1" x="5195"/>
        <item m="1" x="3352"/>
        <item m="1" x="3080"/>
        <item m="1" x="2046"/>
        <item m="1" x="6777"/>
        <item m="1" x="6456"/>
        <item m="1" x="5865"/>
        <item m="1" x="7956"/>
        <item m="1" x="6195"/>
        <item m="1" x="6776"/>
        <item m="1" x="4719"/>
        <item m="1" x="4946"/>
        <item m="1" x="6488"/>
        <item m="1" x="7231"/>
        <item m="1" x="3842"/>
        <item x="79"/>
        <item m="1" x="3582"/>
        <item m="1" x="7551"/>
        <item m="1" x="5763"/>
        <item m="1" x="4106"/>
        <item m="1" x="6009"/>
        <item m="1" x="5158"/>
        <item m="1" x="7999"/>
        <item m="1" x="6829"/>
        <item m="1" x="6566"/>
        <item m="1" x="7345"/>
        <item m="1" x="6222"/>
        <item x="34"/>
        <item m="1" x="7033"/>
        <item m="1" x="7819"/>
        <item m="1" x="1295"/>
        <item m="1" x="5520"/>
        <item m="1" x="5027"/>
        <item m="1" x="6529"/>
        <item m="1" x="6828"/>
        <item m="1" x="6610"/>
        <item m="1" x="1900"/>
        <item m="1" x="6794"/>
        <item m="1" x="7022"/>
        <item m="1" x="171"/>
        <item m="1" x="5796"/>
        <item m="1" x="6799"/>
        <item m="1" x="3537"/>
        <item m="1" x="1403"/>
        <item m="1" x="5718"/>
        <item m="1" x="1846"/>
        <item m="1" x="1663"/>
        <item m="1" x="7331"/>
        <item m="1" x="217"/>
        <item m="1" x="6994"/>
        <item m="1" x="5178"/>
        <item m="1" x="377"/>
        <item m="1" x="2714"/>
        <item m="1" x="4930"/>
        <item m="1" x="6788"/>
        <item m="1" x="2882"/>
        <item m="1" x="2354"/>
        <item m="1" x="4893"/>
        <item m="1" x="5137"/>
        <item m="1" x="5400"/>
        <item m="1" x="798"/>
        <item m="1" x="7083"/>
        <item m="1" x="1856"/>
        <item m="1" x="4689"/>
        <item m="1" x="1053"/>
        <item m="1" x="2258"/>
        <item m="1" x="2101"/>
        <item m="1" x="7613"/>
        <item m="1" x="3942"/>
        <item m="1" x="5153"/>
        <item m="1" x="6297"/>
        <item m="1" x="7332"/>
        <item m="1" x="799"/>
        <item m="1" x="1964"/>
        <item m="1" x="3095"/>
        <item m="1" x="3819"/>
        <item m="1" x="4193"/>
        <item m="1" x="2881"/>
        <item m="1" x="3112"/>
        <item m="1" x="3603"/>
        <item m="1" x="3618"/>
        <item m="1" x="3353"/>
        <item m="1" x="1773"/>
        <item m="1" x="2595"/>
        <item m="1" x="4041"/>
        <item m="1" x="4446"/>
        <item m="1" x="3845"/>
        <item m="1" x="2612"/>
        <item m="1" x="3385"/>
        <item m="1" x="3150"/>
        <item m="1" x="5409"/>
        <item m="1" x="5932"/>
        <item m="1" x="5953"/>
        <item m="1" x="6207"/>
        <item m="1" x="2398"/>
        <item m="1" x="2268"/>
        <item m="1" x="6047"/>
        <item m="1" x="6489"/>
        <item m="1" x="5989"/>
        <item m="1" x="6247"/>
        <item m="1" x="6819"/>
        <item m="1" x="7317"/>
        <item m="1" x="6010"/>
        <item m="1" x="7306"/>
        <item m="1" x="3893"/>
        <item m="1" x="1164"/>
        <item m="1" x="3527"/>
        <item m="1" x="6197"/>
        <item m="1" x="2172"/>
        <item m="1" x="2436"/>
        <item m="1" x="6795"/>
        <item m="1" x="6542"/>
        <item m="1" x="4445"/>
        <item m="1" x="6827"/>
        <item m="1" x="4490"/>
        <item m="1" x="3698"/>
        <item m="1" x="5833"/>
        <item m="1" x="7084"/>
        <item x="99"/>
        <item x="103"/>
        <item m="1" x="324"/>
        <item m="1" x="134"/>
        <item m="1" x="6141"/>
        <item m="1" x="6655"/>
        <item m="1" x="1876"/>
        <item m="1" x="602"/>
        <item m="1" x="5449"/>
        <item m="1" x="2747"/>
        <item m="1" x="3525"/>
        <item m="1" x="7373"/>
        <item m="1" x="787"/>
        <item m="1" x="572"/>
        <item m="1" x="1347"/>
        <item m="1" x="1664"/>
        <item m="1" x="7641"/>
        <item m="1" x="7852"/>
        <item m="1" x="253"/>
        <item m="1" x="5719"/>
        <item m="1" x="5032"/>
        <item m="1" x="6017"/>
        <item m="1" x="5404"/>
        <item m="1" x="6227"/>
        <item m="1" x="4718"/>
        <item m="1" x="6852"/>
        <item m="1" x="6554"/>
        <item m="1" x="6238"/>
        <item m="1" x="5431"/>
        <item m="1" x="859"/>
        <item m="1" x="6584"/>
        <item m="1" x="5875"/>
        <item m="1" x="2505"/>
        <item m="1" x="2189"/>
        <item m="1" x="3464"/>
        <item m="1" x="1904"/>
        <item x="4"/>
        <item m="1" x="621"/>
        <item m="1" x="5908"/>
        <item m="1" x="1673"/>
        <item m="1" x="7624"/>
        <item m="1" x="1064"/>
        <item m="1" x="2748"/>
        <item m="1" x="3558"/>
        <item m="1" x="7346"/>
        <item m="1" x="4351"/>
        <item m="1" x="6853"/>
        <item m="1" x="833"/>
        <item m="1" x="172"/>
        <item m="1" x="1080"/>
        <item m="1" x="5925"/>
        <item m="1" x="3557"/>
        <item m="1" x="3003"/>
        <item m="1" x="3307"/>
        <item m="1" x="5739"/>
        <item m="1" x="2455"/>
        <item m="1" x="3526"/>
        <item m="1" x="7604"/>
        <item m="1" x="1991"/>
        <item m="1" x="3940"/>
        <item m="1" x="3952"/>
        <item m="1" x="3492"/>
        <item m="1" x="2523"/>
        <item x="1"/>
        <item m="1" x="4928"/>
        <item x="11"/>
        <item m="1" x="693"/>
        <item m="1" x="1204"/>
        <item x="21"/>
        <item m="1" x="1690"/>
        <item m="1" x="4558"/>
        <item m="1" x="5221"/>
        <item m="1" x="7837"/>
        <item m="1" x="7863"/>
        <item m="1" x="173"/>
        <item m="1" x="584"/>
        <item m="1" x="2190"/>
        <item m="1" x="644"/>
        <item m="1" x="822"/>
        <item m="1" x="4989"/>
        <item m="1" x="7614"/>
        <item m="1" x="189"/>
        <item m="1" x="221"/>
        <item m="1" x="1386"/>
        <item m="1" x="2212"/>
        <item x="62"/>
        <item m="1" x="2749"/>
        <item m="1" x="4085"/>
        <item m="1" x="4757"/>
        <item m="1" x="3055"/>
        <item m="1" x="1905"/>
        <item m="1" x="622"/>
        <item m="1" x="603"/>
        <item m="1" x="6445"/>
        <item m="1" x="4400"/>
        <item m="1" x="5236"/>
        <item m="1" x="604"/>
        <item x="93"/>
        <item m="1" x="7615"/>
        <item m="1" x="164"/>
        <item m="1" x="7426"/>
        <item m="1" x="6802"/>
        <item m="1" x="2806"/>
        <item m="1" x="7032"/>
        <item m="1" x="7012"/>
        <item m="1" x="3383"/>
        <item m="1" x="3113"/>
        <item m="1" x="3251"/>
        <item m="1" x="1125"/>
        <item m="1" x="1965"/>
        <item m="1" x="7150"/>
        <item x="5"/>
        <item m="1" x="4409"/>
        <item m="1" x="6335"/>
        <item m="1" x="6619"/>
        <item m="1" x="6487"/>
        <item m="1" x="1240"/>
        <item m="1" x="2250"/>
        <item m="1" x="6555"/>
        <item m="1" x="6669"/>
        <item x="52"/>
        <item m="1" x="361"/>
        <item m="1" x="585"/>
        <item m="1" x="5251"/>
        <item m="1" x="2769"/>
        <item m="1" x="251"/>
        <item m="1" x="1985"/>
        <item m="1" x="7907"/>
        <item m="1" x="394"/>
        <item m="1" x="7595"/>
        <item m="1" x="4695"/>
        <item m="1" x="889"/>
        <item m="1" x="7501"/>
        <item m="1" x="3964"/>
        <item m="1" x="7233"/>
        <item m="1" x="645"/>
        <item m="1" x="1106"/>
        <item m="1" x="873"/>
        <item m="1" x="7068"/>
        <item m="1" x="125"/>
        <item m="1" x="5811"/>
        <item x="14"/>
        <item m="1" x="6620"/>
        <item m="1" x="1387"/>
        <item m="1" x="1986"/>
        <item m="1" x="2272"/>
        <item m="1" x="6571"/>
        <item m="1" x="6899"/>
        <item m="1" x="5528"/>
        <item m="1" x="7633"/>
        <item m="1" x="7149"/>
        <item m="1" x="378"/>
        <item m="1" x="422"/>
        <item m="1" x="1197"/>
        <item m="1" x="2986"/>
        <item m="1" x="7581"/>
        <item m="1" x="6070"/>
        <item m="1" x="368"/>
        <item m="1" x="5676"/>
        <item m="1" x="4203"/>
        <item m="1" x="489"/>
        <item m="1" x="3587"/>
        <item m="1" x="1440"/>
        <item m="1" x="7362"/>
        <item m="1" x="7864"/>
        <item m="1" x="1441"/>
        <item m="1" x="7865"/>
        <item m="1" x="174"/>
        <item m="1" x="7879"/>
        <item m="1" x="369"/>
        <item m="1" x="4515"/>
        <item m="1" x="7786"/>
        <item m="1" x="7031"/>
        <item m="1" x="7596"/>
        <item m="1" x="5952"/>
        <item m="1" x="821"/>
        <item m="1" x="7117"/>
        <item m="1" x="2770"/>
        <item m="1" x="3035"/>
        <item m="1" x="3308"/>
        <item m="1" x="3543"/>
        <item m="1" x="5560"/>
        <item m="1" x="1886"/>
        <item m="1" x="554"/>
        <item m="1" x="4786"/>
        <item m="1" x="643"/>
        <item m="1" x="605"/>
        <item m="1" x="5774"/>
        <item m="1" x="2023"/>
        <item m="1" x="2607"/>
        <item m="1" x="2838"/>
        <item m="1" x="2539"/>
        <item m="1" x="843"/>
        <item m="1" x="1348"/>
        <item m="1" x="1610"/>
        <item m="1" x="1442"/>
        <item m="1" x="454"/>
        <item m="1" x="1948"/>
        <item m="1" x="6125"/>
        <item m="1" x="4230"/>
        <item m="1" x="1545"/>
        <item m="1" x="1443"/>
        <item m="1" x="1707"/>
        <item m="1" x="1460"/>
        <item m="1" x="1691"/>
        <item m="1" x="3128"/>
        <item m="1" x="6178"/>
        <item m="1" x="6686"/>
        <item m="1" x="7151"/>
        <item m="1" x="6656"/>
        <item m="1" x="1282"/>
        <item x="0"/>
        <item x="18"/>
        <item m="1" x="1276"/>
        <item m="1" x="434"/>
        <item x="22"/>
        <item x="23"/>
        <item x="24"/>
        <item x="25"/>
        <item x="26"/>
        <item m="1" x="674"/>
        <item m="1" x="890"/>
        <item m="1" x="1461"/>
        <item m="1" x="3577"/>
        <item m="1" x="2521"/>
        <item m="1" x="3346"/>
        <item m="1" x="2853"/>
        <item x="40"/>
        <item m="1" x="7186"/>
        <item m="1" x="6943"/>
        <item m="1" x="1141"/>
        <item m="1" x="7721"/>
        <item x="59"/>
        <item m="1" x="2715"/>
        <item m="1" x="4815"/>
        <item m="1" x="4812"/>
        <item m="1" x="2058"/>
        <item m="1" x="2653"/>
        <item m="1" x="1178"/>
        <item m="1" x="3600"/>
        <item m="1" x="1757"/>
        <item m="1" x="6982"/>
        <item m="1" x="3671"/>
        <item m="1" x="1807"/>
        <item m="1" x="7688"/>
        <item m="1" x="7960"/>
        <item m="1" x="7504"/>
        <item x="10"/>
        <item m="1" x="1875"/>
        <item x="16"/>
        <item x="35"/>
        <item m="1" x="3334"/>
        <item m="1" x="3835"/>
        <item m="1" x="5114"/>
        <item m="1" x="4076"/>
        <item m="1" x="4916"/>
        <item m="1" x="5141"/>
        <item x="53"/>
        <item m="1" x="3226"/>
        <item m="1" x="4234"/>
        <item m="1" x="1731"/>
        <item m="1" x="2093"/>
        <item m="1" x="1489"/>
        <item m="1" x="3676"/>
        <item m="1" x="3652"/>
        <item m="1" x="5810"/>
        <item m="1" x="5606"/>
        <item m="1" x="1546"/>
        <item m="1" x="3836"/>
        <item x="94"/>
        <item m="1" x="5042"/>
        <item m="1" x="4329"/>
        <item m="1" x="3915"/>
        <item m="1" x="2070"/>
        <item m="1" x="2798"/>
        <item m="1" x="3963"/>
        <item m="1" x="3981"/>
        <item m="1" x="5227"/>
        <item x="120"/>
        <item m="1" x="1346"/>
        <item m="1" x="6618"/>
        <item m="1" x="207"/>
        <item m="1" x="395"/>
        <item m="1" x="2039"/>
        <item m="1" x="2585"/>
        <item m="1" x="3363"/>
        <item m="1" x="2057"/>
        <item m="1" x="2317"/>
        <item m="1" x="3453"/>
        <item m="1" x="3646"/>
        <item m="1" x="6473"/>
        <item m="1" x="7794"/>
        <item x="2"/>
        <item m="1" x="4961"/>
        <item x="15"/>
        <item x="27"/>
        <item x="28"/>
        <item x="29"/>
        <item x="30"/>
        <item m="1" x="3612"/>
        <item m="1" x="4033"/>
        <item m="1" x="4453"/>
        <item m="1" x="4898"/>
        <item x="42"/>
        <item x="43"/>
        <item x="44"/>
        <item x="45"/>
        <item x="55"/>
        <item m="1" x="3638"/>
        <item m="1" x="2076"/>
        <item m="1" x="2325"/>
        <item m="1" x="2584"/>
        <item m="1" x="2839"/>
        <item m="1" x="4947"/>
        <item m="1" x="6460"/>
        <item x="63"/>
        <item x="64"/>
        <item m="1" x="2633"/>
        <item m="1" x="4837"/>
        <item m="1" x="4513"/>
        <item m="1" x="4038"/>
        <item x="84"/>
        <item x="85"/>
        <item m="1" x="7038"/>
        <item m="1" x="2601"/>
        <item m="1" x="1797"/>
        <item m="1" x="6198"/>
        <item m="1" x="4493"/>
        <item m="1" x="3627"/>
        <item m="1" x="6474"/>
        <item m="1" x="2118"/>
        <item m="1" x="7811"/>
        <item m="1" x="3769"/>
        <item m="1" x="5059"/>
        <item m="1" x="5823"/>
        <item m="1" x="6920"/>
        <item m="1" x="7185"/>
        <item m="1" x="7657"/>
        <item m="1" x="7890"/>
        <item m="1" x="190"/>
        <item m="1" x="382"/>
        <item m="1" x="6688"/>
        <item m="1" x="6942"/>
        <item m="1" x="7454"/>
        <item m="1" x="7670"/>
        <item m="1" x="646"/>
        <item m="1" x="860"/>
        <item m="1" x="7234"/>
        <item m="1" x="7464"/>
        <item m="1" x="3976"/>
        <item m="1" x="5074"/>
        <item m="1" x="5297"/>
        <item m="1" x="7166"/>
        <item m="1" x="7427"/>
        <item m="1" x="5852"/>
        <item m="1" x="4025"/>
        <item m="1" x="7658"/>
        <item m="1" x="4004"/>
        <item m="1" x="6966"/>
        <item m="1" x="7473"/>
        <item m="1" x="1708"/>
        <item m="1" x="266"/>
        <item m="1" x="455"/>
        <item m="1" x="1179"/>
        <item m="1" x="2309"/>
        <item m="1" x="2564"/>
        <item m="1" x="2840"/>
        <item m="1" x="3073"/>
        <item m="1" x="1216"/>
        <item m="1" x="1499"/>
        <item m="1" x="2040"/>
        <item m="1" x="2326"/>
        <item m="1" x="2586"/>
        <item m="1" x="2854"/>
        <item m="1" x="3127"/>
        <item m="1" x="3400"/>
        <item m="1" x="3653"/>
        <item m="1" x="1782"/>
        <item m="1" x="335"/>
        <item m="1" x="892"/>
        <item m="1" x="786"/>
        <item m="1" x="1758"/>
        <item m="1" x="4016"/>
        <item m="1" x="1528"/>
        <item m="1" x="7046"/>
        <item m="1" x="3420"/>
        <item m="1" x="3149"/>
        <item m="1" x="1162"/>
        <item m="1" x="2000"/>
        <item m="1" x="4473"/>
        <item m="1" x="5673"/>
        <item m="1" x="779"/>
        <item x="3"/>
        <item x="31"/>
        <item x="32"/>
        <item m="1" x="4077"/>
        <item m="1" x="4474"/>
        <item m="1" x="3647"/>
        <item x="66"/>
        <item m="1" x="5004"/>
        <item m="1" x="6716"/>
        <item m="1" x="7528"/>
        <item m="1" x="5457"/>
        <item m="1" x="2084"/>
        <item m="1" x="6090"/>
        <item m="1" x="2359"/>
        <item m="1" x="3874"/>
        <item m="1" x="7720"/>
        <item x="9"/>
        <item x="33"/>
        <item x="39"/>
        <item m="1" x="4494"/>
        <item x="54"/>
        <item m="1" x="6268"/>
        <item m="1" x="6537"/>
        <item m="1" x="6607"/>
        <item x="65"/>
        <item m="1" x="5383"/>
        <item x="67"/>
        <item x="68"/>
        <item m="1" x="636"/>
        <item m="1" x="7232"/>
        <item m="1" x="4773"/>
        <item m="1" x="5142"/>
        <item m="1" x="6590"/>
        <item m="1" x="2646"/>
        <item m="1" x="1480"/>
        <item m="1" x="3995"/>
        <item m="1" x="5851"/>
        <item m="1" x="1215"/>
        <item m="1" x="1547"/>
        <item m="1" x="2916"/>
        <item m="1" x="3139"/>
        <item m="1" x="6492"/>
        <item x="7"/>
        <item x="17"/>
        <item x="20"/>
        <item x="41"/>
        <item m="1" x="3268"/>
        <item m="1" x="2358"/>
        <item m="1" x="5127"/>
        <item m="1" x="5640"/>
        <item m="1" x="5186"/>
        <item x="56"/>
        <item m="1" x="1922"/>
        <item m="1" x="5285"/>
        <item m="1" x="1418"/>
        <item m="1" x="673"/>
        <item m="1" x="4514"/>
        <item m="1" x="4663"/>
        <item m="1" x="2056"/>
        <item m="1" x="2639"/>
        <item m="1" x="2872"/>
        <item m="1" x="6027"/>
        <item m="1" x="3393"/>
        <item m="1" x="2033"/>
        <item m="1" x="4917"/>
        <item m="1" x="5655"/>
        <item m="1" x="7776"/>
        <item m="1" x="969"/>
        <item m="1" x="4454"/>
        <item m="1" x="4694"/>
        <item m="1" x="6216"/>
        <item m="1" x="5976"/>
        <item m="1" x="6234"/>
        <item m="1" x="5185"/>
        <item m="1" x="6515"/>
        <item m="1" x="3181"/>
        <item m="1" x="3454"/>
        <item x="12"/>
        <item x="19"/>
        <item x="36"/>
        <item x="46"/>
        <item x="47"/>
        <item x="48"/>
        <item x="49"/>
        <item x="50"/>
        <item x="57"/>
        <item x="58"/>
        <item x="61"/>
        <item x="69"/>
        <item x="71"/>
        <item x="72"/>
        <item x="78"/>
        <item x="81"/>
        <item x="83"/>
        <item x="86"/>
        <item x="87"/>
        <item x="88"/>
        <item x="89"/>
        <item x="90"/>
        <item x="91"/>
        <item x="102"/>
        <item x="111"/>
        <item x="115"/>
        <item x="117"/>
        <item x="118"/>
        <item x="1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3146">
        <item n=" " x="1"/>
        <item m="1" x="179"/>
        <item x="36"/>
        <item m="1" x="2698"/>
        <item m="1" x="1293"/>
        <item m="1" x="1387"/>
        <item m="1" x="2859"/>
        <item m="1" x="2716"/>
        <item m="1" x="1726"/>
        <item m="1" x="611"/>
        <item m="1" x="1274"/>
        <item m="1" x="2808"/>
        <item m="1" x="2908"/>
        <item m="1" x="68"/>
        <item m="1" x="73"/>
        <item m="1" x="2734"/>
        <item m="1" x="2626"/>
        <item m="1" x="1118"/>
        <item m="1" x="2666"/>
        <item m="1" x="1165"/>
        <item m="1" x="2585"/>
        <item m="1" x="1079"/>
        <item m="1" x="1248"/>
        <item m="1" x="2753"/>
        <item m="1" x="2700"/>
        <item m="1" x="1295"/>
        <item m="1" x="130"/>
        <item m="1" x="1795"/>
        <item m="1" x="2847"/>
        <item m="1" x="72"/>
        <item m="1" x="1334"/>
        <item m="1" x="2971"/>
        <item m="1" x="976"/>
        <item m="1" x="1789"/>
        <item m="1" x="1381"/>
        <item m="1" x="2350"/>
        <item m="1" x="2657"/>
        <item m="1" x="2730"/>
        <item m="1" x="1385"/>
        <item m="1" x="2888"/>
        <item m="1" x="1244"/>
        <item m="1" x="1575"/>
        <item m="1" x="1719"/>
        <item m="1" x="1328"/>
        <item m="1" x="1513"/>
        <item m="1" x="2975"/>
        <item m="1" x="1320"/>
        <item m="1" x="1415"/>
        <item m="1" x="1364"/>
        <item m="1" x="3034"/>
        <item m="1" x="3109"/>
        <item m="1" x="1204"/>
        <item m="1" x="2912"/>
        <item m="1" x="1602"/>
        <item m="1" x="902"/>
        <item m="1" x="283"/>
        <item m="1" x="2855"/>
        <item m="1" x="1533"/>
        <item m="1" x="1221"/>
        <item m="1" x="228"/>
        <item m="1" x="2505"/>
        <item m="1" x="1140"/>
        <item m="1" x="288"/>
        <item m="1" x="1732"/>
        <item m="1" x="180"/>
        <item m="1" x="1667"/>
        <item m="1" x="2388"/>
        <item m="1" x="2434"/>
        <item m="1" x="2834"/>
        <item m="1" x="1996"/>
        <item m="1" x="2496"/>
        <item m="1" x="2289"/>
        <item m="1" x="2558"/>
        <item m="1" x="2526"/>
        <item m="1" x="912"/>
        <item m="1" x="2476"/>
        <item m="1" x="766"/>
        <item m="1" x="2442"/>
        <item m="1" x="722"/>
        <item m="1" x="3058"/>
        <item m="1" x="1059"/>
        <item m="1" x="1408"/>
        <item m="1" x="810"/>
        <item m="1" x="2470"/>
        <item m="1" x="814"/>
        <item m="1" x="2252"/>
        <item m="1" x="1271"/>
        <item m="1" x="2187"/>
        <item m="1" x="2701"/>
        <item m="1" x="1873"/>
        <item m="1" x="698"/>
        <item m="1" x="1407"/>
        <item m="1" x="482"/>
        <item m="1" x="478"/>
        <item m="1" x="2597"/>
        <item m="1" x="1089"/>
        <item m="1" x="532"/>
        <item m="1" x="911"/>
        <item m="1" x="2441"/>
        <item m="1" x="2404"/>
        <item m="1" x="869"/>
        <item m="1" x="720"/>
        <item m="1" x="2348"/>
        <item m="1" x="1042"/>
        <item m="1" x="1573"/>
        <item m="1" x="1294"/>
        <item m="1" x="622"/>
        <item m="1" x="928"/>
        <item m="1" x="2265"/>
        <item m="1" x="2772"/>
        <item m="1" x="2341"/>
        <item m="1" x="1908"/>
        <item m="1" x="1133"/>
        <item m="1" x="2637"/>
        <item m="1" x="2840"/>
        <item m="1" x="1738"/>
        <item m="1" x="1620"/>
        <item m="1" x="2170"/>
        <item m="1" x="853"/>
        <item m="1" x="1724"/>
        <item m="1" x="1050"/>
        <item m="1" x="2347"/>
        <item m="1" x="589"/>
        <item m="1" x="1572"/>
        <item m="1" x="1694"/>
        <item m="1" x="1032"/>
        <item m="1" x="1646"/>
        <item m="1" x="2607"/>
        <item m="1" x="873"/>
        <item m="1" x="2409"/>
        <item m="1" x="850"/>
        <item m="1" x="806"/>
        <item m="1" x="881"/>
        <item m="1" x="769"/>
        <item m="1" x="735"/>
        <item m="1" x="2277"/>
        <item m="1" x="2684"/>
        <item m="1" x="1783"/>
        <item m="1" x="500"/>
        <item m="1" x="2079"/>
        <item m="1" x="430"/>
        <item m="1" x="775"/>
        <item m="1" x="2361"/>
        <item m="1" x="2693"/>
        <item m="1" x="955"/>
        <item m="1" x="2471"/>
        <item m="1" x="2918"/>
        <item m="1" x="1132"/>
        <item m="1" x="2587"/>
        <item m="1" x="1124"/>
        <item m="1" x="2732"/>
        <item m="1" x="2566"/>
        <item m="1" x="1006"/>
        <item m="1" x="2552"/>
        <item m="1" x="1265"/>
        <item m="1" x="2747"/>
        <item m="1" x="1214"/>
        <item m="1" x="1173"/>
        <item m="1" x="865"/>
        <item m="1" x="1398"/>
        <item m="1" x="889"/>
        <item m="1" x="2425"/>
        <item m="1" x="837"/>
        <item m="1" x="2375"/>
        <item m="1" x="1048"/>
        <item m="1" x="2564"/>
        <item m="1" x="1004"/>
        <item m="1" x="2522"/>
        <item m="1" x="964"/>
        <item m="1" x="2484"/>
        <item m="1" x="925"/>
        <item m="1" x="2450"/>
        <item m="1" x="883"/>
        <item m="1" x="2419"/>
        <item m="1" x="1092"/>
        <item m="1" x="2948"/>
        <item m="1" x="1433"/>
        <item m="1" x="2896"/>
        <item m="1" x="1376"/>
        <item m="1" x="2846"/>
        <item m="1" x="2010"/>
        <item m="1" x="2171"/>
        <item m="1" x="2531"/>
        <item m="1" x="849"/>
        <item m="1" x="2302"/>
        <item m="1" x="717"/>
        <item m="1" x="2259"/>
        <item m="1" x="665"/>
        <item m="1" x="2211"/>
        <item m="1" x="598"/>
        <item m="1" x="1318"/>
        <item m="1" x="2155"/>
        <item m="1" x="2643"/>
        <item m="1" x="548"/>
        <item m="1" x="1094"/>
        <item m="1" x="2600"/>
        <item m="1" x="1938"/>
        <item m="1" x="811"/>
        <item m="1" x="2387"/>
        <item m="1" x="1847"/>
        <item m="1" x="1036"/>
        <item m="1" x="2672"/>
        <item m="1" x="1453"/>
        <item m="1" x="805"/>
        <item m="1" x="202"/>
        <item m="1" x="984"/>
        <item m="1" x="2536"/>
        <item m="1" x="1881"/>
        <item m="1" x="864"/>
        <item m="1" x="2797"/>
        <item m="1" x="1259"/>
        <item m="1" x="2942"/>
        <item m="1" x="656"/>
        <item m="1" x="2515"/>
        <item m="1" x="2550"/>
        <item m="1" x="1034"/>
        <item m="1" x="2205"/>
        <item m="1" x="897"/>
        <item m="1" x="2299"/>
        <item m="1" x="2987"/>
        <item m="1" x="2745"/>
        <item m="1" x="1531"/>
        <item m="1" x="2107"/>
        <item m="1" x="1479"/>
        <item m="1" x="2254"/>
        <item m="1" x="711"/>
        <item m="1" x="887"/>
        <item m="1" x="1672"/>
        <item m="1" x="2721"/>
        <item m="1" x="762"/>
        <item m="1" x="2891"/>
        <item m="1" x="1372"/>
        <item m="1" x="2839"/>
        <item m="1" x="1310"/>
        <item m="1" x="2833"/>
        <item m="1" x="353"/>
        <item m="1" x="2593"/>
        <item m="1" x="1427"/>
        <item m="1" x="71"/>
        <item m="1" x="2219"/>
        <item m="1" x="1404"/>
        <item m="1" x="1545"/>
        <item m="1" x="3064"/>
        <item m="1" x="2436"/>
        <item m="1" x="307"/>
        <item m="1" x="122"/>
        <item m="1" x="1085"/>
        <item m="1" x="1633"/>
        <item m="1" x="1144"/>
        <item m="1" x="2405"/>
        <item m="1" x="825"/>
        <item m="1" x="2430"/>
        <item m="1" x="748"/>
        <item m="1" x="185"/>
        <item m="1" x="1206"/>
        <item m="1" x="2537"/>
        <item m="1" x="730"/>
        <item m="1" x="3098"/>
        <item m="1" x="2235"/>
        <item m="1" x="923"/>
        <item m="1" x="742"/>
        <item m="1" x="689"/>
        <item m="1" x="2285"/>
        <item m="1" x="416"/>
        <item m="1" x="2524"/>
        <item m="1" x="1185"/>
        <item m="1" x="2791"/>
        <item m="1" x="1581"/>
        <item m="1" x="3026"/>
        <item m="1" x="1525"/>
        <item m="1" x="2980"/>
        <item m="1" x="1473"/>
        <item m="1" x="2935"/>
        <item m="1" x="1420"/>
        <item m="1" x="2885"/>
        <item m="1" x="1367"/>
        <item m="1" x="1380"/>
        <item m="1" x="2854"/>
        <item m="1" x="189"/>
        <item m="1" x="1603"/>
        <item m="1" x="1519"/>
        <item m="1" x="994"/>
        <item m="1" x="2246"/>
        <item m="1" x="2928"/>
        <item m="1" x="1411"/>
        <item m="1" x="2294"/>
        <item m="1" x="757"/>
        <item m="1" x="1083"/>
        <item m="1" x="2880"/>
        <item m="1" x="1676"/>
        <item m="1" x="739"/>
        <item m="1" x="1940"/>
        <item m="1" x="1413"/>
        <item m="1" x="784"/>
        <item m="1" x="1459"/>
        <item m="1" x="3099"/>
        <item m="1" x="406"/>
        <item m="1" x="388"/>
        <item m="1" x="1138"/>
        <item m="1" x="2973"/>
        <item m="1" x="1468"/>
        <item m="1" x="952"/>
        <item m="1" x="2511"/>
        <item m="1" x="637"/>
        <item m="1" x="847"/>
        <item m="1" x="800"/>
        <item m="1" x="1618"/>
        <item m="1" x="3125"/>
        <item m="1" x="559"/>
        <item m="1" x="1126"/>
        <item m="1" x="2632"/>
        <item m="1" x="2385"/>
        <item m="1" x="1610"/>
        <item m="1" x="355"/>
        <item m="1" x="2314"/>
        <item m="1" x="879"/>
        <item m="1" x="2499"/>
        <item m="1" x="933"/>
        <item m="1" x="750"/>
        <item m="1" x="619"/>
        <item m="1" x="909"/>
        <item m="1" x="2438"/>
        <item m="1" x="1570"/>
        <item m="1" x="1665"/>
        <item m="1" x="408"/>
        <item m="1" x="974"/>
        <item m="1" x="1151"/>
        <item m="1" x="316"/>
        <item m="1" x="2574"/>
        <item m="1" x="3106"/>
        <item m="1" x="1627"/>
        <item m="1" x="743"/>
        <item m="1" x="957"/>
        <item m="1" x="792"/>
        <item m="1" x="1278"/>
        <item m="1" x="3062"/>
        <item m="1" x="2460"/>
        <item m="1" x="2756"/>
        <item m="1" x="171"/>
        <item m="1" x="1582"/>
        <item m="1" x="364"/>
        <item m="1" x="1229"/>
        <item m="1" x="931"/>
        <item m="1" x="1045"/>
        <item m="1" x="2563"/>
        <item m="1" x="2454"/>
        <item m="1" x="724"/>
        <item m="1" x="2724"/>
        <item m="1" x="553"/>
        <item m="1" x="844"/>
        <item m="1" x="2342"/>
        <item m="1" x="794"/>
        <item m="1" x="2382"/>
        <item m="1" x="966"/>
        <item m="1" x="751"/>
        <item m="1" x="2428"/>
        <item m="1" x="2487"/>
        <item m="1" x="725"/>
        <item m="1" x="2964"/>
        <item m="1" x="594"/>
        <item m="1" x="2530"/>
        <item m="1" x="1664"/>
        <item m="1" x="1075"/>
        <item m="1" x="1046"/>
        <item m="1" x="2417"/>
        <item m="1" x="2717"/>
        <item m="1" x="1306"/>
        <item m="1" x="1223"/>
        <item m="1" x="1190"/>
        <item m="1" x="121"/>
        <item m="1" x="709"/>
        <item m="1" x="2659"/>
        <item m="1" x="2247"/>
        <item m="1" x="704"/>
        <item m="1" x="3061"/>
        <item m="1" x="1565"/>
        <item m="1" x="3017"/>
        <item m="1" x="1514"/>
        <item m="1" x="2970"/>
        <item m="1" x="1464"/>
        <item m="1" x="2926"/>
        <item m="1" x="350"/>
        <item m="1" x="894"/>
        <item m="1" x="2851"/>
        <item m="1" x="1325"/>
        <item m="1" x="2801"/>
        <item m="1" x="1266"/>
        <item m="1" x="2748"/>
        <item m="1" x="1215"/>
        <item m="1" x="2711"/>
        <item m="1" x="1175"/>
        <item m="1" x="2674"/>
        <item m="1" x="1432"/>
        <item m="1" x="2895"/>
        <item m="1" x="1375"/>
        <item m="1" x="540"/>
        <item m="1" x="1317"/>
        <item m="1" x="888"/>
        <item m="1" x="118"/>
        <item m="1" x="885"/>
        <item m="1" x="867"/>
        <item m="1" x="929"/>
        <item m="1" x="2453"/>
        <item m="1" x="2589"/>
        <item m="1" x="1316"/>
        <item m="1" x="2794"/>
        <item m="1" x="1257"/>
        <item m="1" x="2742"/>
        <item m="1" x="836"/>
        <item m="1" x="2424"/>
        <item m="1" x="1210"/>
        <item m="1" x="2706"/>
        <item m="1" x="1171"/>
        <item m="1" x="2670"/>
        <item m="1" x="1123"/>
        <item m="1" x="168"/>
        <item m="1" x="2629"/>
        <item m="1" x="2796"/>
        <item m="1" x="2374"/>
        <item m="1" x="1370"/>
        <item m="1" x="1178"/>
        <item m="1" x="690"/>
        <item m="1" x="1621"/>
        <item m="1" x="798"/>
        <item m="1" x="1556"/>
        <item m="1" x="2873"/>
        <item m="1" x="1386"/>
        <item m="1" x="172"/>
        <item m="1" x="819"/>
        <item m="1" x="990"/>
        <item m="1" x="2226"/>
        <item m="1" x="339"/>
        <item m="1" x="1721"/>
        <item m="1" x="968"/>
        <item m="1" x="409"/>
        <item m="1" x="1949"/>
        <item m="1" x="464"/>
        <item m="1" x="2691"/>
        <item m="1" x="400"/>
        <item m="1" x="605"/>
        <item m="1" x="671"/>
        <item m="1" x="2648"/>
        <item m="1" x="1098"/>
        <item m="1" x="1145"/>
        <item m="1" x="804"/>
        <item m="1" x="856"/>
        <item m="1" x="2572"/>
        <item m="1" x="1197"/>
        <item m="1" x="3020"/>
        <item m="1" x="2744"/>
        <item m="1" x="170"/>
        <item m="1" x="2307"/>
        <item m="1" x="1164"/>
        <item m="1" x="1456"/>
        <item m="1" x="719"/>
        <item m="1" x="1509"/>
        <item m="1" x="1127"/>
        <item m="1" x="2673"/>
        <item m="1" x="1010"/>
        <item m="1" x="1776"/>
        <item m="1" x="2836"/>
        <item m="1" x="1308"/>
        <item m="1" x="2789"/>
        <item m="1" x="1253"/>
        <item m="1" x="1258"/>
        <item m="1" x="2514"/>
        <item m="1" x="2941"/>
        <item m="1" x="1478"/>
        <item m="1" x="2707"/>
        <item m="1" x="1211"/>
        <item m="1" x="2281"/>
        <item m="1" x="2728"/>
        <item m="1" x="1053"/>
        <item m="1" x="2270"/>
        <item m="1" x="558"/>
        <item m="1" x="2605"/>
        <item m="1" x="896"/>
        <item m="1" x="264"/>
        <item m="1" x="2677"/>
        <item m="1" x="297"/>
        <item m="1" x="1891"/>
        <item m="1" x="233"/>
        <item m="1" x="1835"/>
        <item m="1" x="567"/>
        <item m="1" x="2132"/>
        <item m="1" x="494"/>
        <item m="1" x="2074"/>
        <item m="1" x="424"/>
        <item m="1" x="2003"/>
        <item m="1" x="360"/>
        <item m="1" x="1945"/>
        <item m="1" x="294"/>
        <item m="1" x="1888"/>
        <item m="1" x="633"/>
        <item m="1" x="2180"/>
        <item m="1" x="562"/>
        <item m="1" x="2127"/>
        <item m="1" x="491"/>
        <item m="1" x="2069"/>
        <item m="1" x="420"/>
        <item m="1" x="1999"/>
        <item m="1" x="1943"/>
        <item m="1" x="2231"/>
        <item m="1" x="629"/>
        <item m="1" x="2177"/>
        <item m="1" x="1426"/>
        <item m="1" x="2890"/>
        <item m="1" x="1371"/>
        <item m="1" x="2125"/>
        <item m="1" x="490"/>
        <item m="1" x="2067"/>
        <item m="1" x="419"/>
        <item m="1" x="1997"/>
        <item m="1" x="219"/>
        <item m="1" x="2661"/>
        <item m="1" x="2722"/>
        <item m="1" x="1230"/>
        <item m="1" x="2762"/>
        <item m="1" x="1003"/>
        <item m="1" x="2331"/>
        <item m="1" x="1878"/>
        <item m="1" x="613"/>
        <item m="1" x="2743"/>
        <item m="1" x="1134"/>
        <item m="1" x="787"/>
        <item m="1" x="1720"/>
        <item m="1" x="162"/>
        <item m="1" x="1285"/>
        <item m="1" x="525"/>
        <item m="1" x="1225"/>
        <item m="1" x="2879"/>
        <item m="1" x="2527"/>
        <item m="1" x="2609"/>
        <item m="1" x="212"/>
        <item m="1" x="2540"/>
        <item m="1" x="936"/>
        <item m="1" x="899"/>
        <item m="1" x="226"/>
        <item m="1" x="3077"/>
        <item m="1" x="1569"/>
        <item m="1" x="3019"/>
        <item m="1" x="1518"/>
        <item m="1" x="2972"/>
        <item m="1" x="1707"/>
        <item m="1" x="1302"/>
        <item m="1" x="2685"/>
        <item m="1" x="2567"/>
        <item m="1" x="1282"/>
        <item m="1" x="1186"/>
        <item m="1" x="2786"/>
        <item m="1" x="623"/>
        <item m="1" x="274"/>
        <item m="1" x="2057"/>
        <item m="1" x="2832"/>
        <item m="1" x="1366"/>
        <item m="1" x="2884"/>
        <item m="1" x="3016"/>
        <item m="1" x="2371"/>
        <item m="1" x="104"/>
        <item m="1" x="1763"/>
        <item m="1" x="1467"/>
        <item m="1" x="2927"/>
        <item m="1" x="1410"/>
        <item m="1" x="1363"/>
        <item m="1" x="2924"/>
        <item m="1" x="126"/>
        <item m="1" x="1794"/>
        <item m="1" x="1653"/>
        <item m="1" x="1051"/>
        <item m="1" x="3137"/>
        <item m="1" x="1875"/>
        <item m="1" x="1935"/>
        <item m="1" x="1135"/>
        <item m="1" x="216"/>
        <item m="1" x="3010"/>
        <item m="1" x="2782"/>
        <item m="1" x="1419"/>
        <item m="1" x="2838"/>
        <item m="1" x="1309"/>
        <item m="1" x="2790"/>
        <item m="1" x="1255"/>
        <item m="1" x="2740"/>
        <item m="1" x="1524"/>
        <item m="1" x="2979"/>
        <item m="1" x="1472"/>
        <item m="1" x="2934"/>
        <item m="1" x="2595"/>
        <item m="1" x="2853"/>
        <item m="1" x="2828"/>
        <item m="1" x="1233"/>
        <item m="1" x="1974"/>
        <item m="1" x="1095"/>
        <item m="1" x="812"/>
        <item m="1" x="813"/>
        <item m="1" x="1060"/>
        <item m="1" x="1061"/>
        <item m="1" x="975"/>
        <item m="1" x="2038"/>
        <item m="1" x="384"/>
        <item m="1" x="1139"/>
        <item m="1" x="2644"/>
        <item m="1" x="2543"/>
        <item m="1" x="917"/>
        <item m="1" x="108"/>
        <item m="1" x="2820"/>
        <item m="1" x="1834"/>
        <item m="1" x="1497"/>
        <item m="1" x="2601"/>
        <item m="1" x="1624"/>
        <item m="1" x="3104"/>
        <item m="1" x="2559"/>
        <item m="1" x="324"/>
        <item m="1" x="2965"/>
        <item m="1" x="177"/>
        <item m="1" x="1566"/>
        <item m="1" x="269"/>
        <item m="1" x="1799"/>
        <item m="1" x="2936"/>
        <item m="1" x="851"/>
        <item m="1" x="120"/>
        <item m="1" x="485"/>
        <item m="1" x="1548"/>
        <item m="1" x="1922"/>
        <item m="1" x="1347"/>
        <item m="1" x="2457"/>
        <item m="1" x="169"/>
        <item m="1" x="166"/>
        <item m="1" x="1929"/>
        <item m="1" x="1731"/>
        <item m="1" x="1671"/>
        <item m="1" x="153"/>
        <item m="1" x="1816"/>
        <item m="1" x="208"/>
        <item m="1" x="1868"/>
        <item m="1" x="469"/>
        <item m="1" x="1753"/>
        <item m="1" x="2048"/>
        <item m="1" x="2318"/>
        <item m="1" x="244"/>
        <item m="1" x="1905"/>
        <item m="1" x="314"/>
        <item m="1" x="1965"/>
        <item m="1" x="377"/>
        <item m="1" x="2030"/>
        <item m="1" x="452"/>
        <item m="1" x="2099"/>
        <item m="1" x="521"/>
        <item m="1" x="1359"/>
        <item m="1" x="2312"/>
        <item m="1" x="877"/>
        <item m="1" x="2469"/>
        <item m="1" x="395"/>
        <item m="1" x="335"/>
        <item m="1" x="1455"/>
        <item m="1" x="2920"/>
        <item m="1" x="344"/>
        <item m="1" x="1989"/>
        <item m="1" x="402"/>
        <item m="1" x="1701"/>
        <item m="1" x="98"/>
        <item m="1" x="1757"/>
        <item m="1" x="1821"/>
        <item m="1" x="158"/>
        <item m="1" x="193"/>
        <item m="1" x="1850"/>
        <item m="1" x="1912"/>
        <item m="1" x="866"/>
        <item m="1" x="1984"/>
        <item m="1" x="1844"/>
        <item m="1" x="2618"/>
        <item m="1" x="1775"/>
        <item m="1" x="1104"/>
        <item m="1" x="250"/>
        <item m="1" x="2811"/>
        <item m="1" x="2575"/>
        <item m="1" x="2598"/>
        <item m="1" x="1065"/>
        <item m="1" x="2708"/>
        <item m="1" x="261"/>
        <item m="1" x="2194"/>
        <item m="1" x="413"/>
        <item m="1" x="1327"/>
        <item m="1" x="830"/>
        <item m="1" x="591"/>
        <item m="1" x="1808"/>
        <item m="1" x="201"/>
        <item m="1" x="351"/>
        <item m="1" x="1015"/>
        <item m="1" x="1101"/>
        <item m="1" x="2354"/>
        <item m="1" x="1150"/>
        <item m="1" x="2001"/>
        <item m="1" x="531"/>
        <item m="1" x="2149"/>
        <item m="1" x="3048"/>
        <item m="1" x="512"/>
        <item m="1" x="1303"/>
        <item m="1" x="2876"/>
        <item m="1" x="547"/>
        <item m="1" x="443"/>
        <item m="1" x="2201"/>
        <item m="1" x="3066"/>
        <item m="1" x="2465"/>
        <item m="1" x="2398"/>
        <item m="1" x="534"/>
        <item m="1" x="1338"/>
        <item m="1" x="2295"/>
        <item m="1" x="2532"/>
        <item m="1" x="3001"/>
        <item m="1" x="164"/>
        <item m="1" x="475"/>
        <item m="1" x="3054"/>
        <item m="1" x="3009"/>
        <item m="1" x="251"/>
        <item m="1" x="1659"/>
        <item m="1" x="325"/>
        <item m="1" x="1913"/>
        <item m="1" x="3091"/>
        <item m="1" x="1851"/>
        <item m="1" x="602"/>
        <item m="1" x="1589"/>
        <item m="1" x="2922"/>
        <item m="1" x="1861"/>
        <item m="1" x="385"/>
        <item m="1" x="1975"/>
        <item m="1" x="2039"/>
        <item m="1" x="461"/>
        <item m="1" x="2106"/>
        <item m="1" x="1605"/>
        <item m="1" x="875"/>
        <item m="1" x="1115"/>
        <item m="1" x="651"/>
        <item m="1" x="1958"/>
        <item m="1" x="1926"/>
        <item m="1" x="369"/>
        <item m="1" x="111"/>
        <item m="1" x="2638"/>
        <item m="1" x="2090"/>
        <item m="1" x="178"/>
        <item m="1" x="1840"/>
        <item m="1" x="352"/>
        <item m="1" x="1832"/>
        <item m="1" x="581"/>
        <item x="40"/>
        <item m="1" x="309"/>
        <item m="1" x="1900"/>
        <item m="1" x="240"/>
        <item m="1" x="1788"/>
        <item m="1" x="1544"/>
        <item m="1" x="2899"/>
        <item m="1" x="1279"/>
        <item m="1" x="2613"/>
        <item m="1" x="736"/>
        <item m="1" x="1764"/>
        <item m="1" x="107"/>
        <item m="1" x="1711"/>
        <item m="1" x="3140"/>
        <item m="1" x="1657"/>
        <item m="1" x="3089"/>
        <item m="1" x="1600"/>
        <item m="1" x="3045"/>
        <item m="1" x="1542"/>
        <item m="1" x="218"/>
        <item m="1" x="1824"/>
        <item m="1" x="161"/>
        <item m="1" x="1762"/>
        <item m="1" x="103"/>
        <item m="1" x="1706"/>
        <item m="1" x="3136"/>
        <item m="1" x="1652"/>
        <item m="1" x="3084"/>
        <item m="1" x="1595"/>
        <item m="1" x="273"/>
        <item m="1" x="1874"/>
        <item m="1" x="2739"/>
        <item m="1" x="1207"/>
        <item m="1" x="2704"/>
        <item m="1" x="1168"/>
        <item m="1" x="2667"/>
        <item m="1" x="1063"/>
        <item m="1" x="2494"/>
        <item m="1" x="934"/>
        <item m="1" x="2455"/>
        <item m="1" x="1952"/>
        <item m="1" x="363"/>
        <item m="1" x="2013"/>
        <item m="1" x="434"/>
        <item m="1" x="2084"/>
        <item m="1" x="505"/>
        <item m="1" x="2142"/>
        <item m="1" x="842"/>
        <item m="1" x="1614"/>
        <item m="1" x="1147"/>
        <item m="1" x="2957"/>
        <item m="1" x="2999"/>
        <item m="1" x="1496"/>
        <item m="1" x="2996"/>
        <item m="1" x="1446"/>
        <item m="1" x="3139"/>
        <item m="1" x="106"/>
        <item m="1" x="1656"/>
        <item m="1" x="3088"/>
        <item m="1" x="1599"/>
        <item m="1" x="1710"/>
        <item m="1" x="1541"/>
        <item m="1" x="1491"/>
        <item m="1" x="1761"/>
        <item m="1" x="160"/>
        <item m="1" x="102"/>
        <item m="1" x="1651"/>
        <item m="1" x="3135"/>
        <item m="1" x="815"/>
        <item m="1" x="2413"/>
        <item m="1" x="305"/>
        <item m="1" x="2649"/>
        <item m="1" x="1897"/>
        <item m="1" x="2023"/>
        <item m="1" x="1072"/>
        <item m="1" x="1331"/>
        <item m="1" x="900"/>
        <item m="1" x="1559"/>
        <item m="1" x="3055"/>
        <item m="1" x="570"/>
        <item m="1" x="2624"/>
        <item m="1" x="1219"/>
        <item m="1" x="479"/>
        <item m="1" x="770"/>
        <item m="1" x="1090"/>
        <item m="1" x="2608"/>
        <item m="1" x="67"/>
        <item m="1" x="2868"/>
        <item m="1" x="3008"/>
        <item m="1" x="2678"/>
        <item m="1" x="2714"/>
        <item m="1" x="1668"/>
        <item m="1" x="365"/>
        <item m="1" x="3097"/>
        <item m="1" x="1596"/>
        <item m="1" x="1443"/>
        <item m="1" x="818"/>
        <item m="1" x="1103"/>
        <item m="1" x="1612"/>
        <item m="1" x="1715"/>
        <item m="1" x="1054"/>
        <item m="1" x="2886"/>
        <item m="1" x="3083"/>
        <item m="1" x="1504"/>
        <item m="1" x="3014"/>
        <item m="1" x="700"/>
        <item m="1" x="2243"/>
        <item m="1" x="643"/>
        <item m="1" x="2191"/>
        <item m="1" x="215"/>
        <item m="1" x="1774"/>
        <item m="1" x="2135"/>
        <item m="1" x="1346"/>
        <item m="1" x="537"/>
        <item m="1" x="2110"/>
        <item m="1" x="467"/>
        <item m="1" x="1820"/>
        <item m="1" x="279"/>
        <item x="9"/>
        <item m="1" x="1224"/>
        <item m="1" x="2757"/>
        <item m="1" x="2639"/>
        <item m="1" x="2165"/>
        <item m="1" x="1182"/>
        <item m="1" x="1699"/>
        <item m="1" x="2703"/>
        <item m="1" x="426"/>
        <item m="1" x="496"/>
        <item m="1" x="2077"/>
        <item m="1" x="1809"/>
        <item m="1" x="2045"/>
        <item m="1" x="3102"/>
        <item m="1" x="2872"/>
        <item m="1" x="1960"/>
        <item m="1" x="2005"/>
        <item m="1" x="3094"/>
        <item x="10"/>
        <item m="1" x="2718"/>
        <item m="1" x="157"/>
        <item m="1" x="969"/>
        <item m="1" x="2490"/>
        <item m="1" x="2431"/>
        <item m="1" x="898"/>
        <item m="1" x="1980"/>
        <item m="1" x="329"/>
        <item m="1" x="1917"/>
        <item m="1" x="670"/>
        <item m="1" x="3124"/>
        <item m="1" x="2217"/>
        <item m="1" x="608"/>
        <item m="1" x="2161"/>
        <item m="1" x="3040"/>
        <item m="1" x="1594"/>
        <item m="1" x="2681"/>
        <item m="1" x="214"/>
        <item m="1" x="1538"/>
        <item m="1" x="392"/>
        <item m="1" x="1012"/>
        <item m="1" x="3095"/>
        <item m="1" x="1116"/>
        <item m="1" x="528"/>
        <item m="1" x="2104"/>
        <item m="1" x="2857"/>
        <item m="1" x="1384"/>
        <item m="1" x="1272"/>
        <item m="1" x="2806"/>
        <item m="1" x="1332"/>
        <item m="1" x="3128"/>
        <item m="1" x="2116"/>
        <item m="1" x="3076"/>
        <item m="1" x="1644"/>
        <item m="1" x="1588"/>
        <item m="1" x="682"/>
        <item m="1" x="114"/>
        <item m="1" x="1146"/>
        <item m="1" x="878"/>
        <item m="1" x="1345"/>
        <item m="1" x="1893"/>
        <item m="1" x="1601"/>
        <item m="1" x="232"/>
        <item m="1" x="1955"/>
        <item m="1" x="302"/>
        <item m="1" x="1815"/>
        <item m="1" x="2777"/>
        <item m="1" x="599"/>
        <item m="1" x="1622"/>
        <item m="1" x="2154"/>
        <item m="1" x="597"/>
        <item m="1" x="2210"/>
        <item m="1" x="664"/>
        <item m="1" x="2258"/>
        <item m="1" x="716"/>
        <item m="1" x="1971"/>
        <item m="1" x="457"/>
        <item m="1" x="2035"/>
        <item m="1" x="381"/>
        <item m="1" x="1130"/>
        <item m="1" x="2752"/>
        <item m="1" x="207"/>
        <item m="1" x="2780"/>
        <item m="1" x="821"/>
        <item m="1" x="2461"/>
        <item m="1" x="1551"/>
        <item m="1" x="1289"/>
        <item m="1" x="535"/>
        <item m="1" x="2529"/>
        <item m="1" x="971"/>
        <item m="1" x="2492"/>
        <item m="1" x="761"/>
        <item m="1" x="2027"/>
        <item m="1" x="447"/>
        <item m="1" x="1751"/>
        <item m="1" x="932"/>
        <item m="1" x="2364"/>
        <item m="1" x="78"/>
        <item m="1" x="2981"/>
        <item m="1" x="2337"/>
        <item m="1" x="91"/>
        <item m="1" x="2368"/>
        <item m="1" x="151"/>
        <item m="1" x="2096"/>
        <item m="1" x="267"/>
        <item m="1" x="354"/>
        <item m="1" x="3145"/>
        <item m="1" x="63"/>
        <item m="1" x="1894"/>
        <item m="1" x="920"/>
        <item m="1" x="2147"/>
        <item m="1" x="588"/>
        <item m="1" x="799"/>
        <item m="1" x="1356"/>
        <item m="1" x="2627"/>
        <item m="1" x="481"/>
        <item m="1" x="2167"/>
        <item m="1" x="1615"/>
        <item m="1" x="1507"/>
        <item m="1" x="1549"/>
        <item m="1" x="1837"/>
        <item m="1" x="1725"/>
        <item m="1" x="508"/>
        <item m="1" x="2087"/>
        <item m="1" x="1064"/>
        <item m="1" x="1080"/>
        <item m="1" x="1663"/>
        <item m="1" x="1442"/>
        <item m="1" x="2679"/>
        <item m="1" x="2715"/>
        <item m="1" x="1220"/>
        <item m="1" x="2904"/>
        <item m="1" x="1692"/>
        <item m="1" x="2345"/>
        <item m="1" x="519"/>
        <item m="1" x="1613"/>
        <item m="1" x="3123"/>
        <item m="1" x="756"/>
        <item m="1" x="2124"/>
        <item m="1" x="1718"/>
        <item m="1" x="963"/>
        <item m="1" x="1212"/>
        <item m="1" x="2138"/>
        <item m="1" x="574"/>
        <item m="1" x="2197"/>
        <item m="1" x="647"/>
        <item m="1" x="703"/>
        <item m="1" x="2293"/>
        <item m="1" x="843"/>
        <item m="1" x="1640"/>
        <item m="1" x="333"/>
        <item m="1" x="2521"/>
        <item m="1" x="2292"/>
        <item m="1" x="702"/>
        <item m="1" x="2245"/>
        <item m="1" x="646"/>
        <item m="1" x="2196"/>
        <item m="1" x="573"/>
        <item m="1" x="2137"/>
        <item m="1" x="498"/>
        <item m="1" x="2078"/>
        <item m="1" x="793"/>
        <item m="1" x="2340"/>
        <item m="1" x="749"/>
        <item m="1" x="2288"/>
        <item m="1" x="2954"/>
        <item m="1" x="697"/>
        <item m="1" x="2241"/>
        <item m="1" x="2042"/>
        <item m="1" x="2186"/>
        <item m="1" x="1782"/>
        <item m="1" x="125"/>
        <item m="1" x="639"/>
        <item m="1" x="2411"/>
        <item m="1" x="1830"/>
        <item m="1" x="175"/>
        <item m="1" x="1180"/>
        <item m="1" x="2063"/>
        <item m="1" x="2131"/>
        <item m="1" x="566"/>
        <item m="1" x="2497"/>
        <item m="1" x="951"/>
        <item m="1" x="115"/>
        <item m="1" x="476"/>
        <item m="1" x="826"/>
        <item m="1" x="1717"/>
        <item m="1" x="1019"/>
        <item m="1" x="1321"/>
        <item m="1" x="863"/>
        <item m="1" x="895"/>
        <item m="1" x="1401"/>
        <item m="1" x="1480"/>
        <item m="1" x="765"/>
        <item m="1" x="2852"/>
        <item m="1" x="2802"/>
        <item m="1" x="1326"/>
        <item m="1" x="1267"/>
        <item m="1" x="2483"/>
        <item m="1" x="3143"/>
        <item m="1" x="916"/>
        <item m="1" x="2266"/>
        <item m="1" x="1187"/>
        <item m="1" x="2351"/>
        <item m="1" x="1662"/>
        <item m="1" x="835"/>
        <item m="1" x="2785"/>
        <item m="1" x="2792"/>
        <item m="1" x="1864"/>
        <item m="1" x="788"/>
        <item m="1" x="2446"/>
        <item m="1" x="2823"/>
        <item m="1" x="3093"/>
        <item m="1" x="2373"/>
        <item m="1" x="786"/>
        <item m="1" x="2330"/>
        <item m="1" x="741"/>
        <item m="1" x="845"/>
        <item m="1" x="2429"/>
        <item m="1" x="2383"/>
        <item m="1" x="832"/>
        <item m="1" x="1179"/>
        <item m="1" x="1043"/>
        <item m="1" x="361"/>
        <item m="1" x="987"/>
        <item m="1" x="487"/>
        <item m="1" x="2636"/>
        <item m="1" x="1962"/>
        <item m="1" x="2841"/>
        <item m="1" x="2561"/>
        <item m="1" x="1351"/>
        <item m="1" x="112"/>
        <item m="1" x="1001"/>
        <item m="1" x="2410"/>
        <item m="1" x="1038"/>
        <item m="1" x="2303"/>
        <item m="1" x="774"/>
        <item m="1" x="1532"/>
        <item m="1" x="2448"/>
        <item m="1" x="734"/>
        <item m="1" x="684"/>
        <item m="1" x="2557"/>
        <item m="1" x="2875"/>
        <item m="1" x="2179"/>
        <item m="1" x="2516"/>
        <item m="1" x="2749"/>
        <item m="1" x="1216"/>
        <item m="1" x="2015"/>
        <item m="1" x="2712"/>
        <item m="1" x="956"/>
        <item m="1" x="1454"/>
        <item m="1" x="627"/>
        <item m="1" x="2234"/>
        <item m="1" x="688"/>
        <item m="1" x="2284"/>
        <item m="1" x="144"/>
        <item m="1" x="458"/>
        <item m="1" x="2596"/>
        <item m="1" x="2474"/>
        <item m="1" x="631"/>
        <item m="1" x="3012"/>
        <item m="1" x="2506"/>
        <item m="1" x="1041"/>
        <item m="1" x="1484"/>
        <item m="1" x="998"/>
        <item m="1" x="919"/>
        <item m="1" x="2480"/>
        <item m="1" x="874"/>
        <item m="1" x="958"/>
        <item m="1" x="781"/>
        <item m="1" x="2323"/>
        <item m="1" x="2517"/>
        <item m="1" x="1088"/>
        <item m="1" x="2230"/>
        <item m="1" x="2271"/>
        <item m="1" x="1937"/>
        <item m="1" x="2123"/>
        <item m="1" x="2276"/>
        <item m="1" x="2367"/>
        <item m="1" x="829"/>
        <item m="1" x="2416"/>
        <item m="1" x="2647"/>
        <item m="1" x="2349"/>
        <item m="1" x="816"/>
        <item m="1" x="880"/>
        <item m="1" x="1552"/>
        <item m="1" x="1606"/>
        <item m="1" x="2449"/>
        <item m="1" x="2369"/>
        <item m="1" x="429"/>
        <item m="1" x="296"/>
        <item m="1" x="2009"/>
        <item m="1" x="1948"/>
        <item m="1" x="1772"/>
        <item m="1" x="1890"/>
        <item m="1" x="3117"/>
        <item m="1" x="2518"/>
        <item m="1" x="2119"/>
        <item m="1" x="1396"/>
        <item m="1" x="1884"/>
        <item m="1" x="993"/>
        <item m="1" x="882"/>
        <item m="1" x="2418"/>
        <item m="1" x="831"/>
        <item m="1" x="924"/>
        <item m="1" x="1086"/>
        <item m="1" x="2897"/>
        <item m="1" x="615"/>
        <item m="1" x="1081"/>
        <item m="1" x="113"/>
        <item m="1" x="640"/>
        <item m="1" x="2316"/>
        <item m="1" x="779"/>
        <item m="1" x="2362"/>
        <item m="1" x="824"/>
        <item m="1" x="2408"/>
        <item m="1" x="872"/>
        <item m="1" x="2447"/>
        <item m="1" x="918"/>
        <item m="1" x="732"/>
        <item m="1" x="2443"/>
        <item m="1" x="2477"/>
        <item m="1" x="913"/>
        <item m="1" x="2534"/>
        <item m="1" x="2208"/>
        <item m="1" x="1814"/>
        <item m="1" x="1395"/>
        <item m="1" x="411"/>
        <item m="1" x="1933"/>
        <item m="1" x="744"/>
        <item m="1" x="150"/>
        <item m="1" x="2512"/>
        <item m="1" x="2594"/>
        <item m="1" x="995"/>
        <item m="1" x="2551"/>
        <item m="1" x="1035"/>
        <item m="1" x="1172"/>
        <item m="1" x="1877"/>
        <item m="1" x="93"/>
        <item m="1" x="1695"/>
        <item m="1" x="1619"/>
        <item m="1" x="3130"/>
        <item m="1" x="1129"/>
        <item m="1" x="271"/>
        <item m="1" x="1871"/>
        <item m="1" x="255"/>
        <item m="1" x="1754"/>
        <item m="1" x="155"/>
        <item m="1" x="1818"/>
        <item m="1" x="211"/>
        <item m="1" x="1025"/>
        <item m="1" x="1379"/>
        <item m="1" x="1547"/>
        <item m="1" x="1872"/>
        <item m="1" x="2466"/>
        <item m="1" x="1508"/>
        <item m="1" x="915"/>
        <item m="1" x="2372"/>
        <item m="1" x="2682"/>
        <item m="1" x="886"/>
        <item m="1" x="1056"/>
        <item m="1" x="2570"/>
        <item m="1" x="1009"/>
        <item m="1" x="2525"/>
        <item m="1" x="967"/>
        <item m="1" x="2488"/>
        <item m="1" x="930"/>
        <item m="1" x="890"/>
        <item m="1" x="2426"/>
        <item m="1" x="1097"/>
        <item m="1" x="2604"/>
        <item m="1" x="1049"/>
        <item m="1" x="2565"/>
        <item m="1" x="1005"/>
        <item m="1" x="2523"/>
        <item m="1" x="965"/>
        <item m="1" x="2485"/>
        <item m="1" x="926"/>
        <item m="1" x="2451"/>
        <item m="1" x="1137"/>
        <item m="1" x="2642"/>
        <item m="1" x="1093"/>
        <item m="1" x="677"/>
        <item m="1" x="2599"/>
        <item m="1" x="3056"/>
        <item m="1" x="1191"/>
        <item m="1" x="949"/>
        <item m="1" x="723"/>
        <item m="1" x="285"/>
        <item m="1" x="2445"/>
        <item m="1" x="1954"/>
        <item m="1" x="2877"/>
        <item m="1" x="301"/>
        <item m="1" x="2462"/>
        <item m="1" x="2631"/>
        <item m="1" x="1125"/>
        <item m="1" x="2671"/>
        <item m="1" x="1082"/>
        <item m="1" x="904"/>
        <item m="1" x="1119"/>
        <item m="1" x="2588"/>
        <item m="1" x="2805"/>
        <item m="1" x="340"/>
        <item m="1" x="1771"/>
        <item m="1" x="1152"/>
        <item m="1" x="1292"/>
        <item m="1" x="1029"/>
        <item m="1" x="2423"/>
        <item x="0"/>
        <item m="1" x="2548"/>
        <item x="38"/>
        <item m="1" x="1066"/>
        <item m="1" x="2634"/>
        <item m="1" x="3003"/>
        <item m="1" x="2960"/>
        <item m="1" x="203"/>
        <item m="1" x="1500"/>
        <item m="1" x="1828"/>
        <item m="1" x="1810"/>
        <item m="1" x="146"/>
        <item m="1" x="2510"/>
        <item m="1" x="1833"/>
        <item m="1" x="1784"/>
        <item m="1" x="1743"/>
        <item m="1" x="2018"/>
        <item m="1" x="544"/>
        <item m="1" x="1716"/>
        <item m="1" x="1044"/>
        <item m="1" x="2478"/>
        <item m="1" x="97"/>
        <item m="1" x="1700"/>
        <item m="1" x="3129"/>
        <item m="1" x="1645"/>
        <item m="1" x="343"/>
        <item m="1" x="1928"/>
        <item m="1" x="268"/>
        <item m="1" x="1745"/>
        <item m="1" x="152"/>
        <item m="1" x="1752"/>
        <item m="1" x="92"/>
        <item m="1" x="1693"/>
        <item m="1" x="394"/>
        <item m="1" x="1983"/>
        <item m="1" x="334"/>
        <item m="1" x="1921"/>
        <item m="1" x="260"/>
        <item m="1" x="1860"/>
        <item m="1" x="465"/>
        <item m="1" x="772"/>
        <item m="1" x="860"/>
        <item m="1" x="1121"/>
        <item m="1" x="1449"/>
        <item m="1" x="1205"/>
        <item m="1" x="248"/>
        <item m="1" x="390"/>
        <item m="1" x="2571"/>
        <item m="1" x="2043"/>
        <item m="1" x="200"/>
        <item m="1" x="1319"/>
        <item m="1" x="1297"/>
        <item m="1" x="2842"/>
        <item m="1" x="1312"/>
        <item m="1" x="327"/>
        <item m="1" x="90"/>
        <item m="1" x="1750"/>
        <item m="1" x="1915"/>
        <item m="1" x="2433"/>
        <item m="1" x="992"/>
        <item m="1" x="1405"/>
        <item m="1" x="2555"/>
        <item m="1" x="2788"/>
        <item m="1" x="1252"/>
        <item m="1" x="1709"/>
        <item m="1" x="2554"/>
        <item m="1" x="2830"/>
        <item m="1" x="892"/>
        <item m="1" x="2223"/>
        <item m="1" x="797"/>
        <item m="1" x="2870"/>
        <item m="1" x="1553"/>
        <item m="1" x="1722"/>
        <item m="1" x="996"/>
        <item m="1" x="2251"/>
        <item m="1" x="707"/>
        <item m="1" x="2298"/>
        <item m="1" x="2346"/>
        <item m="1" x="653"/>
        <item m="1" x="760"/>
        <item m="1" x="901"/>
        <item m="1" x="2203"/>
        <item m="1" x="846"/>
        <item m="1" x="584"/>
        <item m="1" x="2145"/>
        <item m="1" x="2422"/>
        <item m="1" x="2384"/>
        <item m="1" x="986"/>
        <item m="1" x="2568"/>
        <item m="1" x="2094"/>
        <item m="1" x="517"/>
        <item m="1" x="2152"/>
        <item m="1" x="595"/>
        <item m="1" x="1846"/>
        <item m="1" x="246"/>
        <item m="1" x="1906"/>
        <item m="1" x="318"/>
        <item m="1" x="1969"/>
        <item m="1" x="379"/>
        <item m="1" x="2033"/>
        <item m="1" x="2102"/>
        <item m="1" x="455"/>
        <item m="1" x="526"/>
        <item m="1" x="1801"/>
        <item m="1" x="194"/>
        <item m="1" x="1853"/>
        <item m="1" x="252"/>
        <item m="1" x="1978"/>
        <item m="1" x="445"/>
        <item m="1" x="2025"/>
        <item m="1" x="3141"/>
        <item m="1" x="3085"/>
        <item m="1" x="2562"/>
        <item m="1" x="1002"/>
        <item m="1" x="2519"/>
        <item m="1" x="959"/>
        <item m="1" x="2481"/>
        <item m="1" x="1181"/>
        <item m="1" x="721"/>
        <item m="1" x="2784"/>
        <item m="1" x="1268"/>
        <item m="1" x="1242"/>
        <item m="1" x="1458"/>
        <item m="1" x="1550"/>
        <item m="1" x="371"/>
        <item m="1" x="1052"/>
        <item m="1" x="1807"/>
        <item m="1" x="2807"/>
        <item m="1" x="281"/>
        <item m="1" x="2758"/>
        <item m="1" x="2344"/>
        <item m="1" x="2175"/>
        <item m="1" x="625"/>
        <item m="1" x="1304"/>
        <item m="1" x="1390"/>
        <item m="1" x="110"/>
        <item m="1" x="2925"/>
        <item m="1" x="1406"/>
        <item m="1" x="2911"/>
        <item m="1" x="654"/>
        <item m="1" x="3116"/>
        <item m="1" x="2356"/>
        <item m="1" x="1714"/>
        <item m="1" x="3022"/>
        <item m="1" x="1520"/>
        <item m="1" x="1155"/>
        <item m="1" x="1766"/>
        <item m="1" x="2120"/>
        <item m="1" x="693"/>
        <item m="1" x="2668"/>
        <item m="1" x="1765"/>
        <item m="1" x="2475"/>
        <item m="1" x="2336"/>
        <item m="1" x="2765"/>
        <item m="1" x="474"/>
        <item m="1" x="2738"/>
        <item m="1" x="85"/>
        <item m="1" x="1779"/>
        <item m="1" x="891"/>
        <item m="1" x="2193"/>
        <item m="1" x="840"/>
        <item m="1" x="2427"/>
        <item m="1" x="2378"/>
        <item m="1" x="791"/>
        <item m="1" x="747"/>
        <item m="1" x="2287"/>
        <item m="1" x="543"/>
        <item m="1" x="2168"/>
        <item m="1" x="1249"/>
        <item m="1" x="1409"/>
        <item m="1" x="1298"/>
        <item m="1" x="1350"/>
        <item m="1" x="3000"/>
        <item m="1" x="1986"/>
        <item m="1" x="337"/>
        <item m="1" x="884"/>
        <item m="1" x="397"/>
        <item m="1" x="834"/>
        <item m="1" x="1296"/>
        <item m="1" x="471"/>
        <item m="1" x="539"/>
        <item m="1" x="2113"/>
        <item m="1" x="808"/>
        <item m="1" x="927"/>
        <item m="1" x="2452"/>
        <item m="1" x="2050"/>
        <item m="1" x="2421"/>
        <item m="1" x="557"/>
        <item m="1" x="489"/>
        <item m="1" x="2054"/>
        <item m="1" x="404"/>
        <item m="1" x="1991"/>
        <item m="1" x="346"/>
        <item m="1" x="1931"/>
        <item m="1" x="270"/>
        <item m="1" x="1870"/>
        <item m="1" x="617"/>
        <item m="1" x="612"/>
        <item m="1" x="672"/>
        <item m="1" x="2220"/>
        <item m="1" x="1024"/>
        <item m="1" x="1031"/>
        <item m="1" x="905"/>
        <item m="1" x="1158"/>
        <item m="1" x="1452"/>
        <item m="1" x="1924"/>
        <item m="1" x="2459"/>
        <item m="1" x="2687"/>
        <item m="1" x="1167"/>
        <item m="1" x="533"/>
        <item m="1" x="2118"/>
        <item m="1" x="2263"/>
        <item m="1" x="224"/>
        <item m="1" x="2653"/>
        <item m="1" x="2108"/>
        <item m="1" x="463"/>
        <item m="1" x="1084"/>
        <item m="1" x="738"/>
        <item m="1" x="2325"/>
        <item m="1" x="675"/>
        <item m="1" x="1311"/>
        <item m="1" x="2486"/>
        <item m="1" x="2482"/>
        <item m="1" x="1198"/>
        <item m="1" x="768"/>
        <item m="1" x="1040"/>
        <item m="1" x="783"/>
        <item m="1" x="2041"/>
        <item m="1" x="387"/>
        <item m="1" x="3096"/>
        <item m="1" x="2166"/>
        <item m="1" x="2073"/>
        <item m="1" x="1977"/>
        <item m="1" x="718"/>
        <item m="1" x="2260"/>
        <item m="1" x="668"/>
        <item m="1" x="2216"/>
        <item m="1" x="604"/>
        <item m="1" x="2159"/>
        <item m="1" x="524"/>
        <item m="1" x="2101"/>
        <item m="1" x="454"/>
        <item m="1" x="2032"/>
        <item m="1" x="764"/>
        <item m="1" x="2300"/>
        <item m="1" x="714"/>
        <item m="1" x="2257"/>
        <item m="1" x="661"/>
        <item m="1" x="921"/>
        <item m="1" x="2863"/>
        <item m="1" x="2280"/>
        <item m="1" x="961"/>
        <item m="1" x="817"/>
        <item m="1" x="954"/>
        <item m="1" x="1829"/>
        <item m="1" x="143"/>
        <item m="1" x="1474"/>
        <item m="1" x="2983"/>
        <item m="1" x="1526"/>
        <item m="1" x="2456"/>
        <item m="1" x="1283"/>
        <item m="1" x="862"/>
        <item m="1" x="2676"/>
        <item m="1" x="2304"/>
        <item m="1" x="876"/>
        <item m="1" x="1691"/>
        <item m="1" x="1639"/>
        <item m="1" x="2055"/>
        <item m="1" x="2306"/>
        <item m="1" x="554"/>
        <item m="1" x="405"/>
        <item m="1" x="576"/>
        <item m="1" x="2412"/>
        <item m="1" x="1583"/>
        <item m="1" x="1033"/>
        <item m="1" x="2363"/>
        <item m="1" x="1768"/>
        <item m="1" x="2207"/>
        <item m="1" x="593"/>
        <item m="1" x="2151"/>
        <item m="1" x="514"/>
        <item m="1" x="2092"/>
        <item m="1" x="803"/>
        <item m="1" x="1760"/>
        <item m="1" x="100"/>
        <item m="1" x="1703"/>
        <item m="1" x="3133"/>
        <item m="1" x="1649"/>
        <item m="1" x="3080"/>
        <item m="1" x="1591"/>
        <item m="1" x="3036"/>
        <item m="1" x="1535"/>
        <item m="1" x="827"/>
        <item m="1" x="213"/>
        <item m="1" x="674"/>
        <item m="1" x="1236"/>
        <item m="1" x="780"/>
        <item m="1" x="1819"/>
        <item m="1" x="1337"/>
        <item m="1" x="3090"/>
        <item m="1" x="1604"/>
        <item m="1" x="1305"/>
        <item m="1" x="282"/>
        <item m="1" x="1362"/>
        <item m="1" x="2827"/>
        <item m="1" x="310"/>
        <item m="1" x="2458"/>
        <item m="1" x="1017"/>
        <item m="1" x="2829"/>
        <item m="1" x="284"/>
        <item m="1" x="1087"/>
        <item m="1" x="1241"/>
        <item m="1" x="1730"/>
        <item m="1" x="673"/>
        <item m="1" x="2401"/>
        <item m="1" x="529"/>
        <item m="1" x="1756"/>
        <item m="1" x="1880"/>
        <item m="1" x="2869"/>
        <item m="1" x="3047"/>
        <item m="1" x="1202"/>
        <item m="1" x="295"/>
        <item m="1" x="1555"/>
        <item m="1" x="2002"/>
        <item m="1" x="2439"/>
        <item m="1" x="2222"/>
        <item m="1" x="423"/>
        <item m="1" x="222"/>
        <item m="1" x="1238"/>
        <item m="1" x="1925"/>
        <item m="1" x="341"/>
        <item m="1" x="1987"/>
        <item m="1" x="399"/>
        <item m="1" x="801"/>
        <item m="1" x="2319"/>
        <item m="1" x="347"/>
        <item m="1" x="2052"/>
        <item m="1" x="1037"/>
        <item m="1" x="1889"/>
        <item m="1" x="1506"/>
        <item m="1" x="2262"/>
        <item m="1" x="1827"/>
        <item m="1" x="1863"/>
        <item m="1" x="1580"/>
        <item m="1" x="263"/>
        <item m="1" x="1607"/>
        <item m="1" x="2174"/>
        <item m="1" x="204"/>
        <item m="1" x="2321"/>
        <item m="1" x="2831"/>
        <item m="1" x="1300"/>
        <item m="1" x="401"/>
        <item m="1" x="2407"/>
        <item m="1" x="1712"/>
        <item m="1" x="165"/>
        <item m="1" x="2878"/>
        <item m="1" x="77"/>
        <item m="1" x="1361"/>
        <item m="1" x="3074"/>
        <item m="1" x="1586"/>
        <item m="1" x="265"/>
        <item m="1" x="2812"/>
        <item m="1" x="2507"/>
        <item m="1" x="2775"/>
        <item m="1" x="1934"/>
        <item m="1" x="2513"/>
        <item m="1" x="3050"/>
        <item m="1" x="2224"/>
        <item m="1" x="1813"/>
        <item m="1" x="2694"/>
        <item m="1" x="2824"/>
        <item m="1" x="2633"/>
        <item m="1" x="223"/>
        <item m="1" x="683"/>
        <item m="1" x="1992"/>
        <item m="1" x="1901"/>
        <item m="1" x="1865"/>
        <item m="1" x="206"/>
        <item m="1" x="1288"/>
        <item m="1" x="2414"/>
        <item m="1" x="1611"/>
        <item m="1" x="1039"/>
        <item m="1" x="2062"/>
        <item m="1" x="1811"/>
        <item m="1" x="3103"/>
        <item m="1" x="536"/>
        <item m="1" x="1899"/>
        <item m="1" x="357"/>
        <item m="1" x="1154"/>
        <item m="1" x="2309"/>
        <item m="1" x="2282"/>
        <item m="1" x="1697"/>
        <item m="1" x="1261"/>
        <item m="1" x="2396"/>
        <item m="1" x="1941"/>
        <item m="1" x="680"/>
        <item m="1" x="2229"/>
        <item m="1" x="64"/>
        <item m="1" x="95"/>
        <item m="1" x="229"/>
        <item m="1" x="290"/>
        <item m="1" x="1879"/>
        <item m="1" x="727"/>
        <item m="1" x="2267"/>
        <item m="1" x="1858"/>
        <item m="1" x="259"/>
        <item m="1" x="948"/>
        <item m="1" x="198"/>
        <item m="1" x="997"/>
        <item m="1" x="2735"/>
        <item m="1" x="2117"/>
        <item m="1" x="2592"/>
        <item m="1" x="551"/>
        <item m="1" x="2121"/>
        <item m="1" x="1994"/>
        <item m="1" x="1778"/>
        <item m="1" x="2365"/>
        <item m="1" x="1666"/>
        <item m="1" x="65"/>
        <item m="1" x="1723"/>
        <item m="1" x="148"/>
        <item m="1" x="1748"/>
        <item m="1" x="87"/>
        <item m="1" x="1688"/>
        <item m="1" x="3119"/>
        <item m="1" x="1636"/>
        <item m="1" x="1744"/>
        <item m="1" x="2813"/>
        <item m="1" x="1770"/>
        <item m="1" x="2858"/>
        <item m="1" x="1122"/>
        <item m="1" x="1767"/>
        <item m="1" x="331"/>
        <item m="1" x="292"/>
        <item m="1" x="2380"/>
        <item m="1" x="2274"/>
        <item m="1" x="1030"/>
        <item m="1" x="2109"/>
        <item m="1" x="973"/>
        <item m="1" x="1246"/>
        <item m="1" x="1777"/>
        <item m="1" x="2320"/>
        <item m="1" x="1919"/>
        <item m="1" x="257"/>
        <item m="1" x="1856"/>
        <item m="1" x="196"/>
        <item m="1" x="1804"/>
        <item m="1" x="140"/>
        <item m="1" x="1740"/>
        <item m="1" x="466"/>
        <item m="1" x="190"/>
        <item m="1" x="391"/>
        <item m="1" x="247"/>
        <item m="1" x="1909"/>
        <item m="1" x="1403"/>
        <item m="1" x="1460"/>
        <item m="1" x="1402"/>
        <item m="1" x="2227"/>
        <item m="1" x="1886"/>
        <item m="1" x="1916"/>
        <item m="1" x="1972"/>
        <item m="1" x="382"/>
        <item m="1" x="1979"/>
        <item m="1" x="322"/>
        <item m="1" x="2044"/>
        <item m="1" x="253"/>
        <item m="1" x="2817"/>
        <item m="1" x="1284"/>
        <item m="1" x="3021"/>
        <item m="1" x="2065"/>
        <item m="1" x="1854"/>
        <item m="1" x="449"/>
        <item m="1" x="131"/>
        <item m="1" x="1733"/>
        <item m="1" x="1343"/>
        <item m="1" x="328"/>
        <item m="1" x="1796"/>
        <item m="1" x="2169"/>
        <item m="1" x="293"/>
        <item m="1" x="527"/>
        <item m="1" x="2209"/>
        <item m="1" x="2500"/>
        <item m="1" x="2768"/>
        <item m="1" x="999"/>
        <item m="1" x="1907"/>
        <item m="1" x="2326"/>
        <item m="1" x="410"/>
        <item m="1" x="1358"/>
        <item m="1" x="76"/>
        <item m="1" x="366"/>
        <item m="1" x="2019"/>
        <item m="1" x="1727"/>
        <item m="1" x="607"/>
        <item m="1" x="2160"/>
        <item m="1" x="2034"/>
        <item m="1" x="2103"/>
        <item m="1" x="456"/>
        <item m="1" x="2153"/>
        <item m="1" x="596"/>
        <item m="1" x="1781"/>
        <item m="1" x="1769"/>
        <item m="1" x="2095"/>
        <item m="1" x="1557"/>
        <item m="1" x="1070"/>
        <item m="1" x="1616"/>
        <item m="1" x="940"/>
        <item m="1" x="230"/>
        <item m="1" x="922"/>
        <item m="1" x="518"/>
        <item m="1" x="2415"/>
        <item m="1" x="380"/>
        <item m="1" x="2690"/>
        <item m="1" x="1189"/>
        <item m="1" x="2723"/>
        <item m="1" x="1232"/>
        <item m="1" x="2435"/>
        <item m="1" x="1685"/>
        <item m="1" x="2578"/>
        <item m="1" x="142"/>
        <item m="1" x="119"/>
        <item m="1" x="2545"/>
        <item m="1" x="3115"/>
        <item m="1" x="277"/>
        <item m="1" x="1759"/>
        <item m="1" x="472"/>
        <item m="1" x="236"/>
        <item m="1" x="577"/>
        <item m="1" x="2139"/>
        <item m="1" x="501"/>
        <item m="1" x="2080"/>
        <item m="1" x="431"/>
        <item m="1" x="2011"/>
        <item m="1" x="362"/>
        <item m="1" x="1950"/>
        <item m="1" x="298"/>
        <item m="1" x="1892"/>
        <item m="1" x="641"/>
        <item m="1" x="2189"/>
        <item m="1" x="568"/>
        <item m="1" x="2133"/>
        <item m="1" x="2075"/>
        <item m="1" x="425"/>
        <item m="1" x="2720"/>
        <item m="1" x="1184"/>
        <item m="1" x="2958"/>
        <item m="1" x="1447"/>
        <item m="1" x="2909"/>
        <item m="1" x="1388"/>
        <item m="1" x="2861"/>
        <item m="1" x="1335"/>
        <item m="1" x="2809"/>
        <item m="1" x="1276"/>
        <item m="1" x="2755"/>
        <item m="1" x="1222"/>
        <item m="1" x="2997"/>
        <item m="1" x="1494"/>
        <item m="1" x="2004"/>
        <item m="1" x="2509"/>
        <item m="1" x="446"/>
        <item m="1" x="2955"/>
        <item m="1" x="1970"/>
        <item m="1" x="319"/>
        <item m="1" x="1444"/>
        <item m="1" x="1946"/>
        <item m="1" x="1495"/>
        <item m="1" x="2906"/>
        <item m="1" x="1959"/>
        <item m="1" x="2026"/>
        <item m="1" x="2479"/>
        <item m="1" x="1481"/>
        <item m="1" x="1634"/>
        <item m="1" x="1947"/>
        <item m="1" x="2225"/>
        <item m="1" x="2129"/>
        <item m="1" x="2994"/>
        <item m="1" x="3042"/>
        <item m="1" x="1885"/>
        <item m="1" x="1439"/>
        <item m="1" x="2541"/>
        <item m="1" x="2901"/>
        <item m="1" x="1106"/>
        <item m="1" x="2907"/>
        <item m="1" x="1195"/>
        <item m="1" x="137"/>
        <item m="1" x="84"/>
        <item m="1" x="1684"/>
        <item m="1" x="231"/>
        <item m="1" x="372"/>
        <item m="1" x="3114"/>
        <item m="1" x="1330"/>
        <item m="1" x="2804"/>
        <item m="1" x="1270"/>
        <item m="1" x="1632"/>
        <item m="1" x="323"/>
        <item m="1" x="1911"/>
        <item m="1" x="1445"/>
        <item m="1" x="2253"/>
        <item m="1" x="3037"/>
        <item m="1" x="1887"/>
        <item m="1" x="982"/>
        <item m="1" x="3101"/>
        <item m="1" x="3059"/>
        <item m="1" x="1488"/>
        <item m="1" x="2951"/>
        <item m="1" x="2902"/>
        <item m="1" x="3086"/>
        <item m="1" x="3041"/>
        <item m="1" x="1539"/>
        <item m="1" x="1655"/>
        <item m="1" x="1597"/>
        <item m="1" x="1377"/>
        <item m="1" x="2556"/>
        <item m="1" x="1543"/>
        <item m="1" x="1333"/>
        <item m="1" x="2998"/>
        <item m="1" x="1340"/>
        <item m="1" x="2760"/>
        <item m="1" x="2864"/>
        <item m="1" x="1391"/>
        <item m="1" x="2913"/>
        <item m="1" x="1143"/>
        <item m="1" x="2814"/>
        <item m="1" x="1281"/>
        <item m="1" x="1227"/>
        <item m="1" x="1383"/>
        <item m="1" x="1352"/>
        <item m="1" x="1412"/>
        <item m="1" x="1342"/>
        <item m="1" x="2114"/>
        <item m="1" x="979"/>
        <item m="1" x="2816"/>
        <item m="1" x="655"/>
        <item m="1" x="1848"/>
        <item m="1" x="2204"/>
        <item m="1" x="946"/>
        <item m="1" x="2669"/>
        <item m="1" x="2916"/>
        <item m="1" x="1196"/>
        <item m="1" x="2269"/>
        <item m="1" x="657"/>
        <item m="1" x="2850"/>
        <item m="1" x="3131"/>
        <item m="1" x="587"/>
        <item m="1" x="2612"/>
        <item m="1" x="938"/>
        <item m="1" x="691"/>
        <item m="1" x="460"/>
        <item m="1" x="2146"/>
        <item m="1" x="710"/>
        <item m="1" x="3132"/>
        <item m="1" x="70"/>
        <item m="1" x="988"/>
        <item m="1" x="2238"/>
        <item m="1" x="1679"/>
        <item m="1" x="1486"/>
        <item m="1" x="2993"/>
        <item m="1" x="1324"/>
        <item m="1" x="3081"/>
        <item m="1" x="2932"/>
        <item m="1" x="1417"/>
        <item m="1" x="634"/>
        <item m="1" x="2181"/>
        <item m="1" x="2339"/>
        <item m="1" x="1105"/>
        <item m="1" x="2654"/>
        <item m="1" x="3111"/>
        <item m="1" x="681"/>
        <item m="1" x="191"/>
        <item m="1" x="2956"/>
        <item m="1" x="1437"/>
        <item m="1" x="561"/>
        <item m="1" x="82"/>
        <item m="1" x="99"/>
        <item m="1" x="1702"/>
        <item m="1" x="1681"/>
        <item m="1" x="1393"/>
        <item m="1" x="662"/>
        <item m="1" x="124"/>
        <item m="1" x="563"/>
        <item m="1" x="1166"/>
        <item m="1" x="2489"/>
        <item m="1" x="1630"/>
        <item m="1" x="2338"/>
        <item m="1" x="133"/>
        <item m="1" x="1800"/>
        <item m="1" x="2865"/>
        <item m="1" x="1392"/>
        <item m="1" x="2914"/>
        <item m="1" x="1450"/>
        <item m="1" x="1341"/>
        <item m="1" x="1516"/>
        <item m="1" x="1501"/>
        <item m="1" x="1114"/>
        <item m="1" x="1859"/>
        <item m="1" x="1797"/>
        <item m="1" x="1735"/>
        <item m="1" x="75"/>
        <item m="1" x="937"/>
        <item m="1" x="1708"/>
        <item m="1" x="2228"/>
        <item m="1" x="136"/>
        <item m="1" x="2771"/>
        <item m="1" x="2990"/>
        <item m="1" x="2946"/>
        <item m="1" x="1536"/>
        <item m="1" x="507"/>
        <item m="1" x="438"/>
        <item m="1" x="2086"/>
        <item m="1" x="2017"/>
        <item m="1" x="755"/>
        <item m="1" x="199"/>
        <item m="1" x="1592"/>
        <item m="1" x="981"/>
        <item m="1" x="2310"/>
        <item m="1" x="809"/>
        <item m="1" x="3038"/>
        <item m="1" x="2815"/>
        <item m="1" x="729"/>
        <item m="1" x="389"/>
        <item m="1" x="515"/>
        <item m="1" x="1737"/>
        <item m="1" x="1028"/>
        <item m="1" x="1483"/>
        <item m="1" x="1430"/>
        <item m="1" x="2498"/>
        <item m="1" x="1374"/>
        <item m="1" x="2894"/>
        <item m="1" x="1823"/>
        <item m="1" x="2261"/>
        <item m="1" x="1353"/>
        <item m="1" x="1193"/>
        <item m="1" x="375"/>
        <item m="1" x="1675"/>
        <item m="1" x="1964"/>
        <item m="1" x="342"/>
        <item m="1" x="1476"/>
        <item m="1" x="859"/>
        <item m="1" x="2610"/>
        <item m="1" x="1469"/>
        <item m="1" x="2818"/>
        <item m="1" x="2761"/>
        <item m="1" x="2822"/>
        <item m="1" x="417"/>
        <item m="1" x="1590"/>
        <item m="1" x="1648"/>
        <item m="1" x="3079"/>
        <item m="1" x="2686"/>
        <item m="1" x="2164"/>
        <item m="1" x="1511"/>
        <item m="1" x="726"/>
        <item m="1" x="2579"/>
        <item m="1" x="2547"/>
        <item x="51"/>
        <item m="1" x="1493"/>
        <item x="52"/>
        <item m="1" x="1277"/>
        <item m="1" x="1389"/>
        <item m="1" x="1336"/>
        <item m="1" x="2810"/>
        <item x="49"/>
        <item x="50"/>
        <item m="1" x="3075"/>
        <item m="1" x="2910"/>
        <item m="1" x="3030"/>
        <item m="1" x="1842"/>
        <item m="1" x="242"/>
        <item m="1" x="1903"/>
        <item m="1" x="2862"/>
        <item m="1" x="182"/>
        <item m="1" x="1529"/>
        <item x="53"/>
        <item m="1" x="1534"/>
        <item m="1" x="3035"/>
        <item m="1" x="2355"/>
        <item m="1" x="2959"/>
        <item m="1" x="1499"/>
        <item m="1" x="1587"/>
        <item m="1" x="123"/>
        <item m="1" x="3087"/>
        <item m="1" x="437"/>
        <item m="1" x="1448"/>
        <item m="1" x="585"/>
        <item m="1" x="1108"/>
        <item m="1" x="1852"/>
        <item m="1" x="1642"/>
        <item m="1" x="1099"/>
        <item m="1" x="88"/>
        <item m="1" x="2623"/>
        <item m="1" x="1228"/>
        <item m="1" x="2392"/>
        <item m="1" x="1689"/>
        <item m="1" x="2546"/>
        <item m="1" x="2502"/>
        <item x="54"/>
        <item x="55"/>
        <item x="56"/>
        <item x="57"/>
        <item x="58"/>
        <item x="29"/>
        <item x="27"/>
        <item x="34"/>
        <item x="8"/>
        <item m="1" x="2787"/>
        <item m="1" x="3002"/>
        <item m="1" x="3127"/>
        <item m="1" x="1728"/>
        <item m="1" x="2553"/>
        <item m="1" x="1567"/>
        <item m="1" x="2985"/>
        <item m="1" x="1440"/>
        <item m="1" x="2952"/>
        <item m="1" x="1489"/>
        <item x="4"/>
        <item m="1" x="1790"/>
        <item m="1" x="129"/>
        <item m="1" x="2021"/>
        <item m="1" x="441"/>
        <item m="1" x="2903"/>
        <item m="1" x="2921"/>
        <item m="1" x="2539"/>
        <item m="1" x="1378"/>
        <item m="1" x="1956"/>
        <item m="1" x="1397"/>
        <item m="1" x="414"/>
        <item m="1" x="3082"/>
        <item m="1" x="1598"/>
        <item m="1" x="1578"/>
        <item m="1" x="141"/>
        <item m="1" x="367"/>
        <item m="1" x="3032"/>
        <item m="1" x="2940"/>
        <item m="1" x="3120"/>
        <item m="1" x="135"/>
        <item m="1" x="855"/>
        <item m="1" x="1773"/>
        <item m="1" x="1517"/>
        <item m="1" x="841"/>
        <item m="1" x="1995"/>
        <item m="1" x="1522"/>
        <item m="1" x="3024"/>
        <item m="1" x="1471"/>
        <item m="1" x="980"/>
        <item m="1" x="1593"/>
        <item m="1" x="3039"/>
        <item m="1" x="3112"/>
        <item m="1" x="3063"/>
        <item m="1" x="2464"/>
        <item m="1" x="1637"/>
        <item m="1" x="2535"/>
        <item m="1" x="2692"/>
        <item m="1" x="2675"/>
        <item m="1" x="1487"/>
        <item m="1" x="3134"/>
        <item m="1" x="1650"/>
        <item m="1" x="3069"/>
        <item m="1" x="3018"/>
        <item m="1" x="3013"/>
        <item m="1" x="1741"/>
        <item m="1" x="2272"/>
        <item m="1" x="1670"/>
        <item m="1" x="1998"/>
        <item m="1" x="1107"/>
        <item m="1" x="2945"/>
        <item m="1" x="1315"/>
        <item m="1" x="2978"/>
        <item m="1" x="1631"/>
        <item m="1" x="1682"/>
        <item m="1" x="83"/>
        <item m="1" x="2991"/>
        <item m="1" x="1568"/>
        <item m="1" x="2576"/>
        <item m="1" x="2845"/>
        <item m="1" x="2939"/>
        <item m="1" x="1423"/>
        <item x="33"/>
        <item m="1" x="156"/>
        <item m="1" x="2764"/>
        <item m="1" x="1071"/>
        <item m="1" x="303"/>
        <item m="1" x="1838"/>
        <item m="1" x="176"/>
        <item m="1" x="237"/>
        <item m="1" x="1895"/>
        <item m="1" x="550"/>
        <item m="1" x="1400"/>
        <item m="1" x="2093"/>
        <item m="1" x="480"/>
        <item m="1" x="132"/>
        <item m="1" x="74"/>
        <item m="1" x="852"/>
        <item m="1" x="2268"/>
        <item m="1" x="2898"/>
        <item m="1" x="2221"/>
        <item m="1" x="1431"/>
        <item m="1" x="3052"/>
        <item m="1" x="421"/>
        <item m="1" x="96"/>
        <item m="1" x="1673"/>
        <item m="1" x="2825"/>
        <item m="1" x="3107"/>
        <item m="1" x="2586"/>
        <item m="1" x="186"/>
        <item m="1" x="2051"/>
        <item m="1" x="1117"/>
        <item m="1" x="2058"/>
        <item m="1" x="1625"/>
        <item m="1" x="3105"/>
        <item m="1" x="1564"/>
        <item m="1" x="3060"/>
        <item m="1" x="2961"/>
        <item m="1" x="2665"/>
        <item m="1" x="1016"/>
        <item m="1" x="1057"/>
        <item m="1" x="499"/>
        <item m="1" x="1023"/>
        <item m="1" x="944"/>
        <item m="1" x="473"/>
        <item m="1" x="1465"/>
        <item m="1" x="220"/>
        <item m="1" x="217"/>
        <item m="1" x="338"/>
        <item m="1" x="2977"/>
        <item m="1" x="1734"/>
        <item m="1" x="2467"/>
        <item m="1" x="947"/>
        <item m="1" x="275"/>
        <item m="1" x="1876"/>
        <item m="1" x="2680"/>
        <item m="1" x="2982"/>
        <item m="1" x="2867"/>
        <item m="1" x="1793"/>
        <item m="1" x="1786"/>
        <item m="1" x="985"/>
        <item m="1" x="349"/>
        <item m="1" x="1936"/>
        <item m="1" x="2625"/>
        <item m="1" x="2584"/>
        <item m="1" x="1078"/>
        <item m="1" x="117"/>
        <item m="1" x="79"/>
        <item m="1" x="1540"/>
        <item m="1" x="484"/>
        <item m="1" x="2750"/>
        <item m="1" x="2992"/>
        <item m="1" x="1485"/>
        <item m="1" x="3142"/>
        <item m="1" x="2503"/>
        <item m="1" x="1234"/>
        <item m="1" x="2963"/>
        <item m="1" x="2702"/>
        <item m="1" x="1677"/>
        <item m="1" x="348"/>
        <item m="1" x="2538"/>
        <item m="1" x="1990"/>
        <item m="1" x="1822"/>
        <item m="1" x="159"/>
        <item m="1" x="1758"/>
        <item m="1" x="2053"/>
        <item m="1" x="345"/>
        <item m="1" x="1755"/>
        <item m="1" x="1696"/>
        <item m="1" x="94"/>
        <item m="1" x="1562"/>
        <item m="1" x="2352"/>
        <item m="1" x="906"/>
        <item m="1" x="1869"/>
        <item m="1" x="1163"/>
        <item m="1" x="2664"/>
        <item m="1" x="209"/>
        <item m="1" x="942"/>
        <item m="1" x="403"/>
        <item m="1" x="3108"/>
        <item m="1" x="663"/>
        <item m="1" x="2798"/>
        <item m="1" x="2699"/>
        <item m="1" x="1930"/>
        <item m="1" x="2046"/>
        <item m="1" x="1441"/>
        <item m="1" x="2949"/>
        <item m="1" x="2915"/>
        <item m="1" x="2766"/>
        <item m="1" x="614"/>
        <item m="1" x="2617"/>
        <item m="1" x="1113"/>
        <item m="1" x="2060"/>
        <item m="1" x="3043"/>
        <item m="1" x="2995"/>
        <item m="1" x="2770"/>
        <item m="1" x="1436"/>
        <item m="1" x="2848"/>
        <item m="1" x="2327"/>
        <item m="1" x="2493"/>
        <item m="1" x="493"/>
        <item m="1" x="1492"/>
        <item m="1" x="2622"/>
        <item m="1" x="1067"/>
        <item m="1" x="676"/>
        <item m="1" x="977"/>
        <item m="1" x="2733"/>
        <item m="1" x="2580"/>
        <item m="1" x="1490"/>
        <item m="1" x="538"/>
        <item m="1" x="1360"/>
        <item m="1" x="1571"/>
        <item m="1" x="2799"/>
        <item m="1" x="1262"/>
        <item m="1" x="184"/>
        <item x="61"/>
        <item m="1" x="2640"/>
        <item m="1" x="3126"/>
        <item m="1" x="1641"/>
        <item m="1" x="1785"/>
        <item m="1" x="1729"/>
        <item m="1" x="871"/>
        <item m="1" x="3033"/>
        <item m="1" x="287"/>
        <item m="1" x="2495"/>
        <item m="1" x="2783"/>
        <item m="1" x="3015"/>
        <item m="1" x="2620"/>
        <item m="1" x="2000"/>
        <item m="1" x="715"/>
        <item m="1" x="1792"/>
        <item m="1" x="1237"/>
        <item m="1" x="470"/>
        <item m="1" x="249"/>
        <item m="1" x="1849"/>
        <item m="1" x="192"/>
        <item m="1" x="1798"/>
        <item m="1" x="134"/>
        <item m="1" x="1736"/>
        <item m="1" x="451"/>
        <item m="1" x="2029"/>
        <item m="1" x="376"/>
        <item m="1" x="313"/>
        <item m="1" x="1904"/>
        <item m="1" x="243"/>
        <item m="1" x="1843"/>
        <item m="1" x="183"/>
        <item m="1" x="1791"/>
        <item m="1" x="511"/>
        <item m="1" x="2089"/>
        <item m="1" x="442"/>
        <item m="1" x="2022"/>
        <item m="1" x="368"/>
        <item m="1" x="1957"/>
        <item m="1" x="304"/>
        <item m="1" x="1896"/>
        <item m="1" x="238"/>
        <item m="1" x="1839"/>
        <item m="1" x="580"/>
        <item m="1" x="2141"/>
        <item m="1" x="504"/>
        <item m="1" x="2083"/>
        <item m="1" x="433"/>
        <item m="1" x="2660"/>
        <item m="1" x="1817"/>
        <item m="1" x="2112"/>
        <item m="1" x="1914"/>
        <item m="1" x="667"/>
        <item m="1" x="1243"/>
        <item m="1" x="326"/>
        <item m="1" x="1018"/>
        <item m="1" x="2988"/>
        <item m="1" x="1482"/>
        <item m="1" x="2944"/>
        <item m="1" x="1428"/>
        <item m="1" x="386"/>
        <item m="1" x="2040"/>
        <item m="1" x="2778"/>
        <item m="1" x="174"/>
        <item m="1" x="2297"/>
        <item m="1" x="2353"/>
        <item m="1" x="1976"/>
        <item m="1" x="1968"/>
        <item m="1" x="2395"/>
        <item m="1" x="555"/>
        <item m="1" x="2651"/>
        <item m="1" x="1780"/>
        <item m="1" x="1985"/>
        <item m="1" x="336"/>
        <item m="1" x="1923"/>
        <item m="1" x="262"/>
        <item m="1" x="1862"/>
        <item m="1" x="2163"/>
        <item m="1" x="2343"/>
        <item m="1" x="523"/>
        <item m="1" x="603"/>
        <item m="1" x="2158"/>
        <item m="1" x="2100"/>
        <item m="1" x="2007"/>
        <item m="1" x="116"/>
        <item m="1" x="2215"/>
        <item m="1" x="545"/>
        <item m="1" x="2305"/>
        <item m="1" x="2049"/>
        <item m="1" x="462"/>
        <item m="1" x="2111"/>
        <item m="1" x="2250"/>
        <item m="1" x="2893"/>
        <item m="1" x="1313"/>
        <item m="1" x="1857"/>
        <item m="1" x="3072"/>
        <item m="1" x="1882"/>
        <item m="1" x="530"/>
        <item m="1" x="396"/>
        <item m="1" x="2397"/>
        <item m="1" x="713"/>
        <item m="1" x="1967"/>
        <item m="1" x="378"/>
        <item m="1" x="2031"/>
        <item m="1" x="2843"/>
        <item m="1" x="1373"/>
        <item m="1" x="2542"/>
        <item m="1" x="983"/>
        <item m="1" x="1021"/>
        <item m="1" x="2581"/>
        <item m="1" x="2731"/>
        <item m="1" x="1201"/>
        <item m="1" x="2697"/>
        <item m="1" x="1162"/>
        <item m="1" x="2663"/>
        <item m="1" x="1073"/>
        <item m="1" x="1787"/>
        <item m="1" x="127"/>
        <item m="1" x="2696"/>
        <item m="1" x="1161"/>
        <item m="1" x="468"/>
        <item m="1" x="2070"/>
        <item m="1" x="2491"/>
        <item m="1" x="315"/>
        <item m="1" x="272"/>
        <item m="1" x="459"/>
        <item m="1" x="1344"/>
        <item m="1" x="2919"/>
        <item m="1" x="1110"/>
        <item m="1" x="2256"/>
        <item m="1" x="1584"/>
        <item m="1" x="2966"/>
        <item m="1" x="2037"/>
        <item m="1" x="1240"/>
        <item m="1" x="453"/>
        <item m="1" x="658"/>
        <item m="1" x="1424"/>
        <item m="1" x="556"/>
        <item m="1" x="2635"/>
        <item m="1" x="2357"/>
        <item m="1" x="2059"/>
        <item m="1" x="2616"/>
        <item m="1" x="893"/>
        <item m="1" x="1077"/>
        <item m="1" x="2953"/>
        <item m="1" x="3073"/>
        <item m="1" x="1585"/>
        <item m="1" x="3028"/>
        <item m="1" x="2821"/>
        <item m="1" x="245"/>
        <item m="1" x="188"/>
        <item m="1" x="685"/>
        <item m="1" x="1910"/>
        <item m="1" x="776"/>
        <item m="1" x="1845"/>
        <item m="1" x="308"/>
        <item m="1" x="3144"/>
        <item m="1" x="2583"/>
        <item m="1" x="1394"/>
        <item m="1" x="2602"/>
        <item m="1" x="2202"/>
        <item m="1" x="66"/>
        <item m="1" x="2662"/>
        <item m="1" x="187"/>
        <item m="1" x="1421"/>
        <item m="1" x="1628"/>
        <item m="1" x="1434"/>
        <item m="1" x="616"/>
        <item m="1" x="1560"/>
        <item m="1" x="2391"/>
        <item m="1" x="2937"/>
        <item m="1" x="583"/>
        <item m="1" x="2968"/>
        <item m="1" x="2172"/>
        <item m="1" x="1200"/>
        <item m="1" x="666"/>
        <item m="1" x="373"/>
        <item m="1" x="696"/>
        <item m="1" x="2763"/>
        <item m="1" x="2887"/>
        <item m="1" x="796"/>
        <item m="1" x="2156"/>
        <item m="1" x="1368"/>
        <item m="1" x="1160"/>
        <item m="1" x="1563"/>
        <item m="1" x="2432"/>
        <item m="1" x="2047"/>
        <item m="1" x="393"/>
        <item m="1" x="1982"/>
        <item m="1" x="1463"/>
        <item m="1" x="520"/>
        <item m="1" x="2098"/>
        <item m="1" x="356"/>
        <item m="1" x="1961"/>
        <item m="1" x="258"/>
        <item m="1" x="1920"/>
        <item m="1" x="2658"/>
        <item m="1" x="2393"/>
        <item m="1" x="450"/>
        <item m="1" x="374"/>
        <item m="1" x="2463"/>
        <item m="1" x="167"/>
        <item m="1" x="1339"/>
        <item m="1" x="2206"/>
        <item m="1" x="592"/>
        <item m="1" x="2150"/>
        <item m="1" x="513"/>
        <item m="1" x="2091"/>
        <item m="1" x="444"/>
        <item m="1" x="2024"/>
        <item m="1" x="759"/>
        <item m="1" x="706"/>
        <item m="1" x="506"/>
        <item m="1" x="2085"/>
        <item m="1" x="2255"/>
        <item m="1" x="754"/>
        <item m="1" x="910"/>
        <item m="1" x="1660"/>
        <item m="1" x="2440"/>
        <item m="1" x="3092"/>
        <item m="1" x="868"/>
        <item m="1" x="1608"/>
        <item m="1" x="2403"/>
        <item m="1" x="2218"/>
        <item m="1" x="2233"/>
        <item m="1" x="660"/>
        <item m="1" x="678"/>
        <item m="1" x="2148"/>
        <item m="1" x="590"/>
        <item m="1" x="109"/>
        <item m="1" x="953"/>
        <item m="1" x="3006"/>
        <item m="1" x="778"/>
        <item m="1" x="1502"/>
        <item m="1" x="2315"/>
        <item m="1" x="2962"/>
        <item m="1" x="731"/>
        <item m="1" x="1451"/>
        <item m="1" x="2406"/>
        <item m="1" x="3051"/>
        <item m="1" x="509"/>
        <item m="1" x="659"/>
        <item m="1" x="2729"/>
        <item m="1" x="1973"/>
        <item m="1" x="2892"/>
        <item m="1" x="2376"/>
        <item m="1" x="510"/>
        <item m="1" x="712"/>
        <item m="1" x="2192"/>
        <item m="1" x="773"/>
        <item m="1" x="1561"/>
        <item m="1" x="2614"/>
        <item m="1" x="2066"/>
        <item m="1" x="1357"/>
        <item m="1" x="2020"/>
        <item m="1" x="1942"/>
        <item m="1" x="2313"/>
        <item m="1" x="2377"/>
        <item m="1" x="1247"/>
        <item m="1" x="2296"/>
        <item m="1" x="1203"/>
        <item m="1" x="1687"/>
        <item m="1" x="1574"/>
        <item m="1" x="3065"/>
        <item m="1" x="1576"/>
        <item m="1" x="758"/>
        <item m="1" x="256"/>
        <item m="1" x="1635"/>
        <item m="1" x="3067"/>
        <item m="1" x="3118"/>
        <item m="1" x="291"/>
        <item m="1" x="1199"/>
        <item m="1" x="2311"/>
        <item m="1" x="62"/>
        <item m="1" x="679"/>
        <item m="1" x="1291"/>
        <item m="1" x="2776"/>
        <item m="1" x="972"/>
        <item m="1" x="935"/>
        <item m="1" x="978"/>
        <item m="1" x="320"/>
        <item m="1" x="1747"/>
        <item m="1" x="86"/>
        <item m="1" x="2122"/>
        <item m="1" x="2182"/>
        <item m="1" x="2468"/>
        <item m="1" x="945"/>
        <item m="1" x="705"/>
        <item m="1" x="767"/>
        <item m="1" x="2249"/>
        <item m="1" x="370"/>
        <item m="1" x="2800"/>
        <item m="1" x="101"/>
        <item m="1" x="2176"/>
        <item m="1" x="903"/>
        <item m="1" x="669"/>
        <item m="1" x="2779"/>
        <item m="1" x="330"/>
        <item m="1" x="624"/>
        <item m="1" x="1245"/>
        <item m="1" x="2520"/>
        <item m="1" x="2212"/>
        <item m="1" x="1435"/>
        <item m="1" x="306"/>
        <item m="1" x="2173"/>
        <item m="1" x="575"/>
        <item m="1" x="1831"/>
        <item m="1" x="1939"/>
        <item m="1" x="1898"/>
        <item m="1" x="1739"/>
        <item m="1" x="139"/>
        <item m="1" x="3110"/>
        <item m="1" x="81"/>
        <item m="1" x="1680"/>
        <item m="1" x="1629"/>
        <item m="1" x="1170"/>
        <item m="1" x="210"/>
        <item m="1" x="278"/>
        <item m="1" x="870"/>
        <item m="1" x="838"/>
        <item m="1" x="586"/>
        <item m="1" x="332"/>
        <item m="1" x="2016"/>
        <item m="1" x="1953"/>
        <item m="1" x="645"/>
        <item m="1" x="2195"/>
        <item m="1" x="572"/>
        <item m="1" x="497"/>
        <item m="1" x="427"/>
        <item m="1" x="2008"/>
        <item m="1" x="610"/>
        <item m="1" x="2726"/>
        <item m="1" x="2560"/>
        <item m="1" x="2162"/>
        <item m="1" x="2105"/>
        <item m="1" x="3007"/>
        <item m="1" x="3078"/>
        <item m="1" x="2214"/>
        <item m="1" x="601"/>
        <item m="1" x="2144"/>
        <item m="1" x="2028"/>
        <item m="1" x="1963"/>
        <item m="1" x="2264"/>
        <item m="1" x="235"/>
        <item m="1" x="638"/>
        <item m="1" x="2185"/>
        <item m="1" x="565"/>
        <item m="1" x="2130"/>
        <item m="1" x="492"/>
        <item m="1" x="147"/>
        <item m="1" x="1812"/>
        <item m="1" x="2291"/>
        <item m="1" x="701"/>
        <item m="1" x="2244"/>
        <item m="1" x="644"/>
        <item m="1" x="205"/>
        <item m="1" x="1527"/>
        <item m="1" x="1287"/>
        <item m="1" x="440"/>
        <item m="1" x="2088"/>
        <item m="1" x="2136"/>
        <item m="1" x="571"/>
        <item m="1" x="839"/>
        <item m="1" x="3011"/>
        <item m="1" x="790"/>
        <item m="1" x="2335"/>
        <item m="1" x="746"/>
        <item m="1" x="2286"/>
        <item m="1" x="635"/>
        <item m="1" x="300"/>
        <item m="1" x="692"/>
        <item m="1" x="2237"/>
        <item m="1" x="2420"/>
        <item m="1" x="2071"/>
        <item m="1" x="785"/>
        <item m="1" x="2329"/>
        <item m="1" x="740"/>
        <item m="1" x="2283"/>
        <item m="1" x="687"/>
        <item m="1" x="833"/>
        <item m="1" x="2370"/>
        <item m="1" x="488"/>
        <item m="1" x="782"/>
        <item m="1" x="2324"/>
        <item m="1" x="737"/>
        <item m="1" x="630"/>
        <item m="1" x="686"/>
        <item m="1" x="2279"/>
        <item m="1" x="2232"/>
        <item m="1" x="541"/>
        <item m="1" x="1382"/>
        <item m="1" x="2856"/>
        <item m="1" x="1329"/>
        <item m="1" x="2803"/>
        <item m="1" x="1269"/>
        <item m="1" x="2751"/>
        <item m="1" x="1218"/>
        <item m="1" x="2709"/>
        <item m="1" x="1704"/>
        <item m="1" x="1855"/>
        <item m="1" x="195"/>
        <item m="1" x="2178"/>
        <item m="1" x="560"/>
        <item m="1" x="2126"/>
        <item m="1" x="1157"/>
        <item m="1" x="939"/>
        <item m="1" x="1803"/>
        <item m="1" x="820"/>
        <item m="1" x="1425"/>
        <item m="1" x="2140"/>
        <item m="1" x="795"/>
        <item m="1" x="502"/>
        <item m="1" x="2200"/>
        <item m="1" x="1141"/>
        <item m="1" x="857"/>
        <item m="1" x="2645"/>
        <item m="1" x="578"/>
        <item m="1" x="503"/>
        <item m="1" x="1153"/>
        <item m="1" x="2332"/>
        <item m="1" x="648"/>
        <item m="1" x="2198"/>
        <item m="1" x="2082"/>
        <item m="1" x="858"/>
        <item m="1" x="2655"/>
        <item m="1" x="649"/>
        <item m="1" x="2248"/>
        <item m="1" x="418"/>
        <item m="1" x="579"/>
        <item m="1" x="1131"/>
        <item m="1" x="1120"/>
        <item m="1" x="2199"/>
        <item m="1" x="650"/>
        <item m="1" x="2710"/>
        <item m="1" x="1174"/>
        <item m="1" x="1069"/>
        <item m="1" x="1354"/>
        <item m="1" x="752"/>
        <item m="1" x="432"/>
        <item m="1" x="2012"/>
        <item m="1" x="2290"/>
        <item m="1" x="1647"/>
        <item m="1" x="2081"/>
        <item m="1" x="2652"/>
        <item m="1" x="2358"/>
        <item m="1" x="2328"/>
        <item m="1" x="317"/>
        <item m="1" x="2837"/>
        <item m="1" x="2737"/>
        <item m="1" x="435"/>
        <item m="1" x="1254"/>
        <item m="1" x="3100"/>
        <item m="1" x="2929"/>
        <item m="1" x="2741"/>
        <item m="1" x="2591"/>
        <item m="1" x="2444"/>
        <item m="1" x="2278"/>
        <item m="1" x="2072"/>
        <item m="1" x="728"/>
        <item m="1" x="486"/>
        <item m="1" x="1102"/>
        <item m="1" x="2611"/>
        <item m="1" x="962"/>
        <item m="1" x="1623"/>
        <item m="1" x="2399"/>
        <item m="1" x="621"/>
        <item m="1" x="2695"/>
        <item m="1" x="1062"/>
        <item m="1" x="2943"/>
        <item m="1" x="3053"/>
        <item m="1" x="2014"/>
        <item m="1" x="2705"/>
        <item m="1" x="1109"/>
        <item m="1" x="2533"/>
        <item m="1" x="1013"/>
        <item m="1" x="699"/>
        <item m="1" x="2242"/>
        <item m="1" x="642"/>
        <item m="1" x="2190"/>
        <item m="1" x="1512"/>
        <item m="1" x="1112"/>
        <item m="1" x="1156"/>
        <item m="1" x="1418"/>
        <item m="1" x="2933"/>
        <item m="1" x="2883"/>
        <item m="1" x="2134"/>
        <item m="1" x="412"/>
        <item m="1" x="771"/>
        <item m="1" x="138"/>
        <item m="1" x="2573"/>
        <item m="1" x="569"/>
        <item m="1" x="495"/>
        <item m="1" x="1149"/>
        <item m="1" x="2736"/>
        <item m="1" x="1251"/>
        <item m="1" x="1301"/>
        <item m="1" x="1011"/>
        <item m="1" x="1654"/>
        <item m="1" x="823"/>
        <item m="1" x="2774"/>
        <item m="1" x="321"/>
        <item m="1" x="2528"/>
        <item m="1" x="970"/>
        <item m="1" x="1176"/>
        <item m="1" x="154"/>
        <item m="1" x="234"/>
        <item m="1" x="2725"/>
        <item m="1" x="1014"/>
        <item m="1" x="1213"/>
        <item m="1" x="1883"/>
        <item m="1" x="1192"/>
        <item m="1" x="2746"/>
        <item m="1" x="428"/>
        <item m="1" x="383"/>
        <item m="1" x="2036"/>
        <item m="1" x="1981"/>
        <item m="1" x="828"/>
        <item m="1" x="2379"/>
        <item m="1" x="2213"/>
        <item m="1" x="2688"/>
        <item m="1" x="914"/>
        <item m="1" x="2582"/>
        <item m="1" x="2606"/>
        <item m="1" x="1100"/>
        <item m="1" x="1055"/>
        <item m="1" x="2650"/>
        <item m="1" x="1429"/>
        <item m="1" x="2727"/>
        <item m="1" x="2989"/>
        <item m="1" x="1927"/>
        <item m="1" x="1988"/>
        <item m="1" x="1148"/>
        <item m="1" x="2394"/>
        <item m="1" x="1746"/>
        <item m="1" x="2628"/>
        <item m="1" x="1231"/>
        <item m="1" x="2767"/>
        <item m="1" x="1008"/>
        <item m="1" x="2569"/>
        <item m="1" x="1058"/>
        <item m="1" x="1188"/>
        <item m="1" x="2501"/>
        <item m="1" x="3057"/>
        <item m="1" x="1239"/>
        <item m="1" x="2097"/>
        <item m="1" x="2076"/>
        <item m="1" x="789"/>
        <item m="1" x="2333"/>
        <item m="1" x="745"/>
        <item m="1" x="2689"/>
        <item m="1" x="1142"/>
        <item m="1" x="1026"/>
        <item m="1" x="2646"/>
        <item m="1" x="2549"/>
        <item m="1" x="311"/>
        <item m="1" x="606"/>
        <item m="1" x="1558"/>
        <item m="1" x="1208"/>
        <item m="1" x="2615"/>
        <item m="1" x="1096"/>
        <item m="1" x="2603"/>
        <item m="1" x="1805"/>
        <item m="1" x="2930"/>
        <item m="1" x="1414"/>
        <item m="1" x="1273"/>
        <item m="1" x="2006"/>
        <item m="1" x="620"/>
        <item m="1" x="1209"/>
        <item m="1" x="822"/>
        <item m="1" x="1713"/>
        <item m="1" x="1280"/>
        <item m="1" x="2976"/>
        <item m="1" x="3068"/>
        <item m="1" x="3023"/>
        <item m="1" x="1470"/>
        <item m="1" x="1521"/>
        <item m="1" x="2641"/>
        <item m="1" x="2986"/>
        <item m="1" x="2719"/>
        <item m="1" x="960"/>
        <item m="1" x="1307"/>
        <item m="1" x="1183"/>
        <item m="1" x="1136"/>
        <item m="1" x="2905"/>
        <item m="1" x="3031"/>
        <item x="15"/>
        <item m="1" x="80"/>
        <item m="1" x="522"/>
        <item m="1" x="2157"/>
        <item m="1" x="227"/>
        <item m="1" x="1577"/>
        <item m="1" x="2683"/>
        <item m="1" x="145"/>
        <item m="1" x="2359"/>
        <item m="1" x="1369"/>
        <item m="1" x="2889"/>
        <item m="1" x="2759"/>
        <item m="1" x="483"/>
        <item m="1" x="2240"/>
        <item m="1" x="564"/>
        <item m="1" x="618"/>
        <item m="1" x="2835"/>
        <item m="1" x="221"/>
        <item m="1" x="289"/>
        <item m="1" x="1047"/>
        <item m="1" x="2437"/>
        <item m="1" x="2577"/>
        <item m="1" x="1226"/>
        <item m="1" x="2621"/>
        <item m="1" x="2881"/>
        <item m="1" x="1918"/>
        <item m="1" x="1076"/>
        <item m="1" x="1530"/>
        <item m="1" x="477"/>
        <item m="1" x="1643"/>
        <item m="1" x="2188"/>
        <item m="1" x="254"/>
        <item m="1" x="1477"/>
        <item m="1" x="197"/>
        <item m="1" x="1091"/>
        <item m="1" x="1111"/>
        <item m="1" x="2769"/>
        <item m="1" x="1074"/>
        <item m="1" x="3046"/>
        <item m="1" x="2844"/>
        <item m="1" x="1314"/>
        <item m="1" x="2793"/>
        <item m="1" x="1256"/>
        <item m="1" x="3029"/>
        <item m="1" x="1528"/>
        <item m="1" x="2984"/>
        <item m="1" x="1475"/>
        <item m="1" x="2938"/>
        <item m="1" x="1422"/>
        <item m="1" x="1742"/>
        <item m="1" x="2871"/>
        <item m="1" x="1510"/>
        <item m="1" x="1022"/>
        <item x="35"/>
        <item m="1" x="1349"/>
        <item m="1" x="3004"/>
        <item m="1" x="861"/>
        <item m="1" x="2301"/>
        <item m="1" x="149"/>
        <item m="1" x="1749"/>
        <item m="1" x="89"/>
        <item m="1" x="1690"/>
        <item m="1" x="3121"/>
        <item m="1" x="1638"/>
        <item m="1" x="3070"/>
        <item m="1" x="1579"/>
        <item m="1" x="3025"/>
        <item m="1" x="1355"/>
        <item m="1" x="1290"/>
        <item m="1" x="552"/>
        <item m="1" x="1128"/>
        <item m="1" x="3027"/>
        <item m="1" x="1902"/>
        <item m="1" x="1825"/>
        <item m="1" x="1966"/>
        <item m="1" x="2931"/>
        <item m="1" x="1416"/>
        <item m="1" x="2882"/>
        <item m="1" x="1365"/>
        <item m="1" x="2860"/>
        <item m="1" x="1698"/>
        <item m="1" x="1683"/>
        <item m="1" x="3113"/>
        <item m="1" x="2184"/>
        <item m="1" x="628"/>
        <item m="1" x="2967"/>
        <item m="1" x="2819"/>
        <item m="1" x="2366"/>
        <item m="1" x="2974"/>
        <item m="1" x="241"/>
        <item x="2"/>
        <item m="1" x="1841"/>
        <item m="1" x="1020"/>
        <item m="1" x="2400"/>
        <item m="1" x="1944"/>
        <item m="1" x="2754"/>
        <item m="1" x="1626"/>
        <item m="1" x="1802"/>
        <item m="1" x="1286"/>
        <item x="3"/>
        <item x="5"/>
        <item m="1" x="1250"/>
        <item m="1" x="1554"/>
        <item x="6"/>
        <item x="16"/>
        <item x="17"/>
        <item x="18"/>
        <item x="20"/>
        <item m="1" x="286"/>
        <item m="1" x="128"/>
        <item m="1" x="1399"/>
        <item x="21"/>
        <item m="1" x="415"/>
        <item m="1" x="280"/>
        <item m="1" x="2317"/>
        <item x="28"/>
        <item m="1" x="2273"/>
        <item m="1" x="1068"/>
        <item m="1" x="2402"/>
        <item m="1" x="181"/>
        <item x="44"/>
        <item x="7"/>
        <item x="25"/>
        <item m="1" x="941"/>
        <item m="1" x="1836"/>
        <item m="1" x="3005"/>
        <item m="1" x="777"/>
        <item x="30"/>
        <item x="31"/>
        <item m="1" x="1159"/>
        <item m="1" x="2795"/>
        <item m="1" x="2334"/>
        <item x="45"/>
        <item x="46"/>
        <item x="47"/>
        <item x="48"/>
        <item m="1" x="1951"/>
        <item m="1" x="2504"/>
        <item m="1" x="694"/>
        <item m="1" x="2128"/>
        <item m="1" x="2236"/>
        <item m="1" x="1669"/>
        <item m="1" x="3049"/>
        <item m="1" x="2239"/>
        <item m="1" x="1993"/>
        <item x="42"/>
        <item m="1" x="2386"/>
        <item m="1" x="1461"/>
        <item m="1" x="907"/>
        <item m="1" x="908"/>
        <item m="1" x="1705"/>
        <item m="1" x="1523"/>
        <item m="1" x="1674"/>
        <item m="1" x="1537"/>
        <item m="1" x="1826"/>
        <item m="1" x="105"/>
        <item m="1" x="2472"/>
        <item m="1" x="3044"/>
        <item m="1" x="2947"/>
        <item m="1" x="1217"/>
        <item m="1" x="950"/>
        <item m="1" x="802"/>
        <item m="1" x="549"/>
        <item m="1" x="2508"/>
        <item m="1" x="2115"/>
        <item m="1" x="2068"/>
        <item m="1" x="422"/>
        <item m="1" x="2360"/>
        <item m="1" x="516"/>
        <item m="1" x="991"/>
        <item m="1" x="636"/>
        <item m="1" x="609"/>
        <item m="1" x="1169"/>
        <item m="1" x="69"/>
        <item m="1" x="2064"/>
        <item m="1" x="225"/>
        <item m="1" x="1194"/>
        <item m="1" x="989"/>
        <item m="1" x="1498"/>
        <item m="1" x="173"/>
        <item m="1" x="1348"/>
        <item m="1" x="2056"/>
        <item m="1" x="1235"/>
        <item m="1" x="2473"/>
        <item m="1" x="626"/>
        <item m="1" x="359"/>
        <item m="1" x="2322"/>
        <item m="1" x="733"/>
        <item m="1" x="3122"/>
        <item m="1" x="542"/>
        <item m="1" x="2773"/>
        <item m="1" x="2183"/>
        <item m="1" x="239"/>
        <item m="1" x="2544"/>
        <item m="1" x="2381"/>
        <item m="1" x="2061"/>
        <item m="1" x="708"/>
        <item m="1" x="2308"/>
        <item m="1" x="266"/>
        <item m="1" x="1275"/>
        <item x="37"/>
        <item m="1" x="1007"/>
        <item m="1" x="582"/>
        <item m="1" x="2143"/>
        <item m="1" x="1503"/>
        <item m="1" x="2630"/>
        <item m="1" x="1546"/>
        <item m="1" x="2874"/>
        <item m="1" x="2781"/>
        <item m="1" x="1457"/>
        <item m="1" x="1661"/>
        <item m="1" x="2390"/>
        <item m="1" x="695"/>
        <item m="1" x="753"/>
        <item m="1" x="2275"/>
        <item m="1" x="2590"/>
        <item m="1" x="1686"/>
        <item m="1" x="2969"/>
        <item m="1" x="1658"/>
        <item m="1" x="2389"/>
        <item m="1" x="1617"/>
        <item m="1" x="807"/>
        <item m="1" x="1932"/>
        <item m="1" x="1000"/>
        <item m="1" x="2917"/>
        <item m="1" x="1609"/>
        <item m="1" x="398"/>
        <item m="1" x="546"/>
        <item m="1" x="1515"/>
        <item m="1" x="3138"/>
        <item m="1" x="2826"/>
        <item m="1" x="2656"/>
        <item m="1" x="299"/>
        <item m="1" x="943"/>
        <item x="59"/>
        <item m="1" x="358"/>
        <item m="1" x="1299"/>
        <item m="1" x="439"/>
        <item m="1" x="448"/>
        <item m="1" x="1866"/>
        <item m="1" x="1678"/>
        <item m="1" x="854"/>
        <item m="1" x="600"/>
        <item m="1" x="2923"/>
        <item m="1" x="2866"/>
        <item m="1" x="763"/>
        <item x="11"/>
        <item x="12"/>
        <item x="13"/>
        <item x="22"/>
        <item x="23"/>
        <item x="39"/>
        <item m="1" x="163"/>
        <item m="1" x="632"/>
        <item m="1" x="3071"/>
        <item m="1" x="1806"/>
        <item m="1" x="312"/>
        <item m="1" x="1462"/>
        <item m="1" x="2900"/>
        <item m="1" x="1438"/>
        <item m="1" x="2950"/>
        <item m="1" x="1177"/>
        <item m="1" x="2713"/>
        <item m="1" x="1867"/>
        <item m="1" x="2619"/>
        <item x="14"/>
        <item x="24"/>
        <item m="1" x="1505"/>
        <item m="1" x="1264"/>
        <item m="1" x="1466"/>
        <item m="1" x="2849"/>
        <item m="1" x="1027"/>
        <item m="1" x="1322"/>
        <item m="1" x="436"/>
        <item m="1" x="276"/>
        <item m="1" x="1260"/>
        <item m="1" x="652"/>
        <item m="1" x="407"/>
        <item m="1" x="848"/>
        <item m="1" x="1323"/>
        <item m="1" x="1263"/>
        <item x="19"/>
        <item x="26"/>
        <item x="32"/>
        <item x="41"/>
        <item x="4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6">
        <item m="1" x="264"/>
        <item m="1" x="142"/>
        <item m="1" x="656"/>
        <item m="1" x="488"/>
        <item m="1" x="645"/>
        <item m="1" x="157"/>
        <item m="1" x="158"/>
        <item m="1" x="534"/>
        <item m="1" x="585"/>
        <item m="1" x="667"/>
        <item m="1" x="808"/>
        <item m="1" x="669"/>
        <item m="1" x="831"/>
        <item m="1" x="709"/>
        <item m="1" x="247"/>
        <item m="1" x="275"/>
        <item m="1" x="273"/>
        <item m="1" x="624"/>
        <item m="1" x="627"/>
        <item m="1" x="520"/>
        <item m="1" x="350"/>
        <item m="1" x="366"/>
        <item m="1" x="122"/>
        <item m="1" x="938"/>
        <item x="0"/>
        <item m="1" x="940"/>
        <item m="1" x="297"/>
        <item x="6"/>
        <item x="5"/>
        <item m="1" x="617"/>
        <item m="1" x="582"/>
        <item m="1" x="747"/>
        <item m="1" x="336"/>
        <item m="1" x="710"/>
        <item m="1" x="513"/>
        <item x="10"/>
        <item m="1" x="538"/>
        <item m="1" x="704"/>
        <item m="1" x="362"/>
        <item m="1" x="446"/>
        <item x="12"/>
        <item x="8"/>
        <item x="9"/>
        <item m="1" x="681"/>
        <item m="1" x="296"/>
        <item m="1" x="449"/>
        <item m="1" x="476"/>
        <item x="13"/>
        <item m="1" x="722"/>
        <item m="1" x="332"/>
        <item m="1" x="626"/>
        <item m="1" x="770"/>
        <item m="1" x="213"/>
        <item x="17"/>
        <item m="1" x="567"/>
        <item m="1" x="641"/>
        <item x="20"/>
        <item x="19"/>
        <item x="18"/>
        <item m="1" x="382"/>
        <item m="1" x="261"/>
        <item m="1" x="318"/>
        <item m="1" x="293"/>
        <item m="1" x="183"/>
        <item m="1" x="772"/>
        <item m="1" x="867"/>
        <item m="1" x="545"/>
        <item m="1" x="862"/>
        <item x="33"/>
        <item x="35"/>
        <item m="1" x="559"/>
        <item m="1" x="533"/>
        <item m="1" x="135"/>
        <item x="37"/>
        <item x="38"/>
        <item x="39"/>
        <item m="1" x="487"/>
        <item m="1" x="471"/>
        <item m="1" x="431"/>
        <item m="1" x="402"/>
        <item m="1" x="877"/>
        <item m="1" x="383"/>
        <item m="1" x="705"/>
        <item x="53"/>
        <item x="52"/>
        <item m="1" x="765"/>
        <item m="1" x="314"/>
        <item x="60"/>
        <item m="1" x="654"/>
        <item m="1" x="923"/>
        <item m="1" x="125"/>
        <item m="1" x="689"/>
        <item m="1" x="408"/>
        <item m="1" x="841"/>
        <item m="1" x="650"/>
        <item m="1" x="162"/>
        <item x="73"/>
        <item x="75"/>
        <item x="74"/>
        <item x="76"/>
        <item m="1" x="795"/>
        <item m="1" x="331"/>
        <item x="78"/>
        <item x="79"/>
        <item m="1" x="504"/>
        <item x="80"/>
        <item x="82"/>
        <item m="1" x="759"/>
        <item m="1" x="524"/>
        <item m="1" x="282"/>
        <item x="92"/>
        <item x="93"/>
        <item x="94"/>
        <item x="96"/>
        <item x="95"/>
        <item x="97"/>
        <item m="1" x="458"/>
        <item m="1" x="885"/>
        <item x="98"/>
        <item m="1" x="299"/>
        <item m="1" x="919"/>
        <item x="99"/>
        <item x="100"/>
        <item x="103"/>
        <item m="1" x="606"/>
        <item m="1" x="639"/>
        <item m="1" x="672"/>
        <item x="108"/>
        <item x="109"/>
        <item x="110"/>
        <item x="111"/>
        <item x="112"/>
        <item x="113"/>
        <item x="114"/>
        <item x="115"/>
        <item x="116"/>
        <item x="117"/>
        <item x="120"/>
        <item m="1" x="922"/>
        <item m="1" x="613"/>
        <item m="1" x="783"/>
        <item m="1" x="129"/>
        <item m="1" x="291"/>
        <item m="1" x="748"/>
        <item m="1" x="849"/>
        <item m="1" x="569"/>
        <item m="1" x="189"/>
        <item m="1" x="803"/>
        <item m="1" x="580"/>
        <item m="1" x="285"/>
        <item m="1" x="936"/>
        <item m="1" x="514"/>
        <item m="1" x="195"/>
        <item m="1" x="433"/>
        <item m="1" x="720"/>
        <item m="1" x="596"/>
        <item m="1" x="879"/>
        <item x="32"/>
        <item m="1" x="143"/>
        <item m="1" x="646"/>
        <item m="1" x="746"/>
        <item m="1" x="224"/>
        <item m="1" x="201"/>
        <item m="1" x="931"/>
        <item m="1" x="253"/>
        <item m="1" x="699"/>
        <item m="1" x="642"/>
        <item m="1" x="227"/>
        <item m="1" x="644"/>
        <item m="1" x="921"/>
        <item m="1" x="741"/>
        <item m="1" x="539"/>
        <item m="1" x="360"/>
        <item m="1" x="693"/>
        <item m="1" x="713"/>
        <item m="1" x="643"/>
        <item m="1" x="492"/>
        <item m="1" x="630"/>
        <item m="1" x="556"/>
        <item m="1" x="250"/>
        <item x="51"/>
        <item m="1" x="130"/>
        <item m="1" x="126"/>
        <item m="1" x="204"/>
        <item m="1" x="294"/>
        <item m="1" x="234"/>
        <item m="1" x="249"/>
        <item m="1" x="564"/>
        <item m="1" x="785"/>
        <item x="65"/>
        <item m="1" x="210"/>
        <item m="1" x="677"/>
        <item m="1" x="900"/>
        <item m="1" x="623"/>
        <item m="1" x="218"/>
        <item m="1" x="659"/>
        <item m="1" x="875"/>
        <item m="1" x="888"/>
        <item m="1" x="912"/>
        <item m="1" x="729"/>
        <item m="1" x="719"/>
        <item x="81"/>
        <item m="1" x="146"/>
        <item x="83"/>
        <item m="1" x="680"/>
        <item m="1" x="124"/>
        <item m="1" x="939"/>
        <item m="1" x="716"/>
        <item m="1" x="791"/>
        <item m="1" x="566"/>
        <item m="1" x="660"/>
        <item m="1" x="806"/>
        <item m="1" x="853"/>
        <item m="1" x="316"/>
        <item m="1" x="848"/>
        <item m="1" x="289"/>
        <item m="1" x="187"/>
        <item m="1" x="484"/>
        <item m="1" x="351"/>
        <item m="1" x="323"/>
        <item m="1" x="367"/>
        <item m="1" x="825"/>
        <item m="1" x="324"/>
        <item m="1" x="386"/>
        <item m="1" x="494"/>
        <item m="1" x="557"/>
        <item m="1" x="398"/>
        <item m="1" x="175"/>
        <item m="1" x="244"/>
        <item m="1" x="918"/>
        <item m="1" x="638"/>
        <item m="1" x="123"/>
        <item m="1" x="216"/>
        <item m="1" x="391"/>
        <item m="1" x="742"/>
        <item m="1" x="692"/>
        <item m="1" x="378"/>
        <item m="1" x="543"/>
        <item m="1" x="491"/>
        <item m="1" x="649"/>
        <item m="1" x="525"/>
        <item m="1" x="460"/>
        <item m="1" x="392"/>
        <item m="1" x="743"/>
        <item m="1" x="755"/>
        <item m="1" x="687"/>
        <item m="1" x="911"/>
        <item m="1" x="925"/>
        <item m="1" x="883"/>
        <item m="1" x="822"/>
        <item m="1" x="815"/>
        <item m="1" x="621"/>
        <item m="1" x="363"/>
        <item m="1" x="348"/>
        <item m="1" x="653"/>
        <item m="1" x="794"/>
        <item m="1" x="786"/>
        <item m="1" x="836"/>
        <item m="1" x="220"/>
        <item m="1" x="313"/>
        <item m="1" x="376"/>
        <item m="1" x="588"/>
        <item m="1" x="546"/>
        <item m="1" x="784"/>
        <item m="1" x="295"/>
        <item m="1" x="664"/>
        <item m="1" x="369"/>
        <item m="1" x="236"/>
        <item m="1" x="739"/>
        <item m="1" x="455"/>
        <item m="1" x="916"/>
        <item m="1" x="924"/>
        <item m="1" x="147"/>
        <item m="1" x="334"/>
        <item m="1" x="798"/>
        <item m="1" x="752"/>
        <item m="1" x="327"/>
        <item x="14"/>
        <item m="1" x="490"/>
        <item m="1" x="872"/>
        <item m="1" x="207"/>
        <item m="1" x="281"/>
        <item m="1" x="164"/>
        <item x="46"/>
        <item m="1" x="226"/>
        <item m="1" x="897"/>
        <item m="1" x="485"/>
        <item m="1" x="935"/>
        <item m="1" x="237"/>
        <item m="1" x="519"/>
        <item m="1" x="145"/>
        <item m="1" x="242"/>
        <item m="1" x="647"/>
        <item m="1" x="328"/>
        <item m="1" x="578"/>
        <item m="1" x="179"/>
        <item m="1" x="335"/>
        <item m="1" x="302"/>
        <item m="1" x="637"/>
        <item m="1" x="403"/>
        <item m="1" x="396"/>
        <item m="1" x="418"/>
        <item m="1" x="943"/>
        <item m="1" x="341"/>
        <item m="1" x="801"/>
        <item m="1" x="429"/>
        <item m="1" x="892"/>
        <item x="4"/>
        <item m="1" x="153"/>
        <item m="1" x="165"/>
        <item m="1" x="228"/>
        <item m="1" x="277"/>
        <item m="1" x="171"/>
        <item m="1" x="377"/>
        <item m="1" x="438"/>
        <item m="1" x="827"/>
        <item m="1" x="866"/>
        <item m="1" x="814"/>
        <item m="1" x="423"/>
        <item m="1" x="298"/>
        <item m="1" x="243"/>
        <item m="1" x="516"/>
        <item m="1" x="518"/>
        <item m="1" x="712"/>
        <item m="1" x="723"/>
        <item x="101"/>
        <item m="1" x="388"/>
        <item m="1" x="893"/>
        <item m="1" x="754"/>
        <item m="1" x="865"/>
        <item m="1" x="371"/>
        <item m="1" x="910"/>
        <item m="1" x="435"/>
        <item m="1" x="260"/>
        <item m="1" x="416"/>
        <item m="1" x="913"/>
        <item m="1" x="447"/>
        <item m="1" x="768"/>
        <item m="1" x="607"/>
        <item m="1" x="441"/>
        <item m="1" x="622"/>
        <item m="1" x="805"/>
        <item m="1" x="634"/>
        <item m="1" x="666"/>
        <item m="1" x="509"/>
        <item m="1" x="400"/>
        <item m="1" x="270"/>
        <item m="1" x="830"/>
        <item m="1" x="333"/>
        <item m="1" x="793"/>
        <item m="1" x="337"/>
        <item m="1" x="405"/>
        <item m="1" x="932"/>
        <item m="1" x="154"/>
        <item m="1" x="573"/>
        <item m="1" x="838"/>
        <item m="1" x="561"/>
        <item m="1" x="301"/>
        <item m="1" x="855"/>
        <item x="40"/>
        <item m="1" x="941"/>
        <item m="1" x="603"/>
        <item m="1" x="325"/>
        <item m="1" x="633"/>
        <item m="1" x="835"/>
        <item m="1" x="188"/>
        <item m="1" x="134"/>
        <item m="1" x="671"/>
        <item m="1" x="206"/>
        <item m="1" x="436"/>
        <item m="1" x="361"/>
        <item m="1" x="352"/>
        <item m="1" x="257"/>
        <item m="1" x="694"/>
        <item m="1" x="231"/>
        <item m="1" x="266"/>
        <item m="1" x="292"/>
        <item m="1" x="737"/>
        <item m="1" x="620"/>
        <item m="1" x="760"/>
        <item m="1" x="895"/>
        <item x="70"/>
        <item m="1" x="290"/>
        <item x="77"/>
        <item m="1" x="174"/>
        <item m="1" x="501"/>
        <item m="1" x="498"/>
        <item m="1" x="184"/>
        <item m="1" x="945"/>
        <item m="1" x="826"/>
        <item x="104"/>
        <item x="105"/>
        <item x="106"/>
        <item x="107"/>
        <item m="1" x="782"/>
        <item m="1" x="256"/>
        <item m="1" x="155"/>
        <item m="1" x="832"/>
        <item m="1" x="474"/>
        <item m="1" x="168"/>
        <item m="1" x="280"/>
        <item m="1" x="833"/>
        <item m="1" x="131"/>
        <item m="1" x="695"/>
        <item m="1" x="846"/>
        <item m="1" x="572"/>
        <item m="1" x="463"/>
        <item m="1" x="734"/>
        <item m="1" x="661"/>
        <item m="1" x="415"/>
        <item m="1" x="510"/>
        <item m="1" x="702"/>
        <item m="1" x="160"/>
        <item m="1" x="211"/>
        <item m="1" x="604"/>
        <item m="1" x="182"/>
        <item m="1" x="421"/>
        <item m="1" x="159"/>
        <item m="1" x="258"/>
        <item m="1" x="163"/>
        <item m="1" x="899"/>
        <item m="1" x="870"/>
        <item m="1" x="764"/>
        <item m="1" x="636"/>
        <item m="1" x="608"/>
        <item m="1" x="225"/>
        <item m="1" x="731"/>
        <item m="1" x="389"/>
        <item m="1" x="812"/>
        <item m="1" x="864"/>
        <item m="1" x="200"/>
        <item m="1" x="479"/>
        <item m="1" x="591"/>
        <item m="1" x="905"/>
        <item m="1" x="548"/>
        <item m="1" x="598"/>
        <item m="1" x="612"/>
        <item m="1" x="700"/>
        <item m="1" x="600"/>
        <item m="1" x="203"/>
        <item m="1" x="506"/>
        <item m="1" x="673"/>
        <item m="1" x="305"/>
        <item m="1" x="288"/>
        <item m="1" x="223"/>
        <item m="1" x="818"/>
        <item m="1" x="379"/>
        <item m="1" x="807"/>
        <item m="1" x="944"/>
        <item m="1" x="503"/>
        <item m="1" x="230"/>
        <item m="1" x="357"/>
        <item x="16"/>
        <item m="1" x="779"/>
        <item m="1" x="315"/>
        <item m="1" x="217"/>
        <item m="1" x="628"/>
        <item m="1" x="434"/>
        <item m="1" x="267"/>
        <item m="1" x="775"/>
        <item m="1" x="850"/>
        <item m="1" x="466"/>
        <item m="1" x="858"/>
        <item m="1" x="676"/>
        <item m="1" x="863"/>
        <item m="1" x="738"/>
        <item m="1" x="749"/>
        <item m="1" x="751"/>
        <item m="1" x="844"/>
        <item m="1" x="724"/>
        <item m="1" x="470"/>
        <item m="1" x="871"/>
        <item m="1" x="839"/>
        <item m="1" x="609"/>
        <item m="1" x="140"/>
        <item m="1" x="753"/>
        <item m="1" x="380"/>
        <item m="1" x="860"/>
        <item m="1" x="796"/>
        <item m="1" x="882"/>
        <item m="1" x="688"/>
        <item m="1" x="354"/>
        <item m="1" x="507"/>
        <item m="1" x="440"/>
        <item m="1" x="172"/>
        <item m="1" x="221"/>
        <item m="1" x="320"/>
        <item m="1" x="652"/>
        <item m="1" x="304"/>
        <item m="1" x="229"/>
        <item m="1" x="766"/>
        <item m="1" x="414"/>
        <item m="1" x="368"/>
        <item m="1" x="326"/>
        <item m="1" x="477"/>
        <item m="1" x="370"/>
        <item m="1" x="711"/>
        <item m="1" x="287"/>
        <item m="1" x="583"/>
        <item m="1" x="555"/>
        <item m="1" x="343"/>
        <item x="34"/>
        <item m="1" x="219"/>
        <item m="1" x="248"/>
        <item m="1" x="245"/>
        <item m="1" x="868"/>
        <item m="1" x="527"/>
        <item m="1" x="144"/>
        <item m="1" x="166"/>
        <item m="1" x="190"/>
        <item m="1" x="920"/>
        <item m="1" x="728"/>
        <item m="1" x="239"/>
        <item m="1" x="515"/>
        <item m="1" x="344"/>
        <item m="1" x="205"/>
        <item m="1" x="576"/>
        <item m="1" x="329"/>
        <item m="1" x="594"/>
        <item m="1" x="419"/>
        <item m="1" x="355"/>
        <item m="1" x="587"/>
        <item m="1" x="563"/>
        <item m="1" x="286"/>
        <item m="1" x="575"/>
        <item m="1" x="735"/>
        <item m="1" x="193"/>
        <item m="1" x="311"/>
        <item m="1" x="178"/>
        <item m="1" x="199"/>
        <item m="1" x="787"/>
        <item m="1" x="442"/>
        <item m="1" x="456"/>
        <item m="1" x="820"/>
        <item m="1" x="809"/>
        <item m="1" x="322"/>
        <item m="1" x="781"/>
        <item m="1" x="837"/>
        <item m="1" x="269"/>
        <item m="1" x="804"/>
        <item m="1" x="824"/>
        <item m="1" x="512"/>
        <item m="1" x="349"/>
        <item m="1" x="395"/>
        <item m="1" x="896"/>
        <item m="1" x="459"/>
        <item m="1" x="156"/>
        <item m="1" x="602"/>
        <item m="1" x="457"/>
        <item m="1" x="283"/>
        <item m="1" x="404"/>
        <item m="1" x="691"/>
        <item m="1" x="685"/>
        <item m="1" x="425"/>
        <item m="1" x="428"/>
        <item m="1" x="411"/>
        <item m="1" x="342"/>
        <item m="1" x="263"/>
        <item m="1" x="432"/>
        <item m="1" x="632"/>
        <item m="1" x="903"/>
        <item m="1" x="542"/>
        <item m="1" x="777"/>
        <item m="1" x="821"/>
        <item m="1" x="473"/>
        <item m="1" x="740"/>
        <item m="1" x="852"/>
        <item m="1" x="502"/>
        <item m="1" x="312"/>
        <item m="1" x="816"/>
        <item m="1" x="730"/>
        <item m="1" x="774"/>
        <item m="1" x="859"/>
        <item m="1" x="560"/>
        <item m="1" x="762"/>
        <item m="1" x="861"/>
        <item m="1" x="756"/>
        <item m="1" x="683"/>
        <item m="1" x="544"/>
        <item m="1" x="780"/>
        <item m="1" x="721"/>
        <item m="1" x="196"/>
        <item m="1" x="592"/>
        <item m="1" x="663"/>
        <item m="1" x="876"/>
        <item m="1" x="152"/>
        <item m="1" x="445"/>
        <item m="1" x="708"/>
        <item x="1"/>
        <item m="1" x="128"/>
        <item m="1" x="802"/>
        <item m="1" x="278"/>
        <item m="1" x="486"/>
        <item m="1" x="483"/>
        <item m="1" x="851"/>
        <item m="1" x="531"/>
        <item m="1" x="522"/>
        <item m="1" x="878"/>
        <item m="1" x="915"/>
        <item m="1" x="813"/>
        <item m="1" x="265"/>
        <item m="1" x="262"/>
        <item x="61"/>
        <item m="1" x="665"/>
        <item m="1" x="373"/>
        <item m="1" x="424"/>
        <item m="1" x="800"/>
        <item m="1" x="353"/>
        <item m="1" x="929"/>
        <item m="1" x="177"/>
        <item m="1" x="635"/>
        <item x="11"/>
        <item m="1" x="890"/>
        <item m="1" x="590"/>
        <item m="1" x="384"/>
        <item m="1" x="472"/>
        <item m="1" x="662"/>
        <item m="1" x="422"/>
        <item m="1" x="696"/>
        <item m="1" x="173"/>
        <item m="1" x="246"/>
        <item m="1" x="139"/>
        <item m="1" x="792"/>
        <item m="1" x="430"/>
        <item m="1" x="535"/>
        <item m="1" x="240"/>
        <item m="1" x="170"/>
        <item m="1" x="616"/>
        <item m="1" x="136"/>
        <item m="1" x="856"/>
        <item x="21"/>
        <item x="28"/>
        <item x="27"/>
        <item m="1" x="394"/>
        <item m="1" x="161"/>
        <item m="1" x="690"/>
        <item m="1" x="926"/>
        <item m="1" x="345"/>
        <item m="1" x="521"/>
        <item m="1" x="619"/>
        <item m="1" x="437"/>
        <item m="1" x="907"/>
        <item m="1" x="909"/>
        <item m="1" x="465"/>
        <item x="63"/>
        <item x="62"/>
        <item m="1" x="526"/>
        <item m="1" x="718"/>
        <item m="1" x="420"/>
        <item m="1" x="443"/>
        <item m="1" x="568"/>
        <item m="1" x="268"/>
        <item m="1" x="554"/>
        <item m="1" x="648"/>
        <item m="1" x="330"/>
        <item m="1" x="141"/>
        <item m="1" x="464"/>
        <item m="1" x="444"/>
        <item m="1" x="817"/>
        <item m="1" x="577"/>
        <item m="1" x="657"/>
        <item m="1" x="562"/>
        <item m="1" x="496"/>
        <item m="1" x="744"/>
        <item m="1" x="375"/>
        <item m="1" x="629"/>
        <item m="1" x="706"/>
        <item m="1" x="481"/>
        <item m="1" x="232"/>
        <item m="1" x="668"/>
        <item m="1" x="450"/>
        <item m="1" x="891"/>
        <item m="1" x="758"/>
        <item x="88"/>
        <item m="1" x="745"/>
        <item m="1" x="733"/>
        <item m="1" x="532"/>
        <item m="1" x="222"/>
        <item m="1" x="427"/>
        <item m="1" x="251"/>
        <item m="1" x="176"/>
        <item m="1" x="934"/>
        <item m="1" x="701"/>
        <item m="1" x="387"/>
        <item m="1" x="881"/>
        <item x="66"/>
        <item m="1" x="570"/>
        <item m="1" x="214"/>
        <item m="1" x="828"/>
        <item m="1" x="678"/>
        <item m="1" x="192"/>
        <item m="1" x="869"/>
        <item m="1" x="537"/>
        <item m="1" x="874"/>
        <item m="1" x="417"/>
        <item m="1" x="359"/>
        <item m="1" x="894"/>
        <item m="1" x="565"/>
        <item m="1" x="640"/>
        <item m="1" x="306"/>
        <item m="1" x="194"/>
        <item m="1" x="707"/>
        <item m="1" x="310"/>
        <item m="1" x="873"/>
        <item m="1" x="439"/>
        <item m="1" x="307"/>
        <item m="1" x="185"/>
        <item m="1" x="180"/>
        <item m="1" x="857"/>
        <item m="1" x="937"/>
        <item m="1" x="499"/>
        <item m="1" x="679"/>
        <item m="1" x="339"/>
        <item m="1" x="272"/>
        <item m="1" x="540"/>
        <item m="1" x="697"/>
        <item m="1" x="898"/>
        <item m="1" x="599"/>
        <item m="1" x="914"/>
        <item x="119"/>
        <item x="118"/>
        <item m="1" x="682"/>
        <item m="1" x="372"/>
        <item m="1" x="426"/>
        <item x="22"/>
        <item x="23"/>
        <item x="24"/>
        <item x="25"/>
        <item x="26"/>
        <item m="1" x="401"/>
        <item m="1" x="475"/>
        <item m="1" x="453"/>
        <item m="1" x="536"/>
        <item m="1" x="732"/>
        <item m="1" x="150"/>
        <item m="1" x="451"/>
        <item m="1" x="757"/>
        <item m="1" x="574"/>
        <item x="59"/>
        <item m="1" x="252"/>
        <item m="1" x="823"/>
        <item m="1" x="550"/>
        <item m="1" x="799"/>
        <item m="1" x="819"/>
        <item m="1" x="829"/>
        <item m="1" x="930"/>
        <item m="1" x="595"/>
        <item m="1" x="364"/>
        <item m="1" x="579"/>
        <item m="1" x="842"/>
        <item m="1" x="528"/>
        <item m="1" x="480"/>
        <item m="1" x="202"/>
        <item m="1" x="675"/>
        <item m="1" x="186"/>
        <item m="1" x="750"/>
        <item x="15"/>
        <item m="1" x="169"/>
        <item m="1" x="517"/>
        <item m="1" x="505"/>
        <item m="1" x="530"/>
        <item m="1" x="321"/>
        <item m="1" x="927"/>
        <item m="1" x="407"/>
        <item m="1" x="181"/>
        <item m="1" x="615"/>
        <item m="1" x="191"/>
        <item m="1" x="393"/>
        <item m="1" x="482"/>
        <item m="1" x="493"/>
        <item m="1" x="611"/>
        <item m="1" x="399"/>
        <item m="1" x="468"/>
        <item m="1" x="381"/>
        <item m="1" x="347"/>
        <item m="1" x="614"/>
        <item m="1" x="406"/>
        <item m="1" x="771"/>
        <item m="1" x="917"/>
        <item m="1" x="589"/>
        <item m="1" x="902"/>
        <item m="1" x="889"/>
        <item m="1" x="551"/>
        <item m="1" x="655"/>
        <item m="1" x="601"/>
        <item m="1" x="478"/>
        <item m="1" x="149"/>
        <item m="1" x="810"/>
        <item m="1" x="904"/>
        <item m="1" x="553"/>
        <item m="1" x="413"/>
        <item m="1" x="908"/>
        <item m="1" x="138"/>
        <item m="1" x="843"/>
        <item m="1" x="356"/>
        <item x="2"/>
        <item x="29"/>
        <item x="30"/>
        <item m="1" x="309"/>
        <item m="1" x="508"/>
        <item m="1" x="686"/>
        <item x="41"/>
        <item x="42"/>
        <item x="43"/>
        <item x="44"/>
        <item x="45"/>
        <item x="55"/>
        <item m="1" x="338"/>
        <item m="1" x="358"/>
        <item m="1" x="452"/>
        <item m="1" x="726"/>
        <item x="64"/>
        <item x="84"/>
        <item x="85"/>
        <item m="1" x="847"/>
        <item m="1" x="209"/>
        <item x="102"/>
        <item m="1" x="198"/>
        <item m="1" x="148"/>
        <item m="1" x="461"/>
        <item m="1" x="541"/>
        <item m="1" x="121"/>
        <item m="1" x="167"/>
        <item m="1" x="887"/>
        <item m="1" x="610"/>
        <item m="1" x="773"/>
        <item m="1" x="674"/>
        <item m="1" x="586"/>
        <item m="1" x="698"/>
        <item m="1" x="942"/>
        <item m="1" x="241"/>
        <item m="1" x="884"/>
        <item m="1" x="658"/>
        <item m="1" x="276"/>
        <item m="1" x="489"/>
        <item m="1" x="346"/>
        <item m="1" x="797"/>
        <item m="1" x="454"/>
        <item m="1" x="319"/>
        <item m="1" x="593"/>
        <item m="1" x="549"/>
        <item m="1" x="906"/>
        <item m="1" x="790"/>
        <item m="1" x="717"/>
        <item m="1" x="409"/>
        <item m="1" x="255"/>
        <item m="1" x="845"/>
        <item m="1" x="215"/>
        <item m="1" x="300"/>
        <item m="1" x="284"/>
        <item m="1" x="558"/>
        <item m="1" x="279"/>
        <item m="1" x="769"/>
        <item m="1" x="374"/>
        <item m="1" x="571"/>
        <item m="1" x="684"/>
        <item m="1" x="133"/>
        <item m="1" x="495"/>
        <item m="1" x="725"/>
        <item m="1" x="235"/>
        <item m="1" x="467"/>
        <item m="1" x="761"/>
        <item m="1" x="500"/>
        <item m="1" x="776"/>
        <item m="1" x="763"/>
        <item m="1" x="778"/>
        <item m="1" x="715"/>
        <item m="1" x="410"/>
        <item m="1" x="238"/>
        <item m="1" x="412"/>
        <item m="1" x="365"/>
        <item m="1" x="584"/>
        <item m="1" x="448"/>
        <item m="1" x="132"/>
        <item m="1" x="511"/>
        <item m="1" x="385"/>
        <item m="1" x="727"/>
        <item m="1" x="469"/>
        <item m="1" x="390"/>
        <item m="1" x="703"/>
        <item x="3"/>
        <item x="31"/>
        <item m="1" x="581"/>
        <item m="1" x="303"/>
        <item m="1" x="788"/>
        <item m="1" x="789"/>
        <item m="1" x="317"/>
        <item m="1" x="928"/>
        <item m="1" x="208"/>
        <item m="1" x="254"/>
        <item m="1" x="274"/>
        <item m="1" x="137"/>
        <item m="1" x="197"/>
        <item x="7"/>
        <item m="1" x="597"/>
        <item x="54"/>
        <item m="1" x="651"/>
        <item m="1" x="552"/>
        <item m="1" x="714"/>
        <item m="1" x="605"/>
        <item x="67"/>
        <item x="68"/>
        <item m="1" x="233"/>
        <item m="1" x="886"/>
        <item m="1" x="497"/>
        <item m="1" x="271"/>
        <item m="1" x="854"/>
        <item m="1" x="933"/>
        <item m="1" x="618"/>
        <item m="1" x="151"/>
        <item m="1" x="523"/>
        <item m="1" x="631"/>
        <item x="56"/>
        <item m="1" x="462"/>
        <item m="1" x="767"/>
        <item m="1" x="834"/>
        <item m="1" x="880"/>
        <item m="1" x="840"/>
        <item m="1" x="547"/>
        <item m="1" x="397"/>
        <item m="1" x="340"/>
        <item m="1" x="811"/>
        <item m="1" x="127"/>
        <item m="1" x="212"/>
        <item m="1" x="529"/>
        <item m="1" x="736"/>
        <item m="1" x="308"/>
        <item m="1" x="625"/>
        <item m="1" x="901"/>
        <item m="1" x="670"/>
        <item m="1" x="259"/>
        <item x="36"/>
        <item x="47"/>
        <item x="48"/>
        <item x="49"/>
        <item x="50"/>
        <item x="57"/>
        <item x="58"/>
        <item x="69"/>
        <item x="71"/>
        <item x="72"/>
        <item x="86"/>
        <item x="87"/>
        <item x="89"/>
        <item x="90"/>
        <item x="9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0">
        <item x="26"/>
        <item x="17"/>
        <item x="14"/>
        <item x="13"/>
        <item x="11"/>
        <item x="33"/>
        <item m="1" x="77"/>
        <item x="32"/>
        <item x="9"/>
        <item x="7"/>
        <item x="6"/>
        <item x="5"/>
        <item x="4"/>
        <item x="3"/>
        <item x="2"/>
        <item x="0"/>
        <item x="34"/>
        <item m="1" x="47"/>
        <item m="1" x="56"/>
        <item x="23"/>
        <item x="21"/>
        <item x="20"/>
        <item x="19"/>
        <item x="31"/>
        <item m="1" x="65"/>
        <item x="18"/>
        <item x="28"/>
        <item m="1" x="52"/>
        <item x="29"/>
        <item m="1" x="50"/>
        <item x="1"/>
        <item x="15"/>
        <item m="1" x="75"/>
        <item x="25"/>
        <item m="1" x="45"/>
        <item m="1" x="42"/>
        <item m="1" x="58"/>
        <item x="22"/>
        <item m="1" x="64"/>
        <item m="1" x="71"/>
        <item m="1" x="51"/>
        <item x="24"/>
        <item m="1" x="76"/>
        <item m="1" x="37"/>
        <item m="1" x="39"/>
        <item x="12"/>
        <item m="1" x="57"/>
        <item m="1" x="49"/>
        <item m="1" x="36"/>
        <item m="1" x="66"/>
        <item m="1" x="78"/>
        <item m="1" x="54"/>
        <item m="1" x="63"/>
        <item m="1" x="74"/>
        <item m="1" x="46"/>
        <item m="1" x="70"/>
        <item m="1" x="44"/>
        <item m="1" x="40"/>
        <item m="1" x="60"/>
        <item m="1" x="72"/>
        <item m="1" x="48"/>
        <item m="1" x="73"/>
        <item x="30"/>
        <item m="1" x="68"/>
        <item x="10"/>
        <item m="1" x="79"/>
        <item x="8"/>
        <item m="1" x="69"/>
        <item m="1" x="55"/>
        <item m="1" x="35"/>
        <item m="1" x="43"/>
        <item m="1" x="41"/>
        <item m="1" x="38"/>
        <item m="1" x="61"/>
        <item x="16"/>
        <item m="1" x="62"/>
        <item m="1" x="53"/>
        <item x="27"/>
        <item m="1" x="59"/>
        <item m="1" x="6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m="1" x="45"/>
        <item x="15"/>
        <item x="13"/>
        <item x="16"/>
        <item x="9"/>
        <item x="5"/>
        <item x="10"/>
        <item x="17"/>
        <item x="11"/>
        <item m="1" x="53"/>
        <item m="1" x="57"/>
        <item m="1" x="60"/>
        <item m="1" x="20"/>
        <item m="1" x="25"/>
        <item x="8"/>
        <item m="1" x="30"/>
        <item x="7"/>
        <item m="1" x="32"/>
        <item m="1" x="34"/>
        <item m="1" x="36"/>
        <item m="1" x="39"/>
        <item m="1" x="42"/>
        <item x="1"/>
        <item x="4"/>
        <item m="1" x="50"/>
        <item x="3"/>
        <item x="14"/>
        <item m="1" x="54"/>
        <item m="1" x="56"/>
        <item x="6"/>
        <item x="2"/>
        <item x="12"/>
        <item m="1" x="38"/>
        <item m="1" x="19"/>
        <item m="1" x="41"/>
        <item m="1" x="22"/>
        <item m="1" x="44"/>
        <item m="1" x="24"/>
        <item m="1" x="47"/>
        <item m="1" x="27"/>
        <item m="1" x="49"/>
        <item m="1" x="51"/>
        <item m="1" x="28"/>
        <item m="1" x="52"/>
        <item m="1" x="29"/>
        <item m="1" x="55"/>
        <item m="1" x="31"/>
        <item m="1" x="58"/>
        <item m="1" x="33"/>
        <item m="1" x="59"/>
        <item m="1" x="35"/>
        <item m="1" x="37"/>
        <item m="1" x="18"/>
        <item m="1" x="40"/>
        <item m="1" x="21"/>
        <item m="1" x="43"/>
        <item m="1" x="23"/>
        <item m="1" x="46"/>
        <item m="1" x="26"/>
        <item m="1" x="4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09">
        <item x="2"/>
        <item x="5"/>
        <item x="1"/>
        <item x="3"/>
        <item x="0"/>
        <item x="10"/>
        <item x="4"/>
        <item x="8"/>
        <item x="9"/>
        <item x="7"/>
        <item x="33"/>
        <item x="24"/>
        <item x="17"/>
        <item x="19"/>
        <item x="25"/>
        <item m="1" x="77"/>
        <item x="23"/>
        <item x="29"/>
        <item m="1" x="53"/>
        <item x="16"/>
        <item x="12"/>
        <item x="6"/>
        <item x="30"/>
        <item x="32"/>
        <item x="20"/>
        <item m="1" x="43"/>
        <item x="37"/>
        <item x="15"/>
        <item x="34"/>
        <item m="1" x="95"/>
        <item x="26"/>
        <item x="22"/>
        <item x="27"/>
        <item x="21"/>
        <item m="1" x="91"/>
        <item m="1" x="58"/>
        <item m="1" x="70"/>
        <item x="18"/>
        <item m="1" x="45"/>
        <item m="1" x="65"/>
        <item m="1" x="57"/>
        <item m="1" x="92"/>
        <item m="1" x="82"/>
        <item m="1" x="38"/>
        <item m="1" x="89"/>
        <item m="1" x="103"/>
        <item x="35"/>
        <item x="36"/>
        <item m="1" x="54"/>
        <item m="1" x="83"/>
        <item m="1" x="48"/>
        <item m="1" x="106"/>
        <item m="1" x="46"/>
        <item m="1" x="76"/>
        <item m="1" x="71"/>
        <item x="13"/>
        <item x="11"/>
        <item m="1" x="79"/>
        <item m="1" x="73"/>
        <item x="14"/>
        <item m="1" x="63"/>
        <item m="1" x="41"/>
        <item m="1" x="100"/>
        <item m="1" x="59"/>
        <item m="1" x="98"/>
        <item m="1" x="44"/>
        <item m="1" x="39"/>
        <item m="1" x="64"/>
        <item m="1" x="90"/>
        <item x="31"/>
        <item m="1" x="81"/>
        <item m="1" x="74"/>
        <item m="1" x="107"/>
        <item m="1" x="60"/>
        <item m="1" x="80"/>
        <item m="1" x="84"/>
        <item m="1" x="67"/>
        <item m="1" x="40"/>
        <item m="1" x="49"/>
        <item m="1" x="88"/>
        <item m="1" x="66"/>
        <item m="1" x="75"/>
        <item m="1" x="68"/>
        <item m="1" x="72"/>
        <item m="1" x="42"/>
        <item m="1" x="101"/>
        <item m="1" x="86"/>
        <item m="1" x="108"/>
        <item m="1" x="51"/>
        <item m="1" x="78"/>
        <item m="1" x="96"/>
        <item m="1" x="56"/>
        <item m="1" x="69"/>
        <item m="1" x="104"/>
        <item m="1" x="50"/>
        <item m="1" x="52"/>
        <item m="1" x="99"/>
        <item m="1" x="85"/>
        <item m="1" x="62"/>
        <item m="1" x="102"/>
        <item m="1" x="97"/>
        <item m="1" x="93"/>
        <item m="1" x="47"/>
        <item m="1" x="55"/>
        <item m="1" x="94"/>
        <item m="1" x="87"/>
        <item m="1" x="105"/>
        <item x="28"/>
        <item m="1" x="61"/>
      </items>
    </pivotField>
  </pivotFields>
  <rowFields count="11">
    <field x="0"/>
    <field x="12"/>
    <field x="13"/>
    <field x="10"/>
    <field x="16"/>
    <field x="5"/>
    <field x="18"/>
    <field x="9"/>
    <field x="3"/>
    <field x="7"/>
    <field x="1"/>
  </rowFields>
  <rowItems count="147">
    <i>
      <x v="6"/>
      <x/>
      <x/>
      <x v="22"/>
      <x/>
      <x v="137"/>
      <x v="26"/>
      <x v="1"/>
      <x v="2274"/>
      <x v="2"/>
      <x v="7780"/>
    </i>
    <i t="default" r="1">
      <x/>
    </i>
    <i>
      <x v="10"/>
      <x v="2"/>
      <x/>
      <x v="21"/>
      <x/>
      <x v="130"/>
      <x v="14"/>
      <x v="1"/>
      <x v="2021"/>
      <x v="1"/>
      <x v="7995"/>
    </i>
    <i r="5">
      <x v="392"/>
      <x v="33"/>
      <x v="1"/>
      <x v="2993"/>
      <x v="1"/>
      <x v="7269"/>
    </i>
    <i t="default" r="1">
      <x v="2"/>
    </i>
    <i r="1">
      <x v="3"/>
      <x/>
      <x v="21"/>
      <x/>
      <x v="127"/>
      <x v="24"/>
      <x v="1"/>
      <x v="2026"/>
      <x v="1"/>
      <x v="7271"/>
    </i>
    <i r="5">
      <x v="128"/>
      <x v="24"/>
      <x v="1"/>
      <x v="2027"/>
      <x v="1"/>
      <x v="7272"/>
    </i>
    <i r="5">
      <x v="134"/>
      <x v="22"/>
      <x v="1"/>
      <x v="2062"/>
      <x v="1"/>
      <x v="7996"/>
    </i>
    <i t="default" r="1">
      <x v="3"/>
    </i>
    <i r="1">
      <x v="4"/>
      <x/>
      <x v="21"/>
      <x/>
      <x v="132"/>
      <x v="46"/>
      <x v="1"/>
      <x v="2060"/>
      <x v="1"/>
      <x v="7275"/>
    </i>
    <i r="5">
      <x v="133"/>
      <x v="47"/>
      <x v="1"/>
      <x v="2061"/>
      <x v="1"/>
      <x v="7276"/>
    </i>
    <i r="5">
      <x v="136"/>
      <x v="14"/>
      <x v="1"/>
      <x v="2064"/>
      <x v="1"/>
      <x v="7997"/>
    </i>
    <i t="default" r="1">
      <x v="4"/>
    </i>
    <i r="1">
      <x v="5"/>
      <x/>
      <x v="21"/>
      <x/>
      <x v="719"/>
      <x v="30"/>
      <x v="1"/>
      <x v="3145"/>
      <x v="1"/>
      <x v="7999"/>
    </i>
    <i t="default" r="1">
      <x v="5"/>
    </i>
    <i r="1">
      <x v="6"/>
      <x/>
      <x v="21"/>
      <x/>
      <x v="131"/>
      <x v="28"/>
      <x v="1"/>
      <x v="2037"/>
      <x v="1"/>
      <x v="7274"/>
    </i>
    <i r="5">
      <x v="390"/>
      <x v="14"/>
      <x v="1"/>
      <x v="2991"/>
      <x v="1"/>
      <x v="7267"/>
    </i>
    <i r="5">
      <x v="391"/>
      <x v="24"/>
      <x v="1"/>
      <x v="2992"/>
      <x v="1"/>
      <x v="7268"/>
    </i>
    <i t="default" r="1">
      <x v="6"/>
    </i>
    <i r="1">
      <x v="7"/>
      <x/>
      <x v="21"/>
      <x/>
      <x v="129"/>
      <x v="24"/>
      <x v="1"/>
      <x v="2019"/>
      <x v="1"/>
      <x v="7273"/>
    </i>
    <i r="5">
      <x v="135"/>
      <x v="32"/>
      <x v="1"/>
      <x v="2063"/>
      <x v="1"/>
      <x v="7278"/>
    </i>
    <i r="5">
      <x v="393"/>
      <x v="14"/>
      <x v="1"/>
      <x v="2994"/>
      <x v="1"/>
      <x v="7270"/>
    </i>
    <i t="default" r="1">
      <x v="7"/>
    </i>
    <i r="1">
      <x v="8"/>
      <x/>
      <x v="21"/>
      <x/>
      <x v="720"/>
      <x v="26"/>
      <x v="1"/>
      <x v="3093"/>
      <x v="1"/>
      <x v="7998"/>
    </i>
    <i t="default" r="1">
      <x v="8"/>
    </i>
    <i>
      <x v="11"/>
      <x/>
      <x/>
      <x v="16"/>
      <x/>
      <x v="123"/>
      <x v="4"/>
      <x v="1"/>
      <x/>
      <x/>
      <x v="7503"/>
    </i>
    <i t="default" r="1">
      <x/>
    </i>
    <i>
      <x v="12"/>
      <x/>
      <x/>
      <x v="5"/>
      <x/>
      <x v="118"/>
      <x v="11"/>
      <x/>
      <x/>
      <x/>
      <x v="6951"/>
    </i>
    <i r="5">
      <x v="121"/>
      <x v="19"/>
      <x/>
      <x/>
      <x/>
      <x v="7502"/>
    </i>
    <i r="5">
      <x v="122"/>
      <x v="20"/>
      <x/>
      <x/>
      <x/>
      <x v="7019"/>
    </i>
    <i r="5">
      <x v="325"/>
      <x v="10"/>
      <x/>
      <x/>
      <x/>
      <x v="7176"/>
    </i>
    <i r="5">
      <x v="816"/>
      <x v="19"/>
      <x/>
      <x/>
      <x/>
      <x v="7994"/>
    </i>
    <i r="3">
      <x v="7"/>
      <x/>
      <x v="115"/>
      <x v="12"/>
      <x/>
      <x v="2979"/>
      <x v="1"/>
      <x v="7238"/>
    </i>
    <i r="3">
      <x v="23"/>
      <x/>
      <x v="113"/>
      <x v="11"/>
      <x/>
      <x/>
      <x/>
      <x v="7326"/>
    </i>
    <i r="5">
      <x v="114"/>
      <x v="10"/>
      <x/>
      <x/>
      <x/>
      <x v="7018"/>
    </i>
    <i r="3">
      <x v="26"/>
      <x/>
      <x v="110"/>
      <x v="11"/>
      <x/>
      <x/>
      <x/>
      <x v="6854"/>
    </i>
    <i r="3">
      <x v="28"/>
      <x/>
      <x v="111"/>
      <x v="19"/>
      <x v="1"/>
      <x/>
      <x/>
      <x v="7599"/>
    </i>
    <i r="3">
      <x v="62"/>
      <x/>
      <x v="112"/>
      <x v="10"/>
      <x/>
      <x/>
      <x/>
      <x v="7771"/>
    </i>
    <i t="default" r="1">
      <x/>
    </i>
    <i>
      <x v="13"/>
      <x/>
      <x/>
      <x v="20"/>
      <x/>
      <x v="97"/>
      <x v="11"/>
      <x v="1"/>
      <x v="2065"/>
      <x v="1"/>
      <x v="7228"/>
    </i>
    <i t="default" r="1">
      <x/>
    </i>
    <i r="1">
      <x v="3"/>
      <x v="1"/>
      <x/>
      <x/>
      <x v="944"/>
      <x v="23"/>
      <x v="1"/>
      <x v="2"/>
      <x v="1"/>
      <x v="7992"/>
    </i>
    <i t="default" r="1">
      <x v="3"/>
    </i>
    <i r="1">
      <x v="5"/>
      <x/>
      <x/>
      <x/>
      <x v="673"/>
      <x v="7"/>
      <x/>
      <x v="3004"/>
      <x v="1"/>
      <x v="7990"/>
    </i>
    <i r="5">
      <x v="812"/>
      <x v="22"/>
      <x/>
      <x v="1269"/>
      <x v="1"/>
      <x v="7823"/>
    </i>
    <i r="5">
      <x v="813"/>
      <x v="22"/>
      <x/>
      <x v="3110"/>
      <x v="1"/>
      <x v="7824"/>
    </i>
    <i t="default" r="1">
      <x v="5"/>
    </i>
    <i r="1">
      <x v="6"/>
      <x/>
      <x v="19"/>
      <x/>
      <x v="103"/>
      <x v="32"/>
      <x v="1"/>
      <x v="2141"/>
      <x v="1"/>
      <x v="7399"/>
    </i>
    <i t="default" r="1">
      <x v="6"/>
    </i>
    <i r="1">
      <x v="7"/>
      <x/>
      <x/>
      <x/>
      <x v="941"/>
      <x v="69"/>
      <x v="1"/>
      <x v="743"/>
      <x v="2"/>
      <x v="7988"/>
    </i>
    <i t="default" r="1">
      <x v="7"/>
    </i>
    <i r="1">
      <x v="9"/>
      <x/>
      <x/>
      <x/>
      <x v="942"/>
      <x v="17"/>
      <x v="1"/>
      <x v="3143"/>
      <x v="1"/>
      <x v="7989"/>
    </i>
    <i t="default" r="1">
      <x v="9"/>
    </i>
    <i r="1">
      <x v="15"/>
      <x/>
      <x/>
      <x/>
      <x v="203"/>
      <x v="17"/>
      <x v="1"/>
      <x v="3059"/>
      <x v="1"/>
      <x v="7987"/>
    </i>
    <i t="default" r="1">
      <x v="15"/>
    </i>
    <i r="1">
      <x v="17"/>
      <x v="1"/>
      <x/>
      <x v="1"/>
      <x v="106"/>
      <x v="17"/>
      <x v="1"/>
      <x v="2"/>
      <x v="1"/>
      <x v="7230"/>
    </i>
    <i t="default" r="1">
      <x v="17"/>
    </i>
    <i r="1">
      <x v="23"/>
      <x/>
      <x v="22"/>
      <x/>
      <x v="381"/>
      <x v="33"/>
      <x v="1"/>
      <x v="2981"/>
      <x v="2"/>
      <x v="7251"/>
    </i>
    <i r="5">
      <x v="939"/>
      <x v="31"/>
      <x v="1"/>
      <x/>
      <x/>
      <x v="7983"/>
    </i>
    <i t="default" r="1">
      <x v="23"/>
    </i>
    <i r="1">
      <x v="24"/>
      <x/>
      <x v="37"/>
      <x/>
      <x v="102"/>
      <x v="30"/>
      <x v="1"/>
      <x v="3142"/>
      <x v="1"/>
      <x v="7985"/>
    </i>
    <i t="default" r="1">
      <x v="24"/>
    </i>
    <i r="1">
      <x v="26"/>
      <x/>
      <x v="33"/>
      <x/>
      <x v="201"/>
      <x v="107"/>
      <x v="1"/>
      <x v="2912"/>
      <x v="2"/>
      <x v="7986"/>
    </i>
    <i r="3">
      <x v="37"/>
      <x/>
      <x v="383"/>
      <x v="14"/>
      <x v="1"/>
      <x v="2987"/>
      <x v="1"/>
      <x v="7258"/>
    </i>
    <i t="default" r="1">
      <x v="26"/>
    </i>
    <i r="1">
      <x v="27"/>
      <x v="1"/>
      <x v="77"/>
      <x v="1"/>
      <x v="945"/>
      <x v="23"/>
      <x v="1"/>
      <x v="3144"/>
      <x v="1"/>
      <x v="7993"/>
    </i>
    <i t="default" r="1">
      <x v="27"/>
    </i>
    <i r="1">
      <x v="30"/>
      <x/>
      <x v="41"/>
      <x/>
      <x v="105"/>
      <x v="13"/>
      <x v="1"/>
      <x v="2067"/>
      <x v="1"/>
      <x v="7229"/>
    </i>
    <i t="default" r="1">
      <x v="30"/>
    </i>
    <i r="1">
      <x v="31"/>
      <x/>
      <x v="20"/>
      <x/>
      <x v="98"/>
      <x v="16"/>
      <x v="1"/>
      <x v="2974"/>
      <x v="1"/>
      <x v="7227"/>
    </i>
    <i r="5">
      <x v="99"/>
      <x v="16"/>
      <x v="1"/>
      <x v="2986"/>
      <x v="1"/>
      <x v="7257"/>
    </i>
    <i r="3">
      <x v="21"/>
      <x/>
      <x v="96"/>
      <x v="13"/>
      <x v="1"/>
      <x v="2066"/>
      <x v="1"/>
      <x v="7226"/>
    </i>
    <i r="3">
      <x v="22"/>
      <x/>
      <x v="940"/>
      <x v="24"/>
      <x/>
      <x v="3141"/>
      <x/>
      <x v="7984"/>
    </i>
    <i t="default" r="1">
      <x v="31"/>
    </i>
    <i r="1">
      <x v="32"/>
      <x/>
      <x/>
      <x v="1"/>
      <x v="943"/>
      <x v="17"/>
      <x v="1"/>
      <x v="2"/>
      <x v="1"/>
      <x v="7991"/>
    </i>
    <i t="default" r="1">
      <x v="32"/>
    </i>
    <i>
      <x v="14"/>
      <x/>
      <x/>
      <x v="1"/>
      <x/>
      <x v="87"/>
      <x v="3"/>
      <x/>
      <x v="2970"/>
      <x v="1"/>
      <x v="7221"/>
    </i>
    <i r="5">
      <x v="602"/>
      <x v="1"/>
      <x/>
      <x/>
      <x/>
      <x v="7981"/>
    </i>
    <i r="3">
      <x v="2"/>
      <x/>
      <x v="83"/>
      <x/>
      <x/>
      <x/>
      <x/>
      <x v="7759"/>
    </i>
    <i r="5">
      <x v="84"/>
      <x/>
      <x v="1"/>
      <x/>
      <x/>
      <x v="7622"/>
    </i>
    <i r="5">
      <x v="180"/>
      <x/>
      <x/>
      <x v="2966"/>
      <x v="1"/>
      <x v="7218"/>
    </i>
    <i r="5">
      <x v="895"/>
      <x v="2"/>
      <x/>
      <x/>
      <x/>
      <x v="7914"/>
    </i>
    <i r="3">
      <x v="3"/>
      <x/>
      <x v="935"/>
      <x v="7"/>
      <x/>
      <x v="3140"/>
      <x v="1"/>
      <x v="7978"/>
    </i>
    <i r="3">
      <x v="4"/>
      <x/>
      <x v="73"/>
      <x v="3"/>
      <x/>
      <x v="2963"/>
      <x v="1"/>
      <x v="7205"/>
    </i>
    <i r="5">
      <x v="74"/>
      <x v="3"/>
      <x/>
      <x v="2964"/>
      <x v="1"/>
      <x v="7206"/>
    </i>
    <i r="5">
      <x v="75"/>
      <x v="3"/>
      <x/>
      <x v="2965"/>
      <x v="1"/>
      <x v="7912"/>
    </i>
    <i r="3">
      <x v="8"/>
      <x/>
      <x v="69"/>
      <x v="6"/>
      <x/>
      <x v="2859"/>
      <x/>
      <x v="7752"/>
    </i>
    <i r="3">
      <x v="9"/>
      <x/>
      <x v="68"/>
      <x v="2"/>
      <x/>
      <x/>
      <x/>
      <x v="7911"/>
    </i>
    <i r="3">
      <x v="10"/>
      <x/>
      <x v="157"/>
      <x v="4"/>
      <x/>
      <x v="3124"/>
      <x v="1"/>
      <x v="7896"/>
    </i>
    <i r="5">
      <x v="630"/>
      <x v="5"/>
      <x/>
      <x/>
      <x/>
      <x v="7570"/>
    </i>
    <i r="5">
      <x v="631"/>
      <x v="4"/>
      <x/>
      <x v="3106"/>
      <x v="1"/>
      <x v="7798"/>
    </i>
    <i r="5">
      <x v="632"/>
      <x v="4"/>
      <x/>
      <x v="3105"/>
      <x v="1"/>
      <x v="7797"/>
    </i>
    <i r="5">
      <x v="724"/>
      <x v="2"/>
      <x/>
      <x/>
      <x/>
      <x v="7717"/>
    </i>
    <i r="5">
      <x v="725"/>
      <x v="1"/>
      <x/>
      <x/>
      <x/>
      <x v="7718"/>
    </i>
    <i r="5">
      <x v="726"/>
      <x v="1"/>
      <x/>
      <x/>
      <x/>
      <x v="7719"/>
    </i>
    <i r="5">
      <x v="727"/>
      <x v="4"/>
      <x/>
      <x v="861"/>
      <x v="1"/>
      <x v="7720"/>
    </i>
    <i r="5">
      <x v="728"/>
      <x v="4"/>
      <x/>
      <x v="879"/>
      <x v="1"/>
      <x v="7721"/>
    </i>
    <i r="5">
      <x v="796"/>
      <x/>
      <x/>
      <x/>
      <x/>
      <x v="7799"/>
    </i>
    <i r="5">
      <x v="797"/>
      <x v="2"/>
      <x/>
      <x v="3107"/>
      <x v="1"/>
      <x v="7800"/>
    </i>
    <i r="5">
      <x v="881"/>
      <x v="3"/>
      <x/>
      <x/>
      <x/>
      <x v="7895"/>
    </i>
    <i r="3">
      <x v="11"/>
      <x/>
      <x v="56"/>
      <x v="8"/>
      <x/>
      <x v="2068"/>
      <x v="1"/>
      <x v="7938"/>
    </i>
    <i r="5">
      <x v="57"/>
      <x v="9"/>
      <x/>
      <x v="2980"/>
      <x v="1"/>
      <x v="7972"/>
    </i>
    <i r="5">
      <x v="58"/>
      <x v="7"/>
      <x/>
      <x v="2962"/>
      <x v="1"/>
      <x v="7714"/>
    </i>
    <i r="3">
      <x v="12"/>
      <x/>
      <x v="47"/>
      <x v="2"/>
      <x/>
      <x/>
      <x/>
      <x v="6892"/>
    </i>
    <i r="5">
      <x v="53"/>
      <x v="7"/>
      <x/>
      <x/>
      <x/>
      <x v="7937"/>
    </i>
    <i r="5">
      <x v="277"/>
      <x v="1"/>
      <x/>
      <x/>
      <x/>
      <x v="7643"/>
    </i>
    <i r="5">
      <x v="452"/>
      <x v="9"/>
      <x v="1"/>
      <x/>
      <x/>
      <x v="7751"/>
    </i>
    <i r="5">
      <x v="756"/>
      <x v="21"/>
      <x/>
      <x/>
      <x/>
      <x v="7796"/>
    </i>
    <i r="3">
      <x v="13"/>
      <x/>
      <x v="35"/>
      <x v="4"/>
      <x/>
      <x v="2959"/>
      <x v="1"/>
      <x v="7749"/>
    </i>
    <i r="5">
      <x v="41"/>
      <x v="2"/>
      <x/>
      <x/>
      <x/>
      <x v="6887"/>
    </i>
    <i r="5">
      <x v="42"/>
      <x v="1"/>
      <x/>
      <x/>
      <x/>
      <x v="7910"/>
    </i>
    <i r="5">
      <x v="611"/>
      <x/>
      <x v="1"/>
      <x/>
      <x/>
      <x v="7567"/>
    </i>
    <i r="3">
      <x v="14"/>
      <x/>
      <x v="27"/>
      <x v="3"/>
      <x/>
      <x v="2079"/>
      <x v="1"/>
      <x v="7195"/>
    </i>
    <i r="5">
      <x v="28"/>
      <x v="4"/>
      <x/>
      <x v="2958"/>
      <x v="1"/>
      <x v="7613"/>
    </i>
    <i r="5">
      <x v="307"/>
      <x v="4"/>
      <x/>
      <x v="2949"/>
      <x v="1"/>
      <x v="7538"/>
    </i>
    <i r="5">
      <x v="893"/>
      <x v="6"/>
      <x/>
      <x/>
      <x/>
      <x v="7936"/>
    </i>
    <i r="3">
      <x v="15"/>
      <x/>
      <x v="24"/>
      <x v="4"/>
      <x/>
      <x v="1267"/>
      <x v="1"/>
      <x v="7713"/>
    </i>
    <i r="3">
      <x v="25"/>
      <x/>
      <x v="189"/>
      <x v="27"/>
      <x/>
      <x/>
      <x/>
      <x v="7918"/>
    </i>
    <i r="5">
      <x v="644"/>
      <x v="19"/>
      <x/>
      <x v="3108"/>
      <x v="1"/>
      <x v="7817"/>
    </i>
    <i r="5">
      <x v="645"/>
      <x v="27"/>
      <x/>
      <x/>
      <x/>
      <x v="7587"/>
    </i>
    <i r="5">
      <x v="685"/>
      <x v="37"/>
      <x/>
      <x v="3125"/>
      <x v="1"/>
      <x v="7900"/>
    </i>
    <i r="5">
      <x v="811"/>
      <x v="12"/>
      <x/>
      <x v="3109"/>
      <x v="1"/>
      <x v="7818"/>
    </i>
    <i r="5">
      <x v="900"/>
      <x v="13"/>
      <x/>
      <x/>
      <x/>
      <x v="7920"/>
    </i>
    <i r="5">
      <x v="901"/>
      <x v="24"/>
      <x/>
      <x/>
      <x/>
      <x v="7921"/>
    </i>
    <i r="5">
      <x v="938"/>
      <x v="27"/>
      <x/>
      <x/>
      <x/>
      <x v="7982"/>
    </i>
    <i r="3">
      <x v="30"/>
      <x/>
      <x v="588"/>
      <x v="2"/>
      <x/>
      <x/>
      <x/>
      <x v="7565"/>
    </i>
    <i r="5">
      <x v="795"/>
      <x/>
      <x/>
      <x/>
      <x/>
      <x v="7794"/>
    </i>
    <i r="5">
      <x v="880"/>
      <x/>
      <x/>
      <x/>
      <x/>
      <x v="7894"/>
    </i>
    <i r="3">
      <x v="31"/>
      <x/>
      <x v="806"/>
      <x v="20"/>
      <x/>
      <x/>
      <x/>
      <x v="7809"/>
    </i>
    <i r="5">
      <x v="912"/>
      <x v="55"/>
      <x/>
      <x/>
      <x/>
      <x v="7945"/>
    </i>
    <i r="5">
      <x v="936"/>
      <x v="59"/>
      <x/>
      <x/>
      <x/>
      <x v="7979"/>
    </i>
    <i r="5">
      <x v="937"/>
      <x v="20"/>
      <x/>
      <x/>
      <x/>
      <x v="7980"/>
    </i>
    <i r="3">
      <x v="45"/>
      <x/>
      <x v="283"/>
      <x v="5"/>
      <x/>
      <x/>
      <x/>
      <x v="7974"/>
    </i>
    <i r="5">
      <x v="359"/>
      <x v="5"/>
      <x/>
      <x/>
      <x/>
      <x v="7729"/>
    </i>
    <i r="5">
      <x v="801"/>
      <x v="56"/>
      <x/>
      <x/>
      <x/>
      <x v="7939"/>
    </i>
    <i r="5">
      <x v="802"/>
      <x v="5"/>
      <x/>
      <x/>
      <x/>
      <x v="7805"/>
    </i>
    <i r="5">
      <x v="803"/>
      <x v="5"/>
      <x/>
      <x/>
      <x/>
      <x v="7806"/>
    </i>
    <i r="5">
      <x v="804"/>
      <x v="5"/>
      <x/>
      <x/>
      <x/>
      <x v="7807"/>
    </i>
    <i r="5">
      <x v="805"/>
      <x v="5"/>
      <x/>
      <x/>
      <x/>
      <x v="7808"/>
    </i>
    <i r="5">
      <x v="932"/>
      <x v="5"/>
      <x/>
      <x/>
      <x/>
      <x v="7975"/>
    </i>
    <i r="5">
      <x v="933"/>
      <x v="5"/>
      <x/>
      <x/>
      <x/>
      <x v="7976"/>
    </i>
    <i r="5">
      <x v="934"/>
      <x v="5"/>
      <x/>
      <x/>
      <x/>
      <x v="7977"/>
    </i>
    <i r="3">
      <x v="64"/>
      <x/>
      <x v="931"/>
      <x v="4"/>
      <x v="1"/>
      <x/>
      <x/>
      <x v="7973"/>
    </i>
    <i r="3">
      <x v="66"/>
      <x/>
      <x v="501"/>
      <x v="1"/>
      <x/>
      <x/>
      <x/>
      <x v="7411"/>
    </i>
    <i r="3">
      <x v="74"/>
      <x/>
      <x v="738"/>
      <x v="1"/>
      <x/>
      <x/>
      <x/>
      <x v="7734"/>
    </i>
    <i r="2">
      <x v="1"/>
      <x v="13"/>
      <x/>
      <x v="40"/>
      <x v="1"/>
      <x/>
      <x/>
      <x/>
      <x v="7971"/>
    </i>
    <i t="default" r="1">
      <x/>
    </i>
  </rowItems>
  <colItems count="1">
    <i/>
  </colItems>
  <dataFields count="1">
    <dataField name="Ads" fld="1" subtotal="count" baseField="11" baseItem="3"/>
  </dataFields>
  <formats count="387">
    <format dxfId="395">
      <pivotArea dataOnly="0" outline="0" fieldPosition="0">
        <references count="1">
          <reference field="12" count="0" defaultSubtotal="1"/>
        </references>
      </pivotArea>
    </format>
    <format dxfId="394">
      <pivotArea outline="0" collapsedLevelsAreSubtotals="1" fieldPosition="0"/>
    </format>
    <format dxfId="393">
      <pivotArea dataOnly="0" labelOnly="1" outline="0" axis="axisValues" fieldPosition="0"/>
    </format>
    <format dxfId="392">
      <pivotArea dataOnly="0" outline="0" fieldPosition="0">
        <references count="1">
          <reference field="12" count="0" defaultSubtotal="1"/>
        </references>
      </pivotArea>
    </format>
    <format dxfId="391">
      <pivotArea outline="0" collapsedLevelsAreSubtotals="1" fieldPosition="0"/>
    </format>
    <format dxfId="390">
      <pivotArea dataOnly="0" labelOnly="1" outline="0" axis="axisValues" fieldPosition="0"/>
    </format>
    <format dxfId="389">
      <pivotArea outline="0" collapsedLevelsAreSubtotals="1" fieldPosition="0"/>
    </format>
    <format dxfId="388">
      <pivotArea dataOnly="0" labelOnly="1" outline="0" axis="axisValues" fieldPosition="0"/>
    </format>
    <format dxfId="387">
      <pivotArea dataOnly="0" outline="0" fieldPosition="0">
        <references count="1">
          <reference field="12" count="0" defaultSubtotal="1"/>
        </references>
      </pivotArea>
    </format>
    <format dxfId="386">
      <pivotArea outline="0" collapsedLevelsAreSubtotals="1" fieldPosition="0"/>
    </format>
    <format dxfId="385">
      <pivotArea dataOnly="0" labelOnly="1" outline="0" axis="axisValues" fieldPosition="0"/>
    </format>
    <format dxfId="384">
      <pivotArea outline="0" collapsedLevelsAreSubtotals="1" fieldPosition="0"/>
    </format>
    <format dxfId="383">
      <pivotArea dataOnly="0" labelOnly="1" outline="0" axis="axisValues" fieldPosition="0"/>
    </format>
    <format dxfId="382">
      <pivotArea dataOnly="0" labelOnly="1" outline="0" axis="axisValues" fieldPosition="0"/>
    </format>
    <format dxfId="381">
      <pivotArea type="all" dataOnly="0" outline="0" fieldPosition="0"/>
    </format>
    <format dxfId="380">
      <pivotArea outline="0" collapsedLevelsAreSubtotals="1" fieldPosition="0"/>
    </format>
    <format dxfId="379">
      <pivotArea dataOnly="0" labelOnly="1" outline="0" axis="axisValues" fieldPosition="0"/>
    </format>
    <format dxfId="378">
      <pivotArea outline="0" collapsedLevelsAreSubtotals="1" fieldPosition="0"/>
    </format>
    <format dxfId="377">
      <pivotArea dataOnly="0" labelOnly="1" outline="0" axis="axisValues" fieldPosition="0"/>
    </format>
    <format dxfId="376">
      <pivotArea dataOnly="0" outline="0" fieldPosition="0">
        <references count="1">
          <reference field="12" count="0" defaultSubtotal="1"/>
        </references>
      </pivotArea>
    </format>
    <format dxfId="375">
      <pivotArea outline="0" collapsedLevelsAreSubtotals="1" fieldPosition="0"/>
    </format>
    <format dxfId="374">
      <pivotArea dataOnly="0" labelOnly="1" outline="0" axis="axisValues" fieldPosition="0"/>
    </format>
    <format dxfId="373">
      <pivotArea outline="0" collapsedLevelsAreSubtotals="1" fieldPosition="0"/>
    </format>
    <format dxfId="372">
      <pivotArea dataOnly="0" labelOnly="1" outline="0" axis="axisValues" fieldPosition="0"/>
    </format>
    <format dxfId="371">
      <pivotArea dataOnly="0" outline="0" fieldPosition="0">
        <references count="1">
          <reference field="12" count="0" defaultSubtotal="1"/>
        </references>
      </pivotArea>
    </format>
    <format dxfId="370">
      <pivotArea outline="0" collapsedLevelsAreSubtotals="1" fieldPosition="0"/>
    </format>
    <format dxfId="369">
      <pivotArea dataOnly="0" labelOnly="1" outline="0" axis="axisValues" fieldPosition="0"/>
    </format>
    <format dxfId="368">
      <pivotArea outline="0" collapsedLevelsAreSubtotals="1" fieldPosition="0"/>
    </format>
    <format dxfId="367">
      <pivotArea dataOnly="0" labelOnly="1" outline="0" axis="axisValues" fieldPosition="0"/>
    </format>
    <format dxfId="366">
      <pivotArea dataOnly="0" labelOnly="1" outline="0" axis="axisValues" fieldPosition="0"/>
    </format>
    <format dxfId="365">
      <pivotArea outline="0" collapsedLevelsAreSubtotals="1" fieldPosition="0"/>
    </format>
    <format dxfId="364">
      <pivotArea dataOnly="0" labelOnly="1" outline="0" axis="axisValues" fieldPosition="0"/>
    </format>
    <format dxfId="363">
      <pivotArea dataOnly="0" outline="0" fieldPosition="0">
        <references count="1">
          <reference field="12" count="0" defaultSubtotal="1"/>
        </references>
      </pivotArea>
    </format>
    <format dxfId="362">
      <pivotArea outline="0" collapsedLevelsAreSubtotals="1" fieldPosition="0"/>
    </format>
    <format dxfId="361">
      <pivotArea dataOnly="0" labelOnly="1" outline="0" axis="axisValues" fieldPosition="0"/>
    </format>
    <format dxfId="360">
      <pivotArea outline="0" collapsedLevelsAreSubtotals="1" fieldPosition="0"/>
    </format>
    <format dxfId="359">
      <pivotArea dataOnly="0" labelOnly="1" outline="0" axis="axisValues" fieldPosition="0"/>
    </format>
    <format dxfId="358">
      <pivotArea dataOnly="0" outline="0" fieldPosition="0">
        <references count="1">
          <reference field="12" count="0" defaultSubtotal="1"/>
        </references>
      </pivotArea>
    </format>
    <format dxfId="357">
      <pivotArea outline="0" collapsedLevelsAreSubtotals="1" fieldPosition="0"/>
    </format>
    <format dxfId="356">
      <pivotArea dataOnly="0" labelOnly="1" outline="0" axis="axisValues" fieldPosition="0"/>
    </format>
    <format dxfId="355">
      <pivotArea outline="0" collapsedLevelsAreSubtotals="1" fieldPosition="0"/>
    </format>
    <format dxfId="354">
      <pivotArea dataOnly="0" labelOnly="1" outline="0" axis="axisValues" fieldPosition="0"/>
    </format>
    <format dxfId="353">
      <pivotArea dataOnly="0" labelOnly="1" outline="0" axis="axisValues" fieldPosition="0"/>
    </format>
    <format dxfId="352">
      <pivotArea outline="0" collapsedLevelsAreSubtotals="1" fieldPosition="0"/>
    </format>
    <format dxfId="351">
      <pivotArea dataOnly="0" labelOnly="1" outline="0" axis="axisValues" fieldPosition="0"/>
    </format>
    <format dxfId="350">
      <pivotArea outline="0" collapsedLevelsAreSubtotals="1" fieldPosition="0"/>
    </format>
    <format dxfId="349">
      <pivotArea dataOnly="0" labelOnly="1" outline="0" axis="axisValues" fieldPosition="0"/>
    </format>
    <format dxfId="348">
      <pivotArea dataOnly="0" outline="0" fieldPosition="0">
        <references count="1">
          <reference field="12" count="0" defaultSubtotal="1"/>
        </references>
      </pivotArea>
    </format>
    <format dxfId="347">
      <pivotArea outline="0" collapsedLevelsAreSubtotals="1" fieldPosition="0"/>
    </format>
    <format dxfId="346">
      <pivotArea dataOnly="0" labelOnly="1" outline="0" axis="axisValues" fieldPosition="0"/>
    </format>
    <format dxfId="345">
      <pivotArea outline="0" collapsedLevelsAreSubtotals="1" fieldPosition="0"/>
    </format>
    <format dxfId="344">
      <pivotArea dataOnly="0" labelOnly="1" outline="0" axis="axisValues" fieldPosition="0"/>
    </format>
    <format dxfId="343">
      <pivotArea dataOnly="0" outline="0" fieldPosition="0">
        <references count="1">
          <reference field="12" count="0" defaultSubtotal="1"/>
        </references>
      </pivotArea>
    </format>
    <format dxfId="342">
      <pivotArea outline="0" collapsedLevelsAreSubtotals="1" fieldPosition="0"/>
    </format>
    <format dxfId="341">
      <pivotArea dataOnly="0" labelOnly="1" outline="0" axis="axisValues" fieldPosition="0"/>
    </format>
    <format dxfId="340">
      <pivotArea outline="0" collapsedLevelsAreSubtotals="1" fieldPosition="0"/>
    </format>
    <format dxfId="339">
      <pivotArea dataOnly="0" labelOnly="1" outline="0" axis="axisValues" fieldPosition="0"/>
    </format>
    <format dxfId="338">
      <pivotArea dataOnly="0" labelOnly="1" outline="0" axis="axisValues" fieldPosition="0"/>
    </format>
    <format dxfId="337">
      <pivotArea outline="0" collapsedLevelsAreSubtotals="1" fieldPosition="0"/>
    </format>
    <format dxfId="336">
      <pivotArea dataOnly="0" labelOnly="1" outline="0" axis="axisValues" fieldPosition="0"/>
    </format>
    <format dxfId="335">
      <pivotArea dataOnly="0" outline="0" fieldPosition="0">
        <references count="1">
          <reference field="12" count="0" defaultSubtotal="1"/>
        </references>
      </pivotArea>
    </format>
    <format dxfId="334">
      <pivotArea outline="0" collapsedLevelsAreSubtotals="1" fieldPosition="0"/>
    </format>
    <format dxfId="333">
      <pivotArea dataOnly="0" labelOnly="1" outline="0" axis="axisValues" fieldPosition="0"/>
    </format>
    <format dxfId="332">
      <pivotArea outline="0" collapsedLevelsAreSubtotals="1" fieldPosition="0"/>
    </format>
    <format dxfId="331">
      <pivotArea dataOnly="0" labelOnly="1" outline="0" axis="axisValues" fieldPosition="0"/>
    </format>
    <format dxfId="330">
      <pivotArea dataOnly="0" outline="0" fieldPosition="0">
        <references count="1">
          <reference field="12" count="0" defaultSubtotal="1"/>
        </references>
      </pivotArea>
    </format>
    <format dxfId="329">
      <pivotArea outline="0" collapsedLevelsAreSubtotals="1" fieldPosition="0"/>
    </format>
    <format dxfId="328">
      <pivotArea dataOnly="0" labelOnly="1" outline="0" axis="axisValues" fieldPosition="0"/>
    </format>
    <format dxfId="327">
      <pivotArea outline="0" collapsedLevelsAreSubtotals="1" fieldPosition="0"/>
    </format>
    <format dxfId="326">
      <pivotArea dataOnly="0" labelOnly="1" outline="0" axis="axisValues" fieldPosition="0"/>
    </format>
    <format dxfId="325">
      <pivotArea dataOnly="0" labelOnly="1" outline="0" axis="axisValues" fieldPosition="0"/>
    </format>
    <format dxfId="324">
      <pivotArea outline="0" collapsedLevelsAreSubtotals="1" fieldPosition="0"/>
    </format>
    <format dxfId="323">
      <pivotArea dataOnly="0" labelOnly="1" outline="0" axis="axisValues" fieldPosition="0"/>
    </format>
    <format dxfId="322">
      <pivotArea dataOnly="0" outline="0" fieldPosition="0">
        <references count="1">
          <reference field="12" count="0" defaultSubtotal="1"/>
        </references>
      </pivotArea>
    </format>
    <format dxfId="321">
      <pivotArea outline="0" collapsedLevelsAreSubtotals="1" fieldPosition="0"/>
    </format>
    <format dxfId="320">
      <pivotArea dataOnly="0" labelOnly="1" outline="0" axis="axisValues" fieldPosition="0"/>
    </format>
    <format dxfId="319">
      <pivotArea outline="0" collapsedLevelsAreSubtotals="1" fieldPosition="0"/>
    </format>
    <format dxfId="318">
      <pivotArea dataOnly="0" labelOnly="1" outline="0" axis="axisValues" fieldPosition="0"/>
    </format>
    <format dxfId="317">
      <pivotArea dataOnly="0" outline="0" fieldPosition="0">
        <references count="1">
          <reference field="12" count="0" defaultSubtotal="1"/>
        </references>
      </pivotArea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outline="0" collapsedLevelsAreSubtotals="1" fieldPosition="0"/>
    </format>
    <format dxfId="313">
      <pivotArea dataOnly="0" labelOnly="1" outline="0" axis="axisValues" fieldPosition="0"/>
    </format>
    <format dxfId="312">
      <pivotArea dataOnly="0" labelOnly="1" outline="0" axis="axisValues" fieldPosition="0"/>
    </format>
    <format dxfId="311">
      <pivotArea outline="0" collapsedLevelsAreSubtotals="1" fieldPosition="0"/>
    </format>
    <format dxfId="310">
      <pivotArea dataOnly="0" labelOnly="1" outline="0" axis="axisValues" fieldPosition="0"/>
    </format>
    <format dxfId="309">
      <pivotArea outline="0" collapsedLevelsAreSubtotals="1" fieldPosition="0"/>
    </format>
    <format dxfId="308">
      <pivotArea dataOnly="0" labelOnly="1" outline="0" axis="axisValues" fieldPosition="0"/>
    </format>
    <format dxfId="307">
      <pivotArea dataOnly="0" outline="0" fieldPosition="0">
        <references count="1">
          <reference field="12" count="0" defaultSubtotal="1"/>
        </references>
      </pivotArea>
    </format>
    <format dxfId="306">
      <pivotArea outline="0" collapsedLevelsAreSubtotals="1" fieldPosition="0"/>
    </format>
    <format dxfId="305">
      <pivotArea dataOnly="0" labelOnly="1" outline="0" axis="axisValues" fieldPosition="0"/>
    </format>
    <format dxfId="304">
      <pivotArea outline="0" collapsedLevelsAreSubtotals="1" fieldPosition="0"/>
    </format>
    <format dxfId="303">
      <pivotArea dataOnly="0" labelOnly="1" outline="0" axis="axisValues" fieldPosition="0"/>
    </format>
    <format dxfId="302">
      <pivotArea dataOnly="0" outline="0" fieldPosition="0">
        <references count="1">
          <reference field="12" count="0" defaultSubtotal="1"/>
        </references>
      </pivotArea>
    </format>
    <format dxfId="301">
      <pivotArea outline="0" collapsedLevelsAreSubtotals="1" fieldPosition="0"/>
    </format>
    <format dxfId="300">
      <pivotArea dataOnly="0" labelOnly="1" outline="0" axis="axisValues" fieldPosition="0"/>
    </format>
    <format dxfId="299">
      <pivotArea outline="0" collapsedLevelsAreSubtotals="1" fieldPosition="0"/>
    </format>
    <format dxfId="298">
      <pivotArea dataOnly="0" labelOnly="1" outline="0" axis="axisValues" fieldPosition="0"/>
    </format>
    <format dxfId="297">
      <pivotArea dataOnly="0" labelOnly="1" outline="0" axis="axisValues" fieldPosition="0"/>
    </format>
    <format dxfId="296">
      <pivotArea outline="0" collapsedLevelsAreSubtotals="1" fieldPosition="0"/>
    </format>
    <format dxfId="295">
      <pivotArea dataOnly="0" labelOnly="1" outline="0" axis="axisValues" fieldPosition="0"/>
    </format>
    <format dxfId="294">
      <pivotArea dataOnly="0" outline="0" fieldPosition="0">
        <references count="1">
          <reference field="12" count="0" defaultSubtotal="1"/>
        </references>
      </pivotArea>
    </format>
    <format dxfId="293">
      <pivotArea outline="0" collapsedLevelsAreSubtotals="1" fieldPosition="0"/>
    </format>
    <format dxfId="292">
      <pivotArea dataOnly="0" labelOnly="1" outline="0" axis="axisValues" fieldPosition="0"/>
    </format>
    <format dxfId="291">
      <pivotArea outline="0" collapsedLevelsAreSubtotals="1" fieldPosition="0"/>
    </format>
    <format dxfId="290">
      <pivotArea dataOnly="0" labelOnly="1" outline="0" axis="axisValues" fieldPosition="0"/>
    </format>
    <format dxfId="289">
      <pivotArea dataOnly="0" outline="0" fieldPosition="0">
        <references count="1">
          <reference field="12" count="0" defaultSubtotal="1"/>
        </references>
      </pivotArea>
    </format>
    <format dxfId="288">
      <pivotArea outline="0" collapsedLevelsAreSubtotals="1" fieldPosition="0"/>
    </format>
    <format dxfId="287">
      <pivotArea dataOnly="0" labelOnly="1" outline="0" axis="axisValues" fieldPosition="0"/>
    </format>
    <format dxfId="286">
      <pivotArea outline="0" collapsedLevelsAreSubtotals="1" fieldPosition="0"/>
    </format>
    <format dxfId="285">
      <pivotArea dataOnly="0" labelOnly="1" outline="0" axis="axisValues" fieldPosition="0"/>
    </format>
    <format dxfId="284">
      <pivotArea dataOnly="0" labelOnly="1" outline="0" axis="axisValues" fieldPosition="0"/>
    </format>
    <format dxfId="283">
      <pivotArea outline="0" collapsedLevelsAreSubtotals="1" fieldPosition="0"/>
    </format>
    <format dxfId="282">
      <pivotArea dataOnly="0" labelOnly="1" outline="0" axis="axisValues" fieldPosition="0"/>
    </format>
    <format dxfId="281">
      <pivotArea outline="0" collapsedLevelsAreSubtotals="1" fieldPosition="0"/>
    </format>
    <format dxfId="280">
      <pivotArea dataOnly="0" labelOnly="1" outline="0" axis="axisValues" fieldPosition="0"/>
    </format>
    <format dxfId="279">
      <pivotArea dataOnly="0" outline="0" fieldPosition="0">
        <references count="1">
          <reference field="12" count="0" defaultSubtotal="1"/>
        </references>
      </pivotArea>
    </format>
    <format dxfId="278">
      <pivotArea outline="0" collapsedLevelsAreSubtotals="1" fieldPosition="0"/>
    </format>
    <format dxfId="277">
      <pivotArea dataOnly="0" labelOnly="1" outline="0" axis="axisValues" fieldPosition="0"/>
    </format>
    <format dxfId="276">
      <pivotArea outline="0" collapsedLevelsAreSubtotals="1" fieldPosition="0"/>
    </format>
    <format dxfId="275">
      <pivotArea dataOnly="0" labelOnly="1" outline="0" axis="axisValues" fieldPosition="0"/>
    </format>
    <format dxfId="274">
      <pivotArea dataOnly="0" outline="0" fieldPosition="0">
        <references count="1">
          <reference field="12" count="0" defaultSubtotal="1"/>
        </references>
      </pivotArea>
    </format>
    <format dxfId="273">
      <pivotArea outline="0" collapsedLevelsAreSubtotals="1" fieldPosition="0"/>
    </format>
    <format dxfId="272">
      <pivotArea dataOnly="0" labelOnly="1" outline="0" axis="axisValues" fieldPosition="0"/>
    </format>
    <format dxfId="271">
      <pivotArea outline="0" collapsedLevelsAreSubtotals="1" fieldPosition="0"/>
    </format>
    <format dxfId="270">
      <pivotArea dataOnly="0" labelOnly="1" outline="0" axis="axisValues" fieldPosition="0"/>
    </format>
    <format dxfId="269">
      <pivotArea dataOnly="0" labelOnly="1" outline="0" axis="axisValues" fieldPosition="0"/>
    </format>
    <format dxfId="268">
      <pivotArea outline="0" collapsedLevelsAreSubtotals="1" fieldPosition="0"/>
    </format>
    <format dxfId="267">
      <pivotArea dataOnly="0" labelOnly="1" outline="0" axis="axisValues" fieldPosition="0"/>
    </format>
    <format dxfId="266">
      <pivotArea dataOnly="0" outline="0" fieldPosition="0">
        <references count="1">
          <reference field="12" count="0" defaultSubtotal="1"/>
        </references>
      </pivotArea>
    </format>
    <format dxfId="265">
      <pivotArea outline="0" collapsedLevelsAreSubtotals="1" fieldPosition="0"/>
    </format>
    <format dxfId="264">
      <pivotArea dataOnly="0" labelOnly="1" outline="0" axis="axisValues" fieldPosition="0"/>
    </format>
    <format dxfId="263">
      <pivotArea outline="0" collapsedLevelsAreSubtotals="1" fieldPosition="0"/>
    </format>
    <format dxfId="262">
      <pivotArea dataOnly="0" labelOnly="1" outline="0" axis="axisValues" fieldPosition="0"/>
    </format>
    <format dxfId="261">
      <pivotArea dataOnly="0" outline="0" fieldPosition="0">
        <references count="1">
          <reference field="12" count="0" defaultSubtotal="1"/>
        </references>
      </pivotArea>
    </format>
    <format dxfId="260">
      <pivotArea outline="0" collapsedLevelsAreSubtotals="1" fieldPosition="0"/>
    </format>
    <format dxfId="259">
      <pivotArea dataOnly="0" labelOnly="1" outline="0" axis="axisValues" fieldPosition="0"/>
    </format>
    <format dxfId="258">
      <pivotArea outline="0" collapsedLevelsAreSubtotals="1" fieldPosition="0"/>
    </format>
    <format dxfId="257">
      <pivotArea dataOnly="0" labelOnly="1" outline="0" axis="axisValues" fieldPosition="0"/>
    </format>
    <format dxfId="256">
      <pivotArea dataOnly="0" labelOnly="1" outline="0" axis="axisValues" fieldPosition="0"/>
    </format>
    <format dxfId="2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254">
      <pivotArea outline="0" collapsedLevelsAreSubtotals="1" fieldPosition="0"/>
    </format>
    <format dxfId="253">
      <pivotArea dataOnly="0" labelOnly="1" outline="0" axis="axisValues" fieldPosition="0"/>
    </format>
    <format dxfId="252">
      <pivotArea outline="0" collapsedLevelsAreSubtotals="1" fieldPosition="0"/>
    </format>
    <format dxfId="251">
      <pivotArea dataOnly="0" labelOnly="1" outline="0" axis="axisValues" fieldPosition="0"/>
    </format>
    <format dxfId="250">
      <pivotArea dataOnly="0" outline="0" fieldPosition="0">
        <references count="1">
          <reference field="12" count="0" defaultSubtotal="1"/>
        </references>
      </pivotArea>
    </format>
    <format dxfId="249">
      <pivotArea outline="0" collapsedLevelsAreSubtotals="1" fieldPosition="0"/>
    </format>
    <format dxfId="248">
      <pivotArea dataOnly="0" labelOnly="1" outline="0" axis="axisValues" fieldPosition="0"/>
    </format>
    <format dxfId="247">
      <pivotArea outline="0" collapsedLevelsAreSubtotals="1" fieldPosition="0"/>
    </format>
    <format dxfId="246">
      <pivotArea dataOnly="0" labelOnly="1" outline="0" axis="axisValues" fieldPosition="0"/>
    </format>
    <format dxfId="245">
      <pivotArea dataOnly="0" outline="0" fieldPosition="0">
        <references count="1">
          <reference field="12" count="0" defaultSubtotal="1"/>
        </references>
      </pivotArea>
    </format>
    <format dxfId="244">
      <pivotArea outline="0" collapsedLevelsAreSubtotals="1" fieldPosition="0"/>
    </format>
    <format dxfId="243">
      <pivotArea dataOnly="0" labelOnly="1" outline="0" axis="axisValues" fieldPosition="0"/>
    </format>
    <format dxfId="242">
      <pivotArea outline="0" collapsedLevelsAreSubtotals="1" fieldPosition="0"/>
    </format>
    <format dxfId="241">
      <pivotArea dataOnly="0" labelOnly="1" outline="0" axis="axisValues" fieldPosition="0"/>
    </format>
    <format dxfId="240">
      <pivotArea dataOnly="0" labelOnly="1" outline="0" axis="axisValues" fieldPosition="0"/>
    </format>
    <format dxfId="239">
      <pivotArea outline="0" collapsedLevelsAreSubtotals="1" fieldPosition="0"/>
    </format>
    <format dxfId="238">
      <pivotArea dataOnly="0" labelOnly="1" outline="0" axis="axisValues" fieldPosition="0"/>
    </format>
    <format dxfId="237">
      <pivotArea dataOnly="0" outline="0" fieldPosition="0">
        <references count="1">
          <reference field="12" count="0" defaultSubtotal="1"/>
        </references>
      </pivotArea>
    </format>
    <format dxfId="236">
      <pivotArea outline="0" collapsedLevelsAreSubtotals="1" fieldPosition="0"/>
    </format>
    <format dxfId="235">
      <pivotArea dataOnly="0" labelOnly="1" outline="0" axis="axisValues" fieldPosition="0"/>
    </format>
    <format dxfId="234">
      <pivotArea outline="0" collapsedLevelsAreSubtotals="1" fieldPosition="0"/>
    </format>
    <format dxfId="233">
      <pivotArea dataOnly="0" labelOnly="1" outline="0" axis="axisValues" fieldPosition="0"/>
    </format>
    <format dxfId="232">
      <pivotArea dataOnly="0" outline="0" fieldPosition="0">
        <references count="1">
          <reference field="12" count="0" defaultSubtotal="1"/>
        </references>
      </pivotArea>
    </format>
    <format dxfId="231">
      <pivotArea outline="0" collapsedLevelsAreSubtotals="1" fieldPosition="0"/>
    </format>
    <format dxfId="230">
      <pivotArea dataOnly="0" labelOnly="1" outline="0" axis="axisValues" fieldPosition="0"/>
    </format>
    <format dxfId="229">
      <pivotArea outline="0" collapsedLevelsAreSubtotals="1" fieldPosition="0"/>
    </format>
    <format dxfId="228">
      <pivotArea dataOnly="0" labelOnly="1" outline="0" axis="axisValues" fieldPosition="0"/>
    </format>
    <format dxfId="227">
      <pivotArea dataOnly="0" labelOnly="1" outline="0" axis="axisValues" fieldPosition="0"/>
    </format>
    <format dxfId="226">
      <pivotArea outline="0" collapsedLevelsAreSubtotals="1" fieldPosition="0"/>
    </format>
    <format dxfId="225">
      <pivotArea dataOnly="0" labelOnly="1" outline="0" axis="axisValues" fieldPosition="0"/>
    </format>
    <format dxfId="224">
      <pivotArea dataOnly="0" outline="0" fieldPosition="0">
        <references count="1">
          <reference field="12" count="0" defaultSubtotal="1"/>
        </references>
      </pivotArea>
    </format>
    <format dxfId="223">
      <pivotArea outline="0" collapsedLevelsAreSubtotals="1" fieldPosition="0"/>
    </format>
    <format dxfId="222">
      <pivotArea dataOnly="0" labelOnly="1" outline="0" axis="axisValues" fieldPosition="0"/>
    </format>
    <format dxfId="221">
      <pivotArea outline="0" collapsedLevelsAreSubtotals="1" fieldPosition="0"/>
    </format>
    <format dxfId="220">
      <pivotArea dataOnly="0" labelOnly="1" outline="0" axis="axisValues" fieldPosition="0"/>
    </format>
    <format dxfId="219">
      <pivotArea dataOnly="0" outline="0" fieldPosition="0">
        <references count="1">
          <reference field="12" count="0" defaultSubtotal="1"/>
        </references>
      </pivotArea>
    </format>
    <format dxfId="218">
      <pivotArea outline="0" collapsedLevelsAreSubtotals="1" fieldPosition="0"/>
    </format>
    <format dxfId="217">
      <pivotArea dataOnly="0" labelOnly="1" outline="0" axis="axisValues" fieldPosition="0"/>
    </format>
    <format dxfId="216">
      <pivotArea outline="0" collapsedLevelsAreSubtotals="1" fieldPosition="0"/>
    </format>
    <format dxfId="215">
      <pivotArea dataOnly="0" labelOnly="1" outline="0" axis="axisValues" fieldPosition="0"/>
    </format>
    <format dxfId="214">
      <pivotArea dataOnly="0" labelOnly="1" outline="0" axis="axisValues" fieldPosition="0"/>
    </format>
    <format dxfId="213">
      <pivotArea outline="0" collapsedLevelsAreSubtotals="1" fieldPosition="0"/>
    </format>
    <format dxfId="212">
      <pivotArea dataOnly="0" labelOnly="1" outline="0" axis="axisValues" fieldPosition="0"/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dataOnly="0" outline="0" fieldPosition="0">
        <references count="1">
          <reference field="12" count="0" defaultSubtotal="1"/>
        </references>
      </pivotArea>
    </format>
    <format dxfId="208">
      <pivotArea outline="0" collapsedLevelsAreSubtotals="1" fieldPosition="0"/>
    </format>
    <format dxfId="207">
      <pivotArea dataOnly="0" labelOnly="1" outline="0" axis="axisValues" fieldPosition="0"/>
    </format>
    <format dxfId="206">
      <pivotArea outline="0" collapsedLevelsAreSubtotals="1" fieldPosition="0"/>
    </format>
    <format dxfId="205">
      <pivotArea dataOnly="0" labelOnly="1" outline="0" axis="axisValues" fieldPosition="0"/>
    </format>
    <format dxfId="204">
      <pivotArea dataOnly="0" outline="0" fieldPosition="0">
        <references count="1">
          <reference field="12" count="0" defaultSubtotal="1"/>
        </references>
      </pivotArea>
    </format>
    <format dxfId="203">
      <pivotArea outline="0" collapsedLevelsAreSubtotals="1" fieldPosition="0"/>
    </format>
    <format dxfId="202">
      <pivotArea dataOnly="0" labelOnly="1" outline="0" axis="axisValues" fieldPosition="0"/>
    </format>
    <format dxfId="201">
      <pivotArea outline="0" collapsedLevelsAreSubtotals="1" fieldPosition="0"/>
    </format>
    <format dxfId="200">
      <pivotArea dataOnly="0" labelOnly="1" outline="0" axis="axisValues" fieldPosition="0"/>
    </format>
    <format dxfId="199">
      <pivotArea dataOnly="0" labelOnly="1" outline="0" axis="axisValues" fieldPosition="0"/>
    </format>
    <format dxfId="198">
      <pivotArea outline="0" collapsedLevelsAreSubtotals="1" fieldPosition="0"/>
    </format>
    <format dxfId="197">
      <pivotArea dataOnly="0" labelOnly="1" outline="0" axis="axisValues" fieldPosition="0"/>
    </format>
    <format dxfId="196">
      <pivotArea dataOnly="0" outline="0" fieldPosition="0">
        <references count="1">
          <reference field="12" count="0" defaultSubtotal="1"/>
        </references>
      </pivotArea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outline="0" collapsedLevelsAreSubtotals="1" fieldPosition="0"/>
    </format>
    <format dxfId="192">
      <pivotArea dataOnly="0" labelOnly="1" outline="0" axis="axisValues" fieldPosition="0"/>
    </format>
    <format dxfId="191">
      <pivotArea dataOnly="0" outline="0" fieldPosition="0">
        <references count="1">
          <reference field="12" count="0" defaultSubtotal="1"/>
        </references>
      </pivotArea>
    </format>
    <format dxfId="190">
      <pivotArea outline="0" collapsedLevelsAreSubtotals="1" fieldPosition="0"/>
    </format>
    <format dxfId="189">
      <pivotArea dataOnly="0" labelOnly="1" outline="0" axis="axisValues" fieldPosition="0"/>
    </format>
    <format dxfId="188">
      <pivotArea outline="0" collapsedLevelsAreSubtotals="1" fieldPosition="0"/>
    </format>
    <format dxfId="187">
      <pivotArea dataOnly="0" labelOnly="1" outline="0" axis="axisValues" fieldPosition="0"/>
    </format>
    <format dxfId="186">
      <pivotArea dataOnly="0" labelOnly="1" outline="0" axis="axisValues" fieldPosition="0"/>
    </format>
    <format dxfId="185">
      <pivotArea outline="0" collapsedLevelsAreSubtotals="1" fieldPosition="0"/>
    </format>
    <format dxfId="184">
      <pivotArea dataOnly="0" labelOnly="1" outline="0" axis="axisValues" fieldPosition="0"/>
    </format>
    <format dxfId="183">
      <pivotArea dataOnly="0" outline="0" fieldPosition="0">
        <references count="1">
          <reference field="12" count="0" defaultSubtotal="1"/>
        </references>
      </pivotArea>
    </format>
    <format dxfId="182">
      <pivotArea outline="0" collapsedLevelsAreSubtotals="1" fieldPosition="0"/>
    </format>
    <format dxfId="181">
      <pivotArea dataOnly="0" labelOnly="1" outline="0" axis="axisValues" fieldPosition="0"/>
    </format>
    <format dxfId="180">
      <pivotArea outline="0" collapsedLevelsAreSubtotals="1" fieldPosition="0"/>
    </format>
    <format dxfId="179">
      <pivotArea dataOnly="0" labelOnly="1" outline="0" axis="axisValues" fieldPosition="0"/>
    </format>
    <format dxfId="178">
      <pivotArea dataOnly="0" outline="0" fieldPosition="0">
        <references count="1">
          <reference field="12" count="0" defaultSubtotal="1"/>
        </references>
      </pivotArea>
    </format>
    <format dxfId="177">
      <pivotArea outline="0" collapsedLevelsAreSubtotals="1" fieldPosition="0"/>
    </format>
    <format dxfId="176">
      <pivotArea dataOnly="0" labelOnly="1" outline="0" axis="axisValues" fieldPosition="0"/>
    </format>
    <format dxfId="175">
      <pivotArea outline="0" collapsedLevelsAreSubtotals="1" fieldPosition="0"/>
    </format>
    <format dxfId="174">
      <pivotArea dataOnly="0" labelOnly="1" outline="0" axis="axisValues" fieldPosition="0"/>
    </format>
    <format dxfId="173">
      <pivotArea dataOnly="0" labelOnly="1" outline="0" axis="axisValues" fieldPosition="0"/>
    </format>
    <format dxfId="172">
      <pivotArea outline="0" collapsedLevelsAreSubtotals="1" fieldPosition="0"/>
    </format>
    <format dxfId="171">
      <pivotArea dataOnly="0" labelOnly="1" outline="0" axis="axisValues" fieldPosition="0"/>
    </format>
    <format dxfId="170">
      <pivotArea dataOnly="0" outline="0" fieldPosition="0">
        <references count="1">
          <reference field="12" count="0" defaultSubtotal="1"/>
        </references>
      </pivotArea>
    </format>
    <format dxfId="169">
      <pivotArea outline="0" collapsedLevelsAreSubtotals="1" fieldPosition="0"/>
    </format>
    <format dxfId="168">
      <pivotArea dataOnly="0" labelOnly="1" outline="0" axis="axisValues" fieldPosition="0"/>
    </format>
    <format dxfId="167">
      <pivotArea outline="0" collapsedLevelsAreSubtotals="1" fieldPosition="0"/>
    </format>
    <format dxfId="166">
      <pivotArea dataOnly="0" labelOnly="1" outline="0" axis="axisValues" fieldPosition="0"/>
    </format>
    <format dxfId="165">
      <pivotArea dataOnly="0" outline="0" fieldPosition="0">
        <references count="1">
          <reference field="12" count="0" defaultSubtotal="1"/>
        </references>
      </pivotArea>
    </format>
    <format dxfId="164">
      <pivotArea outline="0" collapsedLevelsAreSubtotals="1" fieldPosition="0"/>
    </format>
    <format dxfId="163">
      <pivotArea dataOnly="0" labelOnly="1" outline="0" axis="axisValues" fieldPosition="0"/>
    </format>
    <format dxfId="162">
      <pivotArea outline="0" collapsedLevelsAreSubtotals="1" fieldPosition="0"/>
    </format>
    <format dxfId="161">
      <pivotArea dataOnly="0" labelOnly="1" outline="0" axis="axisValues" fieldPosition="0"/>
    </format>
    <format dxfId="160">
      <pivotArea dataOnly="0" labelOnly="1" outline="0" axis="axisValues" fieldPosition="0"/>
    </format>
    <format dxfId="159">
      <pivotArea outline="0" collapsedLevelsAreSubtotals="1" fieldPosition="0"/>
    </format>
    <format dxfId="158">
      <pivotArea dataOnly="0" labelOnly="1" outline="0" axis="axisValues" fieldPosition="0"/>
    </format>
    <format dxfId="157">
      <pivotArea outline="0" collapsedLevelsAreSubtotals="1" fieldPosition="0"/>
    </format>
    <format dxfId="156">
      <pivotArea dataOnly="0" labelOnly="1" outline="0" axis="axisValues" fieldPosition="0"/>
    </format>
    <format dxfId="155">
      <pivotArea dataOnly="0" outline="0" fieldPosition="0">
        <references count="1">
          <reference field="12" count="0" defaultSubtotal="1"/>
        </references>
      </pivotArea>
    </format>
    <format dxfId="154">
      <pivotArea outline="0" collapsedLevelsAreSubtotals="1" fieldPosition="0"/>
    </format>
    <format dxfId="153">
      <pivotArea dataOnly="0" labelOnly="1" outline="0" axis="axisValues" fieldPosition="0"/>
    </format>
    <format dxfId="152">
      <pivotArea outline="0" collapsedLevelsAreSubtotals="1" fieldPosition="0"/>
    </format>
    <format dxfId="151">
      <pivotArea dataOnly="0" labelOnly="1" outline="0" axis="axisValues" fieldPosition="0"/>
    </format>
    <format dxfId="150">
      <pivotArea dataOnly="0" outline="0" fieldPosition="0">
        <references count="1">
          <reference field="12" count="0" defaultSubtotal="1"/>
        </references>
      </pivotArea>
    </format>
    <format dxfId="149">
      <pivotArea outline="0" collapsedLevelsAreSubtotals="1" fieldPosition="0"/>
    </format>
    <format dxfId="148">
      <pivotArea dataOnly="0" labelOnly="1" outline="0" axis="axisValues" fieldPosition="0"/>
    </format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dataOnly="0" labelOnly="1" outline="0" axis="axisValues" fieldPosition="0"/>
    </format>
    <format dxfId="144">
      <pivotArea outline="0" collapsedLevelsAreSubtotals="1" fieldPosition="0"/>
    </format>
    <format dxfId="143">
      <pivotArea dataOnly="0" labelOnly="1" outline="0" axis="axisValues" fieldPosition="0"/>
    </format>
    <format dxfId="142">
      <pivotArea dataOnly="0" outline="0" fieldPosition="0">
        <references count="1">
          <reference field="12" count="0" defaultSubtotal="1"/>
        </references>
      </pivotArea>
    </format>
    <format dxfId="141">
      <pivotArea outline="0" collapsedLevelsAreSubtotals="1" fieldPosition="0"/>
    </format>
    <format dxfId="140">
      <pivotArea dataOnly="0" labelOnly="1" outline="0" axis="axisValues" fieldPosition="0"/>
    </format>
    <format dxfId="139">
      <pivotArea outline="0" collapsedLevelsAreSubtotals="1" fieldPosition="0"/>
    </format>
    <format dxfId="138">
      <pivotArea dataOnly="0" labelOnly="1" outline="0" axis="axisValues" fieldPosition="0"/>
    </format>
    <format dxfId="137">
      <pivotArea dataOnly="0" outline="0" fieldPosition="0">
        <references count="1">
          <reference field="12" count="0" defaultSubtotal="1"/>
        </references>
      </pivotArea>
    </format>
    <format dxfId="136">
      <pivotArea outline="0" collapsedLevelsAreSubtotals="1" fieldPosition="0"/>
    </format>
    <format dxfId="135">
      <pivotArea dataOnly="0" labelOnly="1" outline="0" axis="axisValues" fieldPosition="0"/>
    </format>
    <format dxfId="134">
      <pivotArea outline="0" collapsedLevelsAreSubtotals="1" fieldPosition="0"/>
    </format>
    <format dxfId="133">
      <pivotArea dataOnly="0" labelOnly="1" outline="0" axis="axisValues" fieldPosition="0"/>
    </format>
    <format dxfId="132">
      <pivotArea dataOnly="0" labelOnly="1" outline="0" axis="axisValues" fieldPosition="0"/>
    </format>
    <format dxfId="131">
      <pivotArea outline="0" collapsedLevelsAreSubtotals="1" fieldPosition="0"/>
    </format>
    <format dxfId="130">
      <pivotArea dataOnly="0" labelOnly="1" outline="0" axis="axisValues" fieldPosition="0"/>
    </format>
    <format dxfId="129">
      <pivotArea dataOnly="0" outline="0" fieldPosition="0">
        <references count="1">
          <reference field="12" count="0" defaultSubtotal="1"/>
        </references>
      </pivotArea>
    </format>
    <format dxfId="128">
      <pivotArea outline="0" collapsedLevelsAreSubtotals="1" fieldPosition="0"/>
    </format>
    <format dxfId="127">
      <pivotArea dataOnly="0" labelOnly="1" outline="0" axis="axisValues" fieldPosition="0"/>
    </format>
    <format dxfId="126">
      <pivotArea outline="0" collapsedLevelsAreSubtotals="1" fieldPosition="0"/>
    </format>
    <format dxfId="125">
      <pivotArea dataOnly="0" labelOnly="1" outline="0" axis="axisValues" fieldPosition="0"/>
    </format>
    <format dxfId="124">
      <pivotArea dataOnly="0" outline="0" fieldPosition="0">
        <references count="1">
          <reference field="12" count="0" defaultSubtotal="1"/>
        </references>
      </pivotArea>
    </format>
    <format dxfId="123">
      <pivotArea outline="0" collapsedLevelsAreSubtotals="1" fieldPosition="0"/>
    </format>
    <format dxfId="122">
      <pivotArea dataOnly="0" labelOnly="1" outline="0" axis="axisValues" fieldPosition="0"/>
    </format>
    <format dxfId="121">
      <pivotArea outline="0" collapsedLevelsAreSubtotals="1" fieldPosition="0"/>
    </format>
    <format dxfId="120">
      <pivotArea dataOnly="0" labelOnly="1" outline="0" axis="axisValues" fieldPosition="0"/>
    </format>
    <format dxfId="119">
      <pivotArea dataOnly="0" labelOnly="1" outline="0" axis="axisValues" fieldPosition="0"/>
    </format>
    <format dxfId="118">
      <pivotArea outline="0" collapsedLevelsAreSubtotals="1" fieldPosition="0"/>
    </format>
    <format dxfId="117">
      <pivotArea dataOnly="0" labelOnly="1" outline="0" axis="axisValues" fieldPosition="0"/>
    </format>
    <format dxfId="116">
      <pivotArea outline="0" collapsedLevelsAreSubtotals="1" fieldPosition="0"/>
    </format>
    <format dxfId="115">
      <pivotArea dataOnly="0" labelOnly="1" outline="0" axis="axisValues" fieldPosition="0"/>
    </format>
    <format dxfId="114">
      <pivotArea dataOnly="0" outline="0" fieldPosition="0">
        <references count="1">
          <reference field="12" count="0" defaultSubtotal="1"/>
        </references>
      </pivotArea>
    </format>
    <format dxfId="113">
      <pivotArea outline="0" collapsedLevelsAreSubtotals="1" fieldPosition="0"/>
    </format>
    <format dxfId="112">
      <pivotArea dataOnly="0" labelOnly="1" outline="0" axis="axisValues" fieldPosition="0"/>
    </format>
    <format dxfId="111">
      <pivotArea outline="0" collapsedLevelsAreSubtotals="1" fieldPosition="0"/>
    </format>
    <format dxfId="110">
      <pivotArea dataOnly="0" labelOnly="1" outline="0" axis="axisValues" fieldPosition="0"/>
    </format>
    <format dxfId="109">
      <pivotArea dataOnly="0" outline="0" fieldPosition="0">
        <references count="1">
          <reference field="12" count="0" defaultSubtotal="1"/>
        </references>
      </pivotArea>
    </format>
    <format dxfId="108">
      <pivotArea outline="0" collapsedLevelsAreSubtotals="1" fieldPosition="0"/>
    </format>
    <format dxfId="107">
      <pivotArea dataOnly="0" labelOnly="1" outline="0" axis="axisValues" fieldPosition="0"/>
    </format>
    <format dxfId="106">
      <pivotArea outline="0" collapsedLevelsAreSubtotals="1" fieldPosition="0"/>
    </format>
    <format dxfId="105">
      <pivotArea dataOnly="0" labelOnly="1" outline="0" axis="axisValues" fieldPosition="0"/>
    </format>
    <format dxfId="104">
      <pivotArea dataOnly="0" labelOnly="1" outline="0" axis="axisValues" fieldPosition="0"/>
    </format>
    <format dxfId="103">
      <pivotArea outline="0" collapsedLevelsAreSubtotals="1" fieldPosition="0"/>
    </format>
    <format dxfId="102">
      <pivotArea dataOnly="0" labelOnly="1" outline="0" axis="axisValues" fieldPosition="0"/>
    </format>
    <format dxfId="101">
      <pivotArea dataOnly="0" outline="0" fieldPosition="0">
        <references count="1">
          <reference field="12" count="0" defaultSubtotal="1"/>
        </references>
      </pivotArea>
    </format>
    <format dxfId="100">
      <pivotArea outline="0" collapsedLevelsAreSubtotals="1" fieldPosition="0"/>
    </format>
    <format dxfId="99">
      <pivotArea dataOnly="0" labelOnly="1" outline="0" axis="axisValues" fieldPosition="0"/>
    </format>
    <format dxfId="98">
      <pivotArea outline="0" collapsedLevelsAreSubtotals="1" fieldPosition="0"/>
    </format>
    <format dxfId="97">
      <pivotArea dataOnly="0" labelOnly="1" outline="0" axis="axisValues" fieldPosition="0"/>
    </format>
    <format dxfId="96">
      <pivotArea dataOnly="0" outline="0" fieldPosition="0">
        <references count="1">
          <reference field="12" count="0" defaultSubtotal="1"/>
        </references>
      </pivotArea>
    </format>
    <format dxfId="95">
      <pivotArea outline="0" collapsedLevelsAreSubtotals="1" fieldPosition="0"/>
    </format>
    <format dxfId="94">
      <pivotArea dataOnly="0" labelOnly="1" outline="0" axis="axisValues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outline="0" collapsedLevelsAreSubtotals="1" fieldPosition="0"/>
    </format>
    <format dxfId="89">
      <pivotArea dataOnly="0" labelOnly="1" outline="0" axis="axisValues" fieldPosition="0"/>
    </format>
    <format dxfId="88">
      <pivotArea dataOnly="0" outline="0" fieldPosition="0">
        <references count="1">
          <reference field="12" count="0" defaultSubtotal="1"/>
        </references>
      </pivotArea>
    </format>
    <format dxfId="87">
      <pivotArea outline="0" collapsedLevelsAreSubtotals="1" fieldPosition="0"/>
    </format>
    <format dxfId="86">
      <pivotArea dataOnly="0" labelOnly="1" outline="0" axis="axisValues" fieldPosition="0"/>
    </format>
    <format dxfId="85">
      <pivotArea outline="0" collapsedLevelsAreSubtotals="1" fieldPosition="0"/>
    </format>
    <format dxfId="84">
      <pivotArea dataOnly="0" labelOnly="1" outline="0" axis="axisValues" fieldPosition="0"/>
    </format>
    <format dxfId="83">
      <pivotArea dataOnly="0" outline="0" fieldPosition="0">
        <references count="1">
          <reference field="12" count="0" defaultSubtotal="1"/>
        </references>
      </pivotArea>
    </format>
    <format dxfId="82">
      <pivotArea outline="0" collapsedLevelsAreSubtotals="1" fieldPosition="0"/>
    </format>
    <format dxfId="81">
      <pivotArea dataOnly="0" labelOnly="1" outline="0" axis="axisValues" fieldPosition="0"/>
    </format>
    <format dxfId="80">
      <pivotArea outline="0" collapsedLevelsAreSubtotals="1" fieldPosition="0"/>
    </format>
    <format dxfId="79">
      <pivotArea dataOnly="0" labelOnly="1" outline="0" axis="axisValues" fieldPosition="0"/>
    </format>
    <format dxfId="78">
      <pivotArea dataOnly="0" labelOnly="1" outline="0" axis="axisValues" fieldPosition="0"/>
    </format>
    <format dxfId="77">
      <pivotArea outline="0" collapsedLevelsAreSubtotals="1" fieldPosition="0"/>
    </format>
    <format dxfId="76">
      <pivotArea dataOnly="0" labelOnly="1" outline="0" axis="axisValues" fieldPosition="0"/>
    </format>
    <format dxfId="75">
      <pivotArea dataOnly="0" outline="0" fieldPosition="0">
        <references count="1">
          <reference field="12" count="0" defaultSubtotal="1"/>
        </references>
      </pivotArea>
    </format>
    <format dxfId="74">
      <pivotArea outline="0" collapsedLevelsAreSubtotals="1" fieldPosition="0"/>
    </format>
    <format dxfId="73">
      <pivotArea dataOnly="0" labelOnly="1" outline="0" axis="axisValues" fieldPosition="0"/>
    </format>
    <format dxfId="72">
      <pivotArea outline="0" collapsedLevelsAreSubtotals="1" fieldPosition="0"/>
    </format>
    <format dxfId="71">
      <pivotArea dataOnly="0" labelOnly="1" outline="0" axis="axisValues" fieldPosition="0"/>
    </format>
    <format dxfId="70">
      <pivotArea dataOnly="0" outline="0" fieldPosition="0">
        <references count="1">
          <reference field="12" count="0" defaultSubtotal="1"/>
        </references>
      </pivotArea>
    </format>
    <format dxfId="69">
      <pivotArea outline="0" collapsedLevelsAreSubtotals="1" fieldPosition="0"/>
    </format>
    <format dxfId="68">
      <pivotArea dataOnly="0" labelOnly="1" outline="0" axis="axisValues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dataOnly="0" labelOnly="1" outline="0" axis="axisValues" fieldPosition="0"/>
    </format>
    <format dxfId="64">
      <pivotArea outline="0" collapsedLevelsAreSubtotals="1" fieldPosition="0"/>
    </format>
    <format dxfId="63">
      <pivotArea dataOnly="0" labelOnly="1" outline="0" axis="axisValues" fieldPosition="0"/>
    </format>
    <format dxfId="62">
      <pivotArea outline="0" collapsedLevelsAreSubtotals="1" fieldPosition="0"/>
    </format>
    <format dxfId="61">
      <pivotArea dataOnly="0" labelOnly="1" outline="0" axis="axisValues" fieldPosition="0"/>
    </format>
    <format dxfId="60">
      <pivotArea dataOnly="0" outline="0" fieldPosition="0">
        <references count="1">
          <reference field="12" count="0" defaultSubtotal="1"/>
        </references>
      </pivotArea>
    </format>
    <format dxfId="59">
      <pivotArea outline="0" collapsedLevelsAreSubtotals="1" fieldPosition="0"/>
    </format>
    <format dxfId="58">
      <pivotArea dataOnly="0" labelOnly="1" outline="0" axis="axisValues" fieldPosition="0"/>
    </format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dataOnly="0" outline="0" fieldPosition="0">
        <references count="1">
          <reference field="12" count="0" defaultSubtotal="1"/>
        </references>
      </pivotArea>
    </format>
    <format dxfId="54">
      <pivotArea outline="0" collapsedLevelsAreSubtotals="1" fieldPosition="0"/>
    </format>
    <format dxfId="53">
      <pivotArea dataOnly="0" labelOnly="1" outline="0" axis="axisValues" fieldPosition="0"/>
    </format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dataOnly="0" outline="0" fieldPosition="0">
        <references count="1">
          <reference field="12" count="0" defaultSubtotal="1"/>
        </references>
      </pivotArea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outline="0" fieldPosition="0">
        <references count="1">
          <reference field="12" count="0" defaultSubtotal="1"/>
        </references>
      </pivotArea>
    </format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outline="0" collapsedLevelsAreSubtotals="1" fieldPosition="0"/>
    </format>
    <format dxfId="38">
      <pivotArea dataOnly="0" labelOnly="1" outline="0" axis="axisValues" fieldPosition="0"/>
    </format>
    <format dxfId="37">
      <pivotArea dataOnly="0" labelOnly="1" outline="0" axis="axisValues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dataOnly="0" outline="0" fieldPosition="0">
        <references count="1">
          <reference field="12" count="0" defaultSubtotal="1"/>
        </references>
      </pivotArea>
    </format>
    <format dxfId="33">
      <pivotArea outline="0" collapsedLevelsAreSubtotals="1" fieldPosition="0"/>
    </format>
    <format dxfId="32">
      <pivotArea dataOnly="0" labelOnly="1" outline="0" axis="axisValues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  <format dxfId="29">
      <pivotArea dataOnly="0" outline="0" fieldPosition="0">
        <references count="1">
          <reference field="12" count="0" defaultSubtotal="1"/>
        </references>
      </pivotArea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dataOnly="0" outline="0" fieldPosition="0">
        <references count="1">
          <reference field="12" count="0" defaultSubtotal="1"/>
        </references>
      </pivotArea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outline="0" fieldPosition="0">
        <references count="1">
          <reference field="12" count="0" defaultSubtotal="1"/>
        </references>
      </pivotArea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22" totalsRowShown="0">
  <autoFilter ref="A1:S122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13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23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2">
      <calculatedColumnFormula>ROUND(InputData[[#This Row],[AltoCm]],0)</calculatedColumnFormula>
    </tableColumn>
    <tableColumn id="19" name="Medida" dataDxfId="21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2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418</v>
      </c>
      <c r="C2" t="s">
        <v>419</v>
      </c>
      <c r="D2" t="s">
        <v>420</v>
      </c>
      <c r="E2" t="s">
        <v>421</v>
      </c>
      <c r="F2" t="str">
        <f>LEFT(InputData[[#This Row],[Referencia]],32)</f>
        <v>Gabiota Sport</v>
      </c>
      <c r="G2" t="s">
        <v>22</v>
      </c>
      <c r="H2" t="s">
        <v>20</v>
      </c>
      <c r="I2" s="20">
        <v>131.10833333333332</v>
      </c>
      <c r="J2" t="s">
        <v>92</v>
      </c>
      <c r="K2" t="s">
        <v>422</v>
      </c>
      <c r="M2" s="21">
        <v>0</v>
      </c>
      <c r="N2" t="s">
        <v>21</v>
      </c>
      <c r="O2" s="19">
        <v>1</v>
      </c>
      <c r="P2" s="22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x14ac:dyDescent="0.2">
      <c r="A3" t="s">
        <v>19</v>
      </c>
      <c r="B3" t="s">
        <v>189</v>
      </c>
      <c r="C3" t="s">
        <v>177</v>
      </c>
      <c r="E3" t="s">
        <v>183</v>
      </c>
      <c r="F3" t="str">
        <f>LEFT(InputData[[#This Row],[Referencia]],32)</f>
        <v>NISSAN FRONTIER 2.5 4x4 cuero-Ca</v>
      </c>
      <c r="G3" t="s">
        <v>22</v>
      </c>
      <c r="H3" t="s">
        <v>23</v>
      </c>
      <c r="I3" s="20">
        <v>89.189285714285731</v>
      </c>
      <c r="J3" t="s">
        <v>92</v>
      </c>
      <c r="K3" t="s">
        <v>176</v>
      </c>
      <c r="M3" s="21">
        <v>0</v>
      </c>
      <c r="N3" t="s">
        <v>21</v>
      </c>
      <c r="O3" s="19">
        <v>1</v>
      </c>
      <c r="P3" s="22">
        <v>4.0000000010000001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4</v>
      </c>
      <c r="S3" t="str">
        <f>InputData[[#This Row],[Col]]&amp;"x"&amp;IF(LEN(InputData[[#This Row],[Alto]])=2,InputData[[#This Row],[Alto]],"0"&amp;InputData[[#This Row],[Alto]])</f>
        <v>1x04</v>
      </c>
    </row>
    <row r="4" spans="1:19" x14ac:dyDescent="0.2">
      <c r="A4" t="s">
        <v>19</v>
      </c>
      <c r="B4" t="s">
        <v>289</v>
      </c>
      <c r="C4" t="s">
        <v>290</v>
      </c>
      <c r="E4" t="s">
        <v>291</v>
      </c>
      <c r="F4" t="str">
        <f>LEFT(InputData[[#This Row],[Referencia]],32)</f>
        <v xml:space="preserve">TOYOTA HILUX SRV 2013 3.0 full, </v>
      </c>
      <c r="G4" t="s">
        <v>22</v>
      </c>
      <c r="H4" t="s">
        <v>23</v>
      </c>
      <c r="I4" s="20">
        <v>44.594285714285718</v>
      </c>
      <c r="J4" t="s">
        <v>92</v>
      </c>
      <c r="K4" t="s">
        <v>176</v>
      </c>
      <c r="M4" s="21">
        <v>0</v>
      </c>
      <c r="N4" t="s">
        <v>21</v>
      </c>
      <c r="O4" s="19">
        <v>1</v>
      </c>
      <c r="P4" s="22">
        <v>2.0000000005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</v>
      </c>
      <c r="S4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t="s">
        <v>19</v>
      </c>
      <c r="B5" t="s">
        <v>325</v>
      </c>
      <c r="C5" t="s">
        <v>326</v>
      </c>
      <c r="E5" t="s">
        <v>327</v>
      </c>
      <c r="F5" t="str">
        <f>LEFT(InputData[[#This Row],[Referencia]],32)</f>
        <v>TOYOTA SW4 full,  mod/2016, 76.0</v>
      </c>
      <c r="G5" t="s">
        <v>22</v>
      </c>
      <c r="H5" t="s">
        <v>23</v>
      </c>
      <c r="I5" s="20">
        <v>44.594285714285718</v>
      </c>
      <c r="J5" t="s">
        <v>92</v>
      </c>
      <c r="K5" t="s">
        <v>176</v>
      </c>
      <c r="M5" s="21">
        <v>0</v>
      </c>
      <c r="N5" t="s">
        <v>21</v>
      </c>
      <c r="O5" s="19">
        <v>1</v>
      </c>
      <c r="P5" s="22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19</v>
      </c>
      <c r="B6" t="s">
        <v>184</v>
      </c>
      <c r="C6" t="s">
        <v>109</v>
      </c>
      <c r="D6" t="s">
        <v>127</v>
      </c>
      <c r="E6" t="s">
        <v>128</v>
      </c>
      <c r="F6" t="str">
        <f>LEFT(InputData[[#This Row],[Referencia]],32)</f>
        <v>GNC MYN GRAN PROMOCION...</v>
      </c>
      <c r="G6" t="s">
        <v>22</v>
      </c>
      <c r="H6" t="s">
        <v>20</v>
      </c>
      <c r="I6" s="20">
        <v>136.21636363636364</v>
      </c>
      <c r="J6" t="s">
        <v>92</v>
      </c>
      <c r="K6" t="s">
        <v>70</v>
      </c>
      <c r="M6" s="21">
        <v>0</v>
      </c>
      <c r="N6" t="s">
        <v>21</v>
      </c>
      <c r="O6" s="19">
        <v>1</v>
      </c>
      <c r="P6" s="22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19</v>
      </c>
      <c r="B7" t="s">
        <v>206</v>
      </c>
      <c r="C7" t="s">
        <v>93</v>
      </c>
      <c r="D7" t="s">
        <v>132</v>
      </c>
      <c r="E7" t="s">
        <v>94</v>
      </c>
      <c r="F7" t="str">
        <f>LEFT(InputData[[#This Row],[Referencia]],32)</f>
        <v>NORTE GNC</v>
      </c>
      <c r="G7" t="s">
        <v>22</v>
      </c>
      <c r="H7" t="s">
        <v>20</v>
      </c>
      <c r="I7" s="20">
        <v>132.92064516129031</v>
      </c>
      <c r="J7" t="s">
        <v>92</v>
      </c>
      <c r="K7" t="s">
        <v>70</v>
      </c>
      <c r="M7" s="21">
        <v>0</v>
      </c>
      <c r="N7" t="s">
        <v>21</v>
      </c>
      <c r="O7" s="19">
        <v>1</v>
      </c>
      <c r="P7" s="22">
        <v>6.0000000015000001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 x14ac:dyDescent="0.2">
      <c r="A8" t="s">
        <v>19</v>
      </c>
      <c r="B8" t="s">
        <v>423</v>
      </c>
      <c r="C8" t="s">
        <v>424</v>
      </c>
      <c r="D8" t="s">
        <v>425</v>
      </c>
      <c r="E8" t="s">
        <v>426</v>
      </c>
      <c r="F8" t="str">
        <f>LEFT(InputData[[#This Row],[Referencia]],32)</f>
        <v>LCB POLARIZADOS ...</v>
      </c>
      <c r="G8" t="s">
        <v>22</v>
      </c>
      <c r="H8" t="s">
        <v>20</v>
      </c>
      <c r="I8" s="20">
        <v>117.06125</v>
      </c>
      <c r="J8" t="s">
        <v>92</v>
      </c>
      <c r="K8" t="s">
        <v>70</v>
      </c>
      <c r="M8" s="21">
        <v>0</v>
      </c>
      <c r="N8" t="s">
        <v>21</v>
      </c>
      <c r="O8" s="19">
        <v>1</v>
      </c>
      <c r="P8" s="22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1x05</v>
      </c>
    </row>
    <row r="9" spans="1:19" x14ac:dyDescent="0.2">
      <c r="A9" t="s">
        <v>19</v>
      </c>
      <c r="B9" t="s">
        <v>383</v>
      </c>
      <c r="C9" t="s">
        <v>348</v>
      </c>
      <c r="E9" t="s">
        <v>349</v>
      </c>
      <c r="F9" t="str">
        <f>LEFT(InputData[[#This Row],[Referencia]],32)</f>
        <v>BIO GNC ENERGIA “Siempre más GAS</v>
      </c>
      <c r="G9" t="s">
        <v>22</v>
      </c>
      <c r="H9" t="s">
        <v>23</v>
      </c>
      <c r="I9" s="20">
        <v>196.66199999999998</v>
      </c>
      <c r="J9" t="s">
        <v>92</v>
      </c>
      <c r="K9" t="s">
        <v>70</v>
      </c>
      <c r="M9" s="21">
        <v>0</v>
      </c>
      <c r="N9" t="s">
        <v>21</v>
      </c>
      <c r="O9" s="19">
        <v>1</v>
      </c>
      <c r="P9" s="22">
        <v>8.9999999987222221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9</v>
      </c>
      <c r="S9" t="str">
        <f>InputData[[#This Row],[Col]]&amp;"x"&amp;IF(LEN(InputData[[#This Row],[Alto]])=2,InputData[[#This Row],[Alto]],"0"&amp;InputData[[#This Row],[Alto]])</f>
        <v>1x09</v>
      </c>
    </row>
    <row r="10" spans="1:19" x14ac:dyDescent="0.2">
      <c r="A10" t="s">
        <v>19</v>
      </c>
      <c r="B10" t="s">
        <v>350</v>
      </c>
      <c r="C10" t="s">
        <v>351</v>
      </c>
      <c r="E10" t="s">
        <v>352</v>
      </c>
      <c r="F10" t="str">
        <f>LEFT(InputData[[#This Row],[Referencia]],32)</f>
        <v>IMPORTANTE  TERRENO *ESQUINA* 1.</v>
      </c>
      <c r="G10" t="s">
        <v>22</v>
      </c>
      <c r="H10" t="s">
        <v>23</v>
      </c>
      <c r="I10" s="20">
        <v>62.432666666666677</v>
      </c>
      <c r="J10" t="s">
        <v>92</v>
      </c>
      <c r="K10" t="s">
        <v>69</v>
      </c>
      <c r="M10" s="21">
        <v>0</v>
      </c>
      <c r="N10" t="s">
        <v>21</v>
      </c>
      <c r="O10" s="19">
        <v>1</v>
      </c>
      <c r="P10" s="22">
        <v>4.0000000010000001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4</v>
      </c>
      <c r="S10" t="str">
        <f>InputData[[#This Row],[Col]]&amp;"x"&amp;IF(LEN(InputData[[#This Row],[Alto]])=2,InputData[[#This Row],[Alto]],"0"&amp;InputData[[#This Row],[Alto]])</f>
        <v>1x04</v>
      </c>
    </row>
    <row r="11" spans="1:19" x14ac:dyDescent="0.2">
      <c r="A11" t="s">
        <v>19</v>
      </c>
      <c r="B11" t="s">
        <v>353</v>
      </c>
      <c r="C11" t="s">
        <v>351</v>
      </c>
      <c r="E11" t="s">
        <v>354</v>
      </c>
      <c r="F11" t="str">
        <f>LEFT(InputData[[#This Row],[Referencia]],32)</f>
        <v xml:space="preserve">PERICO  VENDO 2 TERRENOS juntos </v>
      </c>
      <c r="G11" t="s">
        <v>22</v>
      </c>
      <c r="H11" t="s">
        <v>23</v>
      </c>
      <c r="I11" s="20">
        <v>46.824333333333335</v>
      </c>
      <c r="J11" t="s">
        <v>92</v>
      </c>
      <c r="K11" t="s">
        <v>69</v>
      </c>
      <c r="M11" s="21">
        <v>0</v>
      </c>
      <c r="N11" t="s">
        <v>21</v>
      </c>
      <c r="O11" s="19">
        <v>1</v>
      </c>
      <c r="P11" s="22">
        <v>3.0000000007500001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1x03</v>
      </c>
    </row>
    <row r="12" spans="1:19" x14ac:dyDescent="0.2">
      <c r="A12" t="s">
        <v>19</v>
      </c>
      <c r="B12" t="s">
        <v>271</v>
      </c>
      <c r="C12" t="s">
        <v>24</v>
      </c>
      <c r="D12" t="s">
        <v>133</v>
      </c>
      <c r="E12" t="s">
        <v>71</v>
      </c>
      <c r="F12" t="str">
        <f>LEFT(InputData[[#This Row],[Referencia]],32)</f>
        <v>RQ VENTA DE TERRENOS</v>
      </c>
      <c r="G12" t="s">
        <v>22</v>
      </c>
      <c r="H12" t="s">
        <v>20</v>
      </c>
      <c r="I12" s="20">
        <v>132.92064516129031</v>
      </c>
      <c r="J12" t="s">
        <v>92</v>
      </c>
      <c r="K12" t="s">
        <v>69</v>
      </c>
      <c r="M12" s="21">
        <v>0</v>
      </c>
      <c r="N12" t="s">
        <v>21</v>
      </c>
      <c r="O12" s="19">
        <v>1</v>
      </c>
      <c r="P12" s="22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1x06</v>
      </c>
    </row>
    <row r="13" spans="1:19" x14ac:dyDescent="0.2">
      <c r="A13" t="s">
        <v>19</v>
      </c>
      <c r="B13" t="s">
        <v>190</v>
      </c>
      <c r="C13" t="s">
        <v>185</v>
      </c>
      <c r="E13" t="s">
        <v>186</v>
      </c>
      <c r="F13" t="str">
        <f>LEFT(InputData[[#This Row],[Referencia]],32)</f>
        <v>VENDO TERRENO  15x40, DIQUE La C</v>
      </c>
      <c r="G13" t="s">
        <v>22</v>
      </c>
      <c r="H13" t="s">
        <v>23</v>
      </c>
      <c r="I13" s="20">
        <v>37.459666666666664</v>
      </c>
      <c r="J13" t="s">
        <v>9</v>
      </c>
      <c r="K13" t="s">
        <v>69</v>
      </c>
      <c r="M13" s="21">
        <v>0</v>
      </c>
      <c r="N13" t="s">
        <v>21</v>
      </c>
      <c r="O13" s="19">
        <v>1</v>
      </c>
      <c r="P13" s="22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427</v>
      </c>
      <c r="C14" t="s">
        <v>428</v>
      </c>
      <c r="E14" t="s">
        <v>429</v>
      </c>
      <c r="F14" t="str">
        <f>LEFT(InputData[[#This Row],[Referencia]],32)</f>
        <v>DÑO. VDE. LOTE. PALPALÁ. B° Virg</v>
      </c>
      <c r="G14" t="s">
        <v>22</v>
      </c>
      <c r="H14" t="s">
        <v>23</v>
      </c>
      <c r="I14" s="20">
        <v>66.891428571428577</v>
      </c>
      <c r="J14" t="s">
        <v>92</v>
      </c>
      <c r="K14" t="s">
        <v>69</v>
      </c>
      <c r="M14" s="21">
        <v>0</v>
      </c>
      <c r="N14" t="s">
        <v>45</v>
      </c>
      <c r="O14" s="19">
        <v>1</v>
      </c>
      <c r="P14" s="22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242</v>
      </c>
      <c r="C15" t="s">
        <v>243</v>
      </c>
      <c r="E15" t="s">
        <v>244</v>
      </c>
      <c r="F15" t="str">
        <f>LEFT(InputData[[#This Row],[Referencia]],32)</f>
        <v>ARNEDO INMOBILIARIA  VENDE 2 Dpt</v>
      </c>
      <c r="G15" t="s">
        <v>22</v>
      </c>
      <c r="H15" t="s">
        <v>23</v>
      </c>
      <c r="I15" s="20">
        <v>62.432666666666677</v>
      </c>
      <c r="J15" t="s">
        <v>92</v>
      </c>
      <c r="K15" t="s">
        <v>75</v>
      </c>
      <c r="M15" s="21">
        <v>0</v>
      </c>
      <c r="N15" t="s">
        <v>21</v>
      </c>
      <c r="O15" s="19">
        <v>1</v>
      </c>
      <c r="P15" s="22">
        <v>4.0000000010000001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4</v>
      </c>
      <c r="S15" t="str">
        <f>InputData[[#This Row],[Col]]&amp;"x"&amp;IF(LEN(InputData[[#This Row],[Alto]])=2,InputData[[#This Row],[Alto]],"0"&amp;InputData[[#This Row],[Alto]])</f>
        <v>1x04</v>
      </c>
    </row>
    <row r="16" spans="1:19" x14ac:dyDescent="0.2">
      <c r="A16" t="s">
        <v>19</v>
      </c>
      <c r="B16" t="s">
        <v>209</v>
      </c>
      <c r="C16" t="s">
        <v>210</v>
      </c>
      <c r="E16" t="s">
        <v>211</v>
      </c>
      <c r="F16" t="str">
        <f>LEFT(InputData[[#This Row],[Referencia]],32)</f>
        <v>DUEÑO VENDE DUPLEX a estrenar, 2</v>
      </c>
      <c r="G16" t="s">
        <v>22</v>
      </c>
      <c r="H16" t="s">
        <v>23</v>
      </c>
      <c r="I16" s="20">
        <v>66.892142857142858</v>
      </c>
      <c r="J16" t="s">
        <v>92</v>
      </c>
      <c r="K16" t="s">
        <v>75</v>
      </c>
      <c r="M16" s="21">
        <v>0</v>
      </c>
      <c r="N16" t="s">
        <v>21</v>
      </c>
      <c r="O16" s="19">
        <v>1</v>
      </c>
      <c r="P16" s="22">
        <v>3.0000000007500001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1x03</v>
      </c>
    </row>
    <row r="17" spans="1:19" x14ac:dyDescent="0.2">
      <c r="A17" t="s">
        <v>19</v>
      </c>
      <c r="B17" t="s">
        <v>356</v>
      </c>
      <c r="C17" t="s">
        <v>355</v>
      </c>
      <c r="E17" t="s">
        <v>357</v>
      </c>
      <c r="F17" t="str">
        <f>LEFT(InputData[[#This Row],[Referencia]],32)</f>
        <v xml:space="preserve">SEVERINO  VENDO  100 HAS PERICO </v>
      </c>
      <c r="G17" t="s">
        <v>22</v>
      </c>
      <c r="H17" t="s">
        <v>23</v>
      </c>
      <c r="I17" s="20">
        <v>152.95999999999998</v>
      </c>
      <c r="J17" t="s">
        <v>92</v>
      </c>
      <c r="K17" t="s">
        <v>75</v>
      </c>
      <c r="M17" s="21">
        <v>0</v>
      </c>
      <c r="N17" t="s">
        <v>21</v>
      </c>
      <c r="O17" s="19">
        <v>1</v>
      </c>
      <c r="P17" s="22">
        <v>7.0000000017499984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7</v>
      </c>
      <c r="S17" t="str">
        <f>InputData[[#This Row],[Col]]&amp;"x"&amp;IF(LEN(InputData[[#This Row],[Alto]])=2,InputData[[#This Row],[Alto]],"0"&amp;InputData[[#This Row],[Alto]])</f>
        <v>1x07</v>
      </c>
    </row>
    <row r="18" spans="1:19" x14ac:dyDescent="0.2">
      <c r="A18" t="s">
        <v>19</v>
      </c>
      <c r="B18" t="s">
        <v>272</v>
      </c>
      <c r="C18" t="s">
        <v>273</v>
      </c>
      <c r="E18" t="s">
        <v>274</v>
      </c>
      <c r="F18" t="str">
        <f>LEFT(InputData[[#This Row],[Referencia]],32)</f>
        <v>GESPO INMOBILIARIA  ALQUILERES -</v>
      </c>
      <c r="G18" t="s">
        <v>22</v>
      </c>
      <c r="H18" t="s">
        <v>23</v>
      </c>
      <c r="I18" s="20">
        <v>428.10857142857145</v>
      </c>
      <c r="J18" t="s">
        <v>9</v>
      </c>
      <c r="K18" t="s">
        <v>75</v>
      </c>
      <c r="M18" s="21">
        <v>0</v>
      </c>
      <c r="N18" t="s">
        <v>21</v>
      </c>
      <c r="O18" s="19">
        <v>1</v>
      </c>
      <c r="P18" s="22">
        <v>15.000000000222226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15</v>
      </c>
      <c r="S18" t="str">
        <f>InputData[[#This Row],[Col]]&amp;"x"&amp;IF(LEN(InputData[[#This Row],[Alto]])=2,InputData[[#This Row],[Alto]],"0"&amp;InputData[[#This Row],[Alto]])</f>
        <v>1x15</v>
      </c>
    </row>
    <row r="19" spans="1:19" x14ac:dyDescent="0.2">
      <c r="A19" t="s">
        <v>19</v>
      </c>
      <c r="B19" t="s">
        <v>384</v>
      </c>
      <c r="C19" t="s">
        <v>134</v>
      </c>
      <c r="E19" t="s">
        <v>135</v>
      </c>
      <c r="F19" t="str">
        <f>LEFT(InputData[[#This Row],[Referencia]],32)</f>
        <v>CAÑAS VENTA *Excluisiva propieda</v>
      </c>
      <c r="G19" t="s">
        <v>22</v>
      </c>
      <c r="H19" t="s">
        <v>23</v>
      </c>
      <c r="I19" s="20">
        <v>222.97285714285715</v>
      </c>
      <c r="J19" t="s">
        <v>92</v>
      </c>
      <c r="K19" t="s">
        <v>75</v>
      </c>
      <c r="M19" s="21">
        <v>0</v>
      </c>
      <c r="N19" t="s">
        <v>21</v>
      </c>
      <c r="O19" s="19">
        <v>1</v>
      </c>
      <c r="P19" s="22">
        <v>9.999999998972223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1x10</v>
      </c>
    </row>
    <row r="20" spans="1:19" x14ac:dyDescent="0.2">
      <c r="A20" t="s">
        <v>19</v>
      </c>
      <c r="B20" t="s">
        <v>245</v>
      </c>
      <c r="C20" t="s">
        <v>112</v>
      </c>
      <c r="D20" t="s">
        <v>136</v>
      </c>
      <c r="E20" t="s">
        <v>113</v>
      </c>
      <c r="F20" t="str">
        <f>LEFT(InputData[[#This Row],[Referencia]],32)</f>
        <v>FERRETERIA CARBAJAL</v>
      </c>
      <c r="G20" t="s">
        <v>22</v>
      </c>
      <c r="H20" t="s">
        <v>20</v>
      </c>
      <c r="I20" s="20">
        <v>221.53451612903228</v>
      </c>
      <c r="J20" t="s">
        <v>92</v>
      </c>
      <c r="K20" t="s">
        <v>25</v>
      </c>
      <c r="M20" s="21">
        <v>0</v>
      </c>
      <c r="N20" t="s">
        <v>21</v>
      </c>
      <c r="O20" s="19">
        <v>1</v>
      </c>
      <c r="P20" s="22">
        <v>9.999999998972223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x14ac:dyDescent="0.2">
      <c r="A21" t="s">
        <v>19</v>
      </c>
      <c r="B21" t="s">
        <v>430</v>
      </c>
      <c r="C21" t="s">
        <v>90</v>
      </c>
      <c r="D21" t="s">
        <v>431</v>
      </c>
      <c r="E21" t="s">
        <v>432</v>
      </c>
      <c r="F21" t="str">
        <f>LEFT(InputData[[#This Row],[Referencia]],32)</f>
        <v>DERGAM</v>
      </c>
      <c r="G21" t="s">
        <v>22</v>
      </c>
      <c r="H21" t="s">
        <v>20</v>
      </c>
      <c r="I21" s="20">
        <v>360.18769230769226</v>
      </c>
      <c r="J21" t="s">
        <v>92</v>
      </c>
      <c r="K21" t="s">
        <v>25</v>
      </c>
      <c r="M21" s="21">
        <v>0</v>
      </c>
      <c r="N21" t="s">
        <v>21</v>
      </c>
      <c r="O21" s="19">
        <v>1</v>
      </c>
      <c r="P21" s="22">
        <v>15.000000000222226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15</v>
      </c>
      <c r="S21" t="str">
        <f>InputData[[#This Row],[Col]]&amp;"x"&amp;IF(LEN(InputData[[#This Row],[Alto]])=2,InputData[[#This Row],[Alto]],"0"&amp;InputData[[#This Row],[Alto]])</f>
        <v>1x15</v>
      </c>
    </row>
    <row r="22" spans="1:19" x14ac:dyDescent="0.2">
      <c r="A22" t="s">
        <v>19</v>
      </c>
      <c r="B22" t="s">
        <v>385</v>
      </c>
      <c r="C22" t="s">
        <v>26</v>
      </c>
      <c r="D22" t="s">
        <v>137</v>
      </c>
      <c r="E22" t="s">
        <v>27</v>
      </c>
      <c r="F22" t="str">
        <f>LEFT(InputData[[#This Row],[Referencia]],32)</f>
        <v>CARMOTO FERRETERIA INDUSTRIAL</v>
      </c>
      <c r="G22" t="s">
        <v>22</v>
      </c>
      <c r="H22" t="s">
        <v>20</v>
      </c>
      <c r="I22" s="20">
        <v>310.14870967741939</v>
      </c>
      <c r="J22" t="s">
        <v>92</v>
      </c>
      <c r="K22" t="s">
        <v>25</v>
      </c>
      <c r="M22" s="21">
        <v>0</v>
      </c>
      <c r="N22" t="s">
        <v>21</v>
      </c>
      <c r="O22" s="19">
        <v>1</v>
      </c>
      <c r="P22" s="22">
        <v>13.999999999972225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14</v>
      </c>
      <c r="S22" t="str">
        <f>InputData[[#This Row],[Col]]&amp;"x"&amp;IF(LEN(InputData[[#This Row],[Alto]])=2,InputData[[#This Row],[Alto]],"0"&amp;InputData[[#This Row],[Alto]])</f>
        <v>1x14</v>
      </c>
    </row>
    <row r="23" spans="1:19" x14ac:dyDescent="0.2">
      <c r="A23" t="s">
        <v>19</v>
      </c>
      <c r="B23" t="s">
        <v>191</v>
      </c>
      <c r="C23" t="s">
        <v>192</v>
      </c>
      <c r="E23" t="s">
        <v>193</v>
      </c>
      <c r="F23" t="str">
        <f>LEFT(InputData[[#This Row],[Referencia]],32)</f>
        <v xml:space="preserve">VENDEDOR IMPORTANTE EMPRESA DEL </v>
      </c>
      <c r="G23" t="s">
        <v>22</v>
      </c>
      <c r="H23" t="s">
        <v>23</v>
      </c>
      <c r="I23" s="20">
        <v>178.37857142857146</v>
      </c>
      <c r="J23" t="s">
        <v>92</v>
      </c>
      <c r="K23" t="s">
        <v>74</v>
      </c>
      <c r="M23" s="21">
        <v>0</v>
      </c>
      <c r="N23" t="s">
        <v>21</v>
      </c>
      <c r="O23" s="19">
        <v>1</v>
      </c>
      <c r="P23" s="22">
        <v>7.9999999984722239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8</v>
      </c>
      <c r="S23" t="str">
        <f>InputData[[#This Row],[Col]]&amp;"x"&amp;IF(LEN(InputData[[#This Row],[Alto]])=2,InputData[[#This Row],[Alto]],"0"&amp;InputData[[#This Row],[Alto]])</f>
        <v>1x08</v>
      </c>
    </row>
    <row r="24" spans="1:19" x14ac:dyDescent="0.2">
      <c r="A24" t="s">
        <v>19</v>
      </c>
      <c r="B24" t="s">
        <v>246</v>
      </c>
      <c r="C24" t="s">
        <v>247</v>
      </c>
      <c r="E24" t="s">
        <v>248</v>
      </c>
      <c r="F24" t="str">
        <f>LEFT(InputData[[#This Row],[Referencia]],32)</f>
        <v xml:space="preserve">RECEPCIONISTA  PARA CONSULTORIO </v>
      </c>
      <c r="G24" t="s">
        <v>22</v>
      </c>
      <c r="H24" t="s">
        <v>23</v>
      </c>
      <c r="I24" s="20">
        <v>89.190000000000026</v>
      </c>
      <c r="J24" t="s">
        <v>92</v>
      </c>
      <c r="K24" t="s">
        <v>74</v>
      </c>
      <c r="M24" s="21">
        <v>0</v>
      </c>
      <c r="N24" t="s">
        <v>21</v>
      </c>
      <c r="O24" s="19">
        <v>1</v>
      </c>
      <c r="P24" s="22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1x04</v>
      </c>
    </row>
    <row r="25" spans="1:19" x14ac:dyDescent="0.2">
      <c r="A25" t="s">
        <v>19</v>
      </c>
      <c r="B25" t="s">
        <v>249</v>
      </c>
      <c r="C25" t="s">
        <v>250</v>
      </c>
      <c r="E25" t="s">
        <v>251</v>
      </c>
      <c r="F25" t="str">
        <f>LEFT(InputData[[#This Row],[Referencia]],32)</f>
        <v>BUSCO CAMIONES, SEMIACOPLADOS-CA</v>
      </c>
      <c r="G25" t="s">
        <v>22</v>
      </c>
      <c r="H25" t="s">
        <v>23</v>
      </c>
      <c r="I25" s="20">
        <v>66.891428571428577</v>
      </c>
      <c r="J25" t="s">
        <v>92</v>
      </c>
      <c r="K25" t="s">
        <v>74</v>
      </c>
      <c r="M25" s="21">
        <v>0</v>
      </c>
      <c r="N25" t="s">
        <v>21</v>
      </c>
      <c r="O25" s="19">
        <v>1</v>
      </c>
      <c r="P25" s="22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t="s">
        <v>19</v>
      </c>
      <c r="B26" t="s">
        <v>252</v>
      </c>
      <c r="C26" t="s">
        <v>250</v>
      </c>
      <c r="E26" t="s">
        <v>253</v>
      </c>
      <c r="F26" t="str">
        <f>LEFT(InputData[[#This Row],[Referencia]],32)</f>
        <v>SE NECESITA SECRETARIA  CON EXPE</v>
      </c>
      <c r="G26" t="s">
        <v>22</v>
      </c>
      <c r="H26" t="s">
        <v>23</v>
      </c>
      <c r="I26" s="20">
        <v>66.891428571428577</v>
      </c>
      <c r="J26" t="s">
        <v>92</v>
      </c>
      <c r="K26" t="s">
        <v>74</v>
      </c>
      <c r="M26" s="21">
        <v>0</v>
      </c>
      <c r="N26" t="s">
        <v>21</v>
      </c>
      <c r="O26" s="19">
        <v>1</v>
      </c>
      <c r="P26" s="22">
        <v>3.0000000007500001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1x03</v>
      </c>
    </row>
    <row r="27" spans="1:19" x14ac:dyDescent="0.2">
      <c r="A27" t="s">
        <v>19</v>
      </c>
      <c r="B27" t="s">
        <v>254</v>
      </c>
      <c r="C27" t="s">
        <v>187</v>
      </c>
      <c r="D27" t="s">
        <v>255</v>
      </c>
      <c r="E27" t="s">
        <v>256</v>
      </c>
      <c r="F27" t="str">
        <f>LEFT(InputData[[#This Row],[Referencia]],32)</f>
        <v>EMP DE BEBIDAS SOMMELIER</v>
      </c>
      <c r="G27" t="s">
        <v>22</v>
      </c>
      <c r="H27" t="s">
        <v>20</v>
      </c>
      <c r="I27" s="20">
        <v>133.78428571428572</v>
      </c>
      <c r="J27" t="s">
        <v>92</v>
      </c>
      <c r="K27" t="s">
        <v>74</v>
      </c>
      <c r="M27" s="21">
        <v>0</v>
      </c>
      <c r="N27" t="s">
        <v>21</v>
      </c>
      <c r="O27" s="19">
        <v>1</v>
      </c>
      <c r="P27" s="22">
        <v>6.0000000015000001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x14ac:dyDescent="0.2">
      <c r="A28" t="s">
        <v>19</v>
      </c>
      <c r="B28" t="s">
        <v>257</v>
      </c>
      <c r="C28" t="s">
        <v>187</v>
      </c>
      <c r="D28" t="s">
        <v>258</v>
      </c>
      <c r="E28" t="s">
        <v>259</v>
      </c>
      <c r="F28" t="str">
        <f>LEFT(InputData[[#This Row],[Referencia]],32)</f>
        <v>EMP DEL MEDIO - PREVENTISTAS</v>
      </c>
      <c r="G28" t="s">
        <v>22</v>
      </c>
      <c r="H28" t="s">
        <v>20</v>
      </c>
      <c r="I28" s="20">
        <v>133.78428571428572</v>
      </c>
      <c r="J28" t="s">
        <v>92</v>
      </c>
      <c r="K28" t="s">
        <v>74</v>
      </c>
      <c r="M28" s="21">
        <v>0</v>
      </c>
      <c r="N28" t="s">
        <v>21</v>
      </c>
      <c r="O28" s="19">
        <v>1</v>
      </c>
      <c r="P28" s="22">
        <v>6.0000000015000001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x14ac:dyDescent="0.2">
      <c r="A29" t="s">
        <v>19</v>
      </c>
      <c r="B29" t="s">
        <v>292</v>
      </c>
      <c r="C29" t="s">
        <v>194</v>
      </c>
      <c r="D29" t="s">
        <v>293</v>
      </c>
      <c r="E29" t="s">
        <v>196</v>
      </c>
      <c r="F29" t="str">
        <f>LEFT(InputData[[#This Row],[Referencia]],32)</f>
        <v>EMPRESA CONSTRUCTORA NECESITA AR</v>
      </c>
      <c r="G29" t="s">
        <v>22</v>
      </c>
      <c r="H29" t="s">
        <v>20</v>
      </c>
      <c r="I29" s="20">
        <v>133.78428571428572</v>
      </c>
      <c r="J29" t="s">
        <v>92</v>
      </c>
      <c r="K29" t="s">
        <v>74</v>
      </c>
      <c r="M29" s="21">
        <v>0</v>
      </c>
      <c r="N29" t="s">
        <v>21</v>
      </c>
      <c r="O29" s="19">
        <v>1</v>
      </c>
      <c r="P29" s="22">
        <v>6.0000000015000001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x14ac:dyDescent="0.2">
      <c r="A30" t="s">
        <v>19</v>
      </c>
      <c r="B30" t="s">
        <v>294</v>
      </c>
      <c r="C30" t="s">
        <v>194</v>
      </c>
      <c r="D30" t="s">
        <v>295</v>
      </c>
      <c r="E30" t="s">
        <v>195</v>
      </c>
      <c r="F30" t="str">
        <f>LEFT(InputData[[#This Row],[Referencia]],32)</f>
        <v>OFICIAL ½ OFICIAL Empresa constr</v>
      </c>
      <c r="G30" t="s">
        <v>22</v>
      </c>
      <c r="H30" t="s">
        <v>20</v>
      </c>
      <c r="I30" s="20">
        <v>133.78428571428572</v>
      </c>
      <c r="J30" t="s">
        <v>92</v>
      </c>
      <c r="K30" t="s">
        <v>74</v>
      </c>
      <c r="M30" s="21">
        <v>0</v>
      </c>
      <c r="N30" t="s">
        <v>21</v>
      </c>
      <c r="O30" s="19">
        <v>1</v>
      </c>
      <c r="P30" s="22">
        <v>6.0000000015000001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1x06</v>
      </c>
    </row>
    <row r="31" spans="1:19" x14ac:dyDescent="0.2">
      <c r="A31" t="s">
        <v>19</v>
      </c>
      <c r="B31" t="s">
        <v>296</v>
      </c>
      <c r="C31" t="s">
        <v>297</v>
      </c>
      <c r="E31" t="s">
        <v>298</v>
      </c>
      <c r="F31" t="str">
        <f>LEFT(InputData[[#This Row],[Referencia]],32)</f>
        <v>SE  BUSCA MEDICO /A para turno d</v>
      </c>
      <c r="G31" t="s">
        <v>22</v>
      </c>
      <c r="H31" t="s">
        <v>23</v>
      </c>
      <c r="I31" s="20">
        <v>31.216333333333338</v>
      </c>
      <c r="J31" t="s">
        <v>92</v>
      </c>
      <c r="K31" t="s">
        <v>74</v>
      </c>
      <c r="M31" s="21">
        <v>0</v>
      </c>
      <c r="N31" t="s">
        <v>21</v>
      </c>
      <c r="O31" s="19">
        <v>1</v>
      </c>
      <c r="P31" s="22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1x02</v>
      </c>
    </row>
    <row r="32" spans="1:19" x14ac:dyDescent="0.2">
      <c r="A32" t="s">
        <v>19</v>
      </c>
      <c r="B32" t="s">
        <v>299</v>
      </c>
      <c r="C32" t="s">
        <v>212</v>
      </c>
      <c r="D32" t="s">
        <v>300</v>
      </c>
      <c r="E32" t="s">
        <v>301</v>
      </c>
      <c r="F32" t="str">
        <f>LEFT(InputData[[#This Row],[Referencia]],32)</f>
        <v>Buscamos ASESOR DE VENTAS con Ex</v>
      </c>
      <c r="G32" t="s">
        <v>22</v>
      </c>
      <c r="H32" t="s">
        <v>20</v>
      </c>
      <c r="I32" s="20">
        <v>89.189285714285731</v>
      </c>
      <c r="J32" t="s">
        <v>92</v>
      </c>
      <c r="K32" t="s">
        <v>74</v>
      </c>
      <c r="M32" s="21">
        <v>0</v>
      </c>
      <c r="N32" t="s">
        <v>21</v>
      </c>
      <c r="O32" s="19">
        <v>1</v>
      </c>
      <c r="P32" s="22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1x04</v>
      </c>
    </row>
    <row r="33" spans="1:19" x14ac:dyDescent="0.2">
      <c r="A33" t="s">
        <v>19</v>
      </c>
      <c r="B33" t="s">
        <v>328</v>
      </c>
      <c r="C33" t="s">
        <v>329</v>
      </c>
      <c r="E33" t="s">
        <v>330</v>
      </c>
      <c r="F33" t="str">
        <f>LEFT(InputData[[#This Row],[Referencia]],32)</f>
        <v xml:space="preserve">IMPORTANTE EMPRESA ONSTRUCTORA  </v>
      </c>
      <c r="G33" t="s">
        <v>22</v>
      </c>
      <c r="H33" t="s">
        <v>23</v>
      </c>
      <c r="I33" s="20">
        <v>111.48714285714287</v>
      </c>
      <c r="J33" t="s">
        <v>92</v>
      </c>
      <c r="K33" t="s">
        <v>74</v>
      </c>
      <c r="M33" s="21">
        <v>0</v>
      </c>
      <c r="N33" t="s">
        <v>21</v>
      </c>
      <c r="O33" s="19">
        <v>1</v>
      </c>
      <c r="P33" s="22">
        <v>5.0000000012500001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5</v>
      </c>
      <c r="S33" t="str">
        <f>InputData[[#This Row],[Col]]&amp;"x"&amp;IF(LEN(InputData[[#This Row],[Alto]])=2,InputData[[#This Row],[Alto]],"0"&amp;InputData[[#This Row],[Alto]])</f>
        <v>1x05</v>
      </c>
    </row>
    <row r="34" spans="1:19" x14ac:dyDescent="0.2">
      <c r="A34" t="s">
        <v>19</v>
      </c>
      <c r="B34" t="s">
        <v>331</v>
      </c>
      <c r="C34" t="s">
        <v>332</v>
      </c>
      <c r="D34" t="s">
        <v>333</v>
      </c>
      <c r="E34" t="s">
        <v>334</v>
      </c>
      <c r="F34" t="str">
        <f>LEFT(InputData[[#This Row],[Referencia]],32)</f>
        <v>CONSTRUCTORA BUSCA OFICIAL ALBAÑ</v>
      </c>
      <c r="G34" t="s">
        <v>22</v>
      </c>
      <c r="H34" t="s">
        <v>20</v>
      </c>
      <c r="I34" s="20">
        <v>133.78428571428572</v>
      </c>
      <c r="J34" t="s">
        <v>92</v>
      </c>
      <c r="K34" t="s">
        <v>74</v>
      </c>
      <c r="M34" s="21">
        <v>0</v>
      </c>
      <c r="N34" t="s">
        <v>21</v>
      </c>
      <c r="O34" s="19">
        <v>1</v>
      </c>
      <c r="P34" s="22">
        <v>6.0000000015000001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x14ac:dyDescent="0.2">
      <c r="A35" t="s">
        <v>19</v>
      </c>
      <c r="B35" t="s">
        <v>358</v>
      </c>
      <c r="C35" t="s">
        <v>213</v>
      </c>
      <c r="E35" t="s">
        <v>359</v>
      </c>
      <c r="F35" t="str">
        <f>LEFT(InputData[[#This Row],[Referencia]],32)</f>
        <v>JUBILACIONES - PENSION por falle</v>
      </c>
      <c r="G35" t="s">
        <v>22</v>
      </c>
      <c r="H35" t="s">
        <v>23</v>
      </c>
      <c r="I35" s="20">
        <v>89.190000000000026</v>
      </c>
      <c r="J35" t="s">
        <v>92</v>
      </c>
      <c r="K35" t="s">
        <v>163</v>
      </c>
      <c r="M35" s="21">
        <v>0</v>
      </c>
      <c r="N35" t="s">
        <v>21</v>
      </c>
      <c r="O35" s="19">
        <v>1</v>
      </c>
      <c r="P35" s="22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1x04</v>
      </c>
    </row>
    <row r="36" spans="1:19" x14ac:dyDescent="0.2">
      <c r="A36" t="s">
        <v>19</v>
      </c>
      <c r="B36" t="s">
        <v>164</v>
      </c>
      <c r="C36" t="s">
        <v>165</v>
      </c>
      <c r="E36" t="s">
        <v>166</v>
      </c>
      <c r="F36" t="str">
        <f>LEFT(InputData[[#This Row],[Referencia]],32)</f>
        <v>VENDO KTM DUKE 200  MOD 2016. IM</v>
      </c>
      <c r="G36" t="s">
        <v>22</v>
      </c>
      <c r="H36" t="s">
        <v>23</v>
      </c>
      <c r="I36" s="20">
        <v>46.824333333333335</v>
      </c>
      <c r="J36" t="s">
        <v>92</v>
      </c>
      <c r="K36" t="s">
        <v>167</v>
      </c>
      <c r="M36" s="21">
        <v>0</v>
      </c>
      <c r="N36" t="s">
        <v>21</v>
      </c>
      <c r="O36" s="19">
        <v>1</v>
      </c>
      <c r="P36" s="22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1x03</v>
      </c>
    </row>
    <row r="37" spans="1:19" x14ac:dyDescent="0.2">
      <c r="A37" t="s">
        <v>19</v>
      </c>
      <c r="B37" t="s">
        <v>275</v>
      </c>
      <c r="C37" t="s">
        <v>28</v>
      </c>
      <c r="D37" t="s">
        <v>114</v>
      </c>
      <c r="E37" t="s">
        <v>29</v>
      </c>
      <c r="F37" t="str">
        <f>LEFT(InputData[[#This Row],[Referencia]],32)</f>
        <v>METALNOR-METALES-CHATARRA</v>
      </c>
      <c r="G37" t="s">
        <v>22</v>
      </c>
      <c r="H37" t="s">
        <v>23</v>
      </c>
      <c r="I37" s="20">
        <v>130.83733333333333</v>
      </c>
      <c r="J37" t="s">
        <v>92</v>
      </c>
      <c r="K37" t="s">
        <v>30</v>
      </c>
      <c r="M37" s="21">
        <v>0</v>
      </c>
      <c r="N37" t="s">
        <v>21</v>
      </c>
      <c r="O37" s="19">
        <v>1</v>
      </c>
      <c r="P37" s="22">
        <v>8.9999999987222221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9</v>
      </c>
      <c r="S37" t="str">
        <f>InputData[[#This Row],[Col]]&amp;"x"&amp;IF(LEN(InputData[[#This Row],[Alto]])=2,InputData[[#This Row],[Alto]],"0"&amp;InputData[[#This Row],[Alto]])</f>
        <v>1x09</v>
      </c>
    </row>
    <row r="38" spans="1:19" x14ac:dyDescent="0.2">
      <c r="A38" t="s">
        <v>19</v>
      </c>
      <c r="B38" t="s">
        <v>433</v>
      </c>
      <c r="C38" t="s">
        <v>434</v>
      </c>
      <c r="E38" t="s">
        <v>435</v>
      </c>
      <c r="F38" t="str">
        <f>LEFT(InputData[[#This Row],[Referencia]],32)</f>
        <v>¡¡¡URGENTE BUSCAMOS A VALENTINA!</v>
      </c>
      <c r="G38" t="s">
        <v>22</v>
      </c>
      <c r="H38" t="s">
        <v>23</v>
      </c>
      <c r="I38" s="20">
        <v>224.76</v>
      </c>
      <c r="J38" t="s">
        <v>9</v>
      </c>
      <c r="K38" t="s">
        <v>436</v>
      </c>
      <c r="M38" s="21">
        <v>0</v>
      </c>
      <c r="N38" t="s">
        <v>21</v>
      </c>
      <c r="O38" s="19">
        <v>1</v>
      </c>
      <c r="P38" s="22">
        <v>6.0000000015000001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1x06</v>
      </c>
    </row>
    <row r="39" spans="1:19" x14ac:dyDescent="0.2">
      <c r="A39" t="s">
        <v>19</v>
      </c>
      <c r="B39" t="s">
        <v>138</v>
      </c>
      <c r="C39" t="s">
        <v>78</v>
      </c>
      <c r="D39" t="s">
        <v>139</v>
      </c>
      <c r="E39" t="s">
        <v>79</v>
      </c>
      <c r="F39" t="str">
        <f>LEFT(InputData[[#This Row],[Referencia]],32)</f>
        <v>HORMIGONERA + DE 20 AÑOS</v>
      </c>
      <c r="G39" t="s">
        <v>22</v>
      </c>
      <c r="H39" t="s">
        <v>20</v>
      </c>
      <c r="I39" s="20">
        <v>110.76741935483871</v>
      </c>
      <c r="J39" t="s">
        <v>92</v>
      </c>
      <c r="K39" t="s">
        <v>77</v>
      </c>
      <c r="M39" s="21">
        <v>0</v>
      </c>
      <c r="N39" t="s">
        <v>21</v>
      </c>
      <c r="O39" s="19">
        <v>1</v>
      </c>
      <c r="P39" s="22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1x05</v>
      </c>
    </row>
    <row r="40" spans="1:19" x14ac:dyDescent="0.2">
      <c r="A40" t="s">
        <v>19</v>
      </c>
      <c r="B40" t="s">
        <v>140</v>
      </c>
      <c r="C40" t="s">
        <v>76</v>
      </c>
      <c r="D40" t="s">
        <v>141</v>
      </c>
      <c r="E40" t="s">
        <v>116</v>
      </c>
      <c r="F40" t="str">
        <f>LEFT(InputData[[#This Row],[Referencia]],32)</f>
        <v>HORMIGONERA -VENTA DE HORMIGON E</v>
      </c>
      <c r="G40" t="s">
        <v>22</v>
      </c>
      <c r="H40" t="s">
        <v>20</v>
      </c>
      <c r="I40" s="20">
        <v>110.76741935483871</v>
      </c>
      <c r="J40" t="s">
        <v>92</v>
      </c>
      <c r="K40" t="s">
        <v>77</v>
      </c>
      <c r="M40" s="21">
        <v>0</v>
      </c>
      <c r="N40" t="s">
        <v>21</v>
      </c>
      <c r="O40" s="19">
        <v>1</v>
      </c>
      <c r="P40" s="22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19</v>
      </c>
      <c r="B41" t="s">
        <v>360</v>
      </c>
      <c r="C41" t="s">
        <v>76</v>
      </c>
      <c r="D41" t="s">
        <v>142</v>
      </c>
      <c r="E41" t="s">
        <v>117</v>
      </c>
      <c r="F41" t="str">
        <f>LEFT(InputData[[#This Row],[Referencia]],32)</f>
        <v xml:space="preserve">HORMIGONERA  JUJUY S.R.L. VENTA </v>
      </c>
      <c r="G41" t="s">
        <v>22</v>
      </c>
      <c r="H41" t="s">
        <v>20</v>
      </c>
      <c r="I41" s="20">
        <v>110.76741935483871</v>
      </c>
      <c r="J41" t="s">
        <v>92</v>
      </c>
      <c r="K41" t="s">
        <v>77</v>
      </c>
      <c r="M41" s="21">
        <v>0</v>
      </c>
      <c r="N41" t="s">
        <v>21</v>
      </c>
      <c r="O41" s="19">
        <v>1</v>
      </c>
      <c r="P41" s="22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19</v>
      </c>
      <c r="B42" t="s">
        <v>437</v>
      </c>
      <c r="C42" t="s">
        <v>438</v>
      </c>
      <c r="E42" t="s">
        <v>439</v>
      </c>
      <c r="F42" t="str">
        <f>LEFT(InputData[[#This Row],[Referencia]],32)</f>
        <v xml:space="preserve">JUZGADO DE PRIMERA INSTANCIA EN </v>
      </c>
      <c r="G42" t="s">
        <v>361</v>
      </c>
      <c r="H42" t="s">
        <v>23</v>
      </c>
      <c r="I42" s="20">
        <v>82.213333333333324</v>
      </c>
      <c r="J42" t="s">
        <v>92</v>
      </c>
      <c r="K42" t="s">
        <v>362</v>
      </c>
      <c r="M42" s="21">
        <v>0</v>
      </c>
      <c r="N42" t="s">
        <v>21</v>
      </c>
      <c r="O42" s="19">
        <v>1</v>
      </c>
      <c r="P42" s="22">
        <v>7.9999999984722239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8</v>
      </c>
      <c r="S42" t="str">
        <f>InputData[[#This Row],[Col]]&amp;"x"&amp;IF(LEN(InputData[[#This Row],[Alto]])=2,InputData[[#This Row],[Alto]],"0"&amp;InputData[[#This Row],[Alto]])</f>
        <v>1x08</v>
      </c>
    </row>
    <row r="43" spans="1:19" x14ac:dyDescent="0.2">
      <c r="A43" t="s">
        <v>19</v>
      </c>
      <c r="B43" t="s">
        <v>386</v>
      </c>
      <c r="C43" t="s">
        <v>387</v>
      </c>
      <c r="E43" t="s">
        <v>388</v>
      </c>
      <c r="F43" t="str">
        <f>LEFT(InputData[[#This Row],[Referencia]],32)</f>
        <v xml:space="preserve">EDICTO DRA. NORMA BEATRIZ ISSA, </v>
      </c>
      <c r="G43" t="s">
        <v>361</v>
      </c>
      <c r="H43" t="s">
        <v>23</v>
      </c>
      <c r="I43" s="20">
        <v>462.44333333333338</v>
      </c>
      <c r="J43" t="s">
        <v>92</v>
      </c>
      <c r="K43" t="s">
        <v>362</v>
      </c>
      <c r="M43" s="21">
        <v>0</v>
      </c>
      <c r="N43" t="s">
        <v>21</v>
      </c>
      <c r="O43" s="19">
        <v>3</v>
      </c>
      <c r="P43" s="22">
        <v>15.000000000222226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15</v>
      </c>
      <c r="S43" t="str">
        <f>InputData[[#This Row],[Col]]&amp;"x"&amp;IF(LEN(InputData[[#This Row],[Alto]])=2,InputData[[#This Row],[Alto]],"0"&amp;InputData[[#This Row],[Alto]])</f>
        <v>3x15</v>
      </c>
    </row>
    <row r="44" spans="1:19" x14ac:dyDescent="0.2">
      <c r="A44" t="s">
        <v>19</v>
      </c>
      <c r="B44" t="s">
        <v>389</v>
      </c>
      <c r="C44" t="s">
        <v>390</v>
      </c>
      <c r="E44" t="s">
        <v>391</v>
      </c>
      <c r="F44" t="str">
        <f>LEFT(InputData[[#This Row],[Referencia]],32)</f>
        <v>EDICTO SUCESORIO -  -  -  JUZGAD</v>
      </c>
      <c r="G44" t="s">
        <v>361</v>
      </c>
      <c r="H44" t="s">
        <v>23</v>
      </c>
      <c r="I44" s="20">
        <v>82.213333333333324</v>
      </c>
      <c r="J44" t="s">
        <v>92</v>
      </c>
      <c r="K44" t="s">
        <v>362</v>
      </c>
      <c r="M44" s="21">
        <v>0</v>
      </c>
      <c r="N44" t="s">
        <v>21</v>
      </c>
      <c r="O44" s="19">
        <v>1</v>
      </c>
      <c r="P44" s="22">
        <v>7.9999999984722239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8</v>
      </c>
      <c r="S44" t="str">
        <f>InputData[[#This Row],[Col]]&amp;"x"&amp;IF(LEN(InputData[[#This Row],[Alto]])=2,InputData[[#This Row],[Alto]],"0"&amp;InputData[[#This Row],[Alto]])</f>
        <v>1x08</v>
      </c>
    </row>
    <row r="45" spans="1:19" x14ac:dyDescent="0.2">
      <c r="A45" t="s">
        <v>19</v>
      </c>
      <c r="B45" t="s">
        <v>392</v>
      </c>
      <c r="C45" t="s">
        <v>390</v>
      </c>
      <c r="E45" t="s">
        <v>393</v>
      </c>
      <c r="F45" t="str">
        <f>LEFT(InputData[[#This Row],[Referencia]],32)</f>
        <v>EDICTO SUCESORIO .-.-.-.-JUZGADO</v>
      </c>
      <c r="G45" t="s">
        <v>361</v>
      </c>
      <c r="H45" t="s">
        <v>23</v>
      </c>
      <c r="I45" s="20">
        <v>82.213333333333324</v>
      </c>
      <c r="J45" t="s">
        <v>92</v>
      </c>
      <c r="K45" t="s">
        <v>362</v>
      </c>
      <c r="M45" s="21">
        <v>0</v>
      </c>
      <c r="N45" t="s">
        <v>21</v>
      </c>
      <c r="O45" s="19">
        <v>1</v>
      </c>
      <c r="P45" s="22">
        <v>7.9999999984722239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8</v>
      </c>
      <c r="S45" t="str">
        <f>InputData[[#This Row],[Col]]&amp;"x"&amp;IF(LEN(InputData[[#This Row],[Alto]])=2,InputData[[#This Row],[Alto]],"0"&amp;InputData[[#This Row],[Alto]])</f>
        <v>1x08</v>
      </c>
    </row>
    <row r="46" spans="1:19" x14ac:dyDescent="0.2">
      <c r="A46" t="s">
        <v>19</v>
      </c>
      <c r="B46" t="s">
        <v>394</v>
      </c>
      <c r="C46" t="s">
        <v>395</v>
      </c>
      <c r="E46" t="s">
        <v>396</v>
      </c>
      <c r="F46" t="str">
        <f>LEFT(InputData[[#This Row],[Referencia]],32)</f>
        <v>EDICTO-- --------EN EL EXPTE. N°</v>
      </c>
      <c r="G46" t="s">
        <v>361</v>
      </c>
      <c r="H46" t="s">
        <v>23</v>
      </c>
      <c r="I46" s="20">
        <v>82.213333333333324</v>
      </c>
      <c r="J46" t="s">
        <v>92</v>
      </c>
      <c r="K46" t="s">
        <v>362</v>
      </c>
      <c r="M46" s="21">
        <v>0</v>
      </c>
      <c r="N46" t="s">
        <v>21</v>
      </c>
      <c r="O46" s="19">
        <v>1</v>
      </c>
      <c r="P46" s="22">
        <v>7.9999999984722239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8</v>
      </c>
      <c r="S46" t="str">
        <f>InputData[[#This Row],[Col]]&amp;"x"&amp;IF(LEN(InputData[[#This Row],[Alto]])=2,InputData[[#This Row],[Alto]],"0"&amp;InputData[[#This Row],[Alto]])</f>
        <v>1x08</v>
      </c>
    </row>
    <row r="47" spans="1:19" x14ac:dyDescent="0.2">
      <c r="A47" t="s">
        <v>19</v>
      </c>
      <c r="B47" t="s">
        <v>397</v>
      </c>
      <c r="C47" t="s">
        <v>395</v>
      </c>
      <c r="E47" t="s">
        <v>398</v>
      </c>
      <c r="F47" t="str">
        <f>LEFT(InputData[[#This Row],[Referencia]],32)</f>
        <v xml:space="preserve">EDICTO- -------------JUZGADO DE </v>
      </c>
      <c r="G47" t="s">
        <v>361</v>
      </c>
      <c r="H47" t="s">
        <v>23</v>
      </c>
      <c r="I47" s="20">
        <v>82.213333333333324</v>
      </c>
      <c r="J47" t="s">
        <v>92</v>
      </c>
      <c r="K47" t="s">
        <v>362</v>
      </c>
      <c r="M47" s="21">
        <v>0</v>
      </c>
      <c r="N47" t="s">
        <v>21</v>
      </c>
      <c r="O47" s="19">
        <v>1</v>
      </c>
      <c r="P47" s="22">
        <v>7.9999999984722239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8</v>
      </c>
      <c r="S47" t="str">
        <f>InputData[[#This Row],[Col]]&amp;"x"&amp;IF(LEN(InputData[[#This Row],[Alto]])=2,InputData[[#This Row],[Alto]],"0"&amp;InputData[[#This Row],[Alto]])</f>
        <v>1x08</v>
      </c>
    </row>
    <row r="48" spans="1:19" x14ac:dyDescent="0.2">
      <c r="A48" t="s">
        <v>19</v>
      </c>
      <c r="B48" t="s">
        <v>440</v>
      </c>
      <c r="C48" t="s">
        <v>441</v>
      </c>
      <c r="E48" t="s">
        <v>442</v>
      </c>
      <c r="F48" t="str">
        <f>LEFT(InputData[[#This Row],[Referencia]],32)</f>
        <v xml:space="preserve">                                </v>
      </c>
      <c r="G48" t="s">
        <v>361</v>
      </c>
      <c r="H48" t="s">
        <v>23</v>
      </c>
      <c r="I48" s="20">
        <v>82.213333333333324</v>
      </c>
      <c r="J48" t="s">
        <v>92</v>
      </c>
      <c r="K48" t="s">
        <v>362</v>
      </c>
      <c r="M48" s="21">
        <v>0</v>
      </c>
      <c r="N48" t="s">
        <v>21</v>
      </c>
      <c r="O48" s="19">
        <v>1</v>
      </c>
      <c r="P48" s="22">
        <v>7.9999999984722239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8</v>
      </c>
      <c r="S48" t="str">
        <f>InputData[[#This Row],[Col]]&amp;"x"&amp;IF(LEN(InputData[[#This Row],[Alto]])=2,InputData[[#This Row],[Alto]],"0"&amp;InputData[[#This Row],[Alto]])</f>
        <v>1x08</v>
      </c>
    </row>
    <row r="49" spans="1:19" x14ac:dyDescent="0.2">
      <c r="A49" t="s">
        <v>19</v>
      </c>
      <c r="B49" t="s">
        <v>443</v>
      </c>
      <c r="C49" t="s">
        <v>444</v>
      </c>
      <c r="E49" t="s">
        <v>445</v>
      </c>
      <c r="F49" t="str">
        <f>LEFT(InputData[[#This Row],[Referencia]],32)</f>
        <v xml:space="preserve">  EDICTO --- Juzgado de Primera </v>
      </c>
      <c r="G49" t="s">
        <v>361</v>
      </c>
      <c r="H49" t="s">
        <v>23</v>
      </c>
      <c r="I49" s="20">
        <v>82.213333333333324</v>
      </c>
      <c r="J49" t="s">
        <v>92</v>
      </c>
      <c r="K49" t="s">
        <v>362</v>
      </c>
      <c r="M49" s="21">
        <v>0</v>
      </c>
      <c r="N49" t="s">
        <v>21</v>
      </c>
      <c r="O49" s="19">
        <v>1</v>
      </c>
      <c r="P49" s="22">
        <v>7.9999999984722239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8</v>
      </c>
      <c r="S49" t="str">
        <f>InputData[[#This Row],[Col]]&amp;"x"&amp;IF(LEN(InputData[[#This Row],[Alto]])=2,InputData[[#This Row],[Alto]],"0"&amp;InputData[[#This Row],[Alto]])</f>
        <v>1x08</v>
      </c>
    </row>
    <row r="50" spans="1:19" x14ac:dyDescent="0.2">
      <c r="A50" t="s">
        <v>19</v>
      </c>
      <c r="B50" t="s">
        <v>446</v>
      </c>
      <c r="C50" t="s">
        <v>447</v>
      </c>
      <c r="E50" t="s">
        <v>448</v>
      </c>
      <c r="F50" t="str">
        <f>LEFT(InputData[[#This Row],[Referencia]],32)</f>
        <v>---EDICTO SUCESORIO--  ---JUZGAD</v>
      </c>
      <c r="G50" t="s">
        <v>361</v>
      </c>
      <c r="H50" t="s">
        <v>23</v>
      </c>
      <c r="I50" s="20">
        <v>82.213333333333324</v>
      </c>
      <c r="J50" t="s">
        <v>92</v>
      </c>
      <c r="K50" t="s">
        <v>362</v>
      </c>
      <c r="M50" s="21">
        <v>0</v>
      </c>
      <c r="N50" t="s">
        <v>21</v>
      </c>
      <c r="O50" s="19">
        <v>1</v>
      </c>
      <c r="P50" s="22">
        <v>7.9999999984722239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8</v>
      </c>
      <c r="S50" t="str">
        <f>InputData[[#This Row],[Col]]&amp;"x"&amp;IF(LEN(InputData[[#This Row],[Alto]])=2,InputData[[#This Row],[Alto]],"0"&amp;InputData[[#This Row],[Alto]])</f>
        <v>1x08</v>
      </c>
    </row>
    <row r="51" spans="1:19" x14ac:dyDescent="0.2">
      <c r="A51" t="s">
        <v>19</v>
      </c>
      <c r="B51" t="s">
        <v>449</v>
      </c>
      <c r="C51" t="s">
        <v>450</v>
      </c>
      <c r="E51" t="s">
        <v>451</v>
      </c>
      <c r="F51" t="str">
        <f>LEFT(InputData[[#This Row],[Referencia]],32)</f>
        <v>EDICTO SUCESORIO  = = = El JUZGA</v>
      </c>
      <c r="G51" t="s">
        <v>361</v>
      </c>
      <c r="H51" t="s">
        <v>23</v>
      </c>
      <c r="I51" s="20">
        <v>82.213333333333324</v>
      </c>
      <c r="J51" t="s">
        <v>92</v>
      </c>
      <c r="K51" t="s">
        <v>362</v>
      </c>
      <c r="M51" s="21">
        <v>0</v>
      </c>
      <c r="N51" t="s">
        <v>21</v>
      </c>
      <c r="O51" s="19">
        <v>1</v>
      </c>
      <c r="P51" s="22">
        <v>7.9999999984722239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8</v>
      </c>
      <c r="S51" t="str">
        <f>InputData[[#This Row],[Col]]&amp;"x"&amp;IF(LEN(InputData[[#This Row],[Alto]])=2,InputData[[#This Row],[Alto]],"0"&amp;InputData[[#This Row],[Alto]])</f>
        <v>1x08</v>
      </c>
    </row>
    <row r="52" spans="1:19" x14ac:dyDescent="0.2">
      <c r="A52" t="s">
        <v>19</v>
      </c>
      <c r="B52" t="s">
        <v>452</v>
      </c>
      <c r="C52" t="s">
        <v>453</v>
      </c>
      <c r="D52" t="s">
        <v>454</v>
      </c>
      <c r="E52" t="s">
        <v>455</v>
      </c>
      <c r="F52" t="str">
        <f>LEFT(InputData[[#This Row],[Referencia]],32)</f>
        <v>EFECTIVO EN 1 MINUTO...</v>
      </c>
      <c r="G52" t="s">
        <v>22</v>
      </c>
      <c r="H52" t="s">
        <v>20</v>
      </c>
      <c r="I52" s="20">
        <v>218.51366666666667</v>
      </c>
      <c r="J52" t="s">
        <v>92</v>
      </c>
      <c r="K52" t="s">
        <v>456</v>
      </c>
      <c r="M52" s="21">
        <v>0</v>
      </c>
      <c r="N52" t="s">
        <v>21</v>
      </c>
      <c r="O52" s="19">
        <v>1</v>
      </c>
      <c r="P52" s="22">
        <v>9.999999998972223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1x10</v>
      </c>
    </row>
    <row r="53" spans="1:19" x14ac:dyDescent="0.2">
      <c r="A53" t="s">
        <v>19</v>
      </c>
      <c r="B53" t="s">
        <v>457</v>
      </c>
      <c r="C53" t="s">
        <v>458</v>
      </c>
      <c r="D53" t="s">
        <v>459</v>
      </c>
      <c r="E53" t="s">
        <v>460</v>
      </c>
      <c r="F53" t="str">
        <f>LEFT(InputData[[#This Row],[Referencia]],32)</f>
        <v>JULIO PANERO</v>
      </c>
      <c r="G53" t="s">
        <v>22</v>
      </c>
      <c r="H53" t="s">
        <v>20</v>
      </c>
      <c r="I53" s="20">
        <v>42.922499999999999</v>
      </c>
      <c r="J53" t="s">
        <v>92</v>
      </c>
      <c r="K53" t="s">
        <v>31</v>
      </c>
      <c r="M53" s="21">
        <v>0</v>
      </c>
      <c r="N53" t="s">
        <v>21</v>
      </c>
      <c r="O53" s="19">
        <v>1</v>
      </c>
      <c r="P53" s="22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1x02</v>
      </c>
    </row>
    <row r="54" spans="1:19" x14ac:dyDescent="0.2">
      <c r="A54" t="s">
        <v>19</v>
      </c>
      <c r="B54" t="s">
        <v>207</v>
      </c>
      <c r="C54" t="s">
        <v>89</v>
      </c>
      <c r="E54" t="s">
        <v>118</v>
      </c>
      <c r="F54" t="str">
        <f>LEFT(InputData[[#This Row],[Referencia]],32)</f>
        <v xml:space="preserve">TASADOR   CRISTIAN L. VILAR Tel </v>
      </c>
      <c r="G54" t="s">
        <v>22</v>
      </c>
      <c r="H54" t="s">
        <v>23</v>
      </c>
      <c r="I54" s="20">
        <v>37.459666666666664</v>
      </c>
      <c r="J54" t="s">
        <v>9</v>
      </c>
      <c r="K54" t="s">
        <v>31</v>
      </c>
      <c r="M54" s="21">
        <v>0</v>
      </c>
      <c r="N54" t="s">
        <v>21</v>
      </c>
      <c r="O54" s="19">
        <v>1</v>
      </c>
      <c r="P54" s="22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1x02</v>
      </c>
    </row>
    <row r="55" spans="1:19" x14ac:dyDescent="0.2">
      <c r="A55" t="s">
        <v>19</v>
      </c>
      <c r="B55" t="s">
        <v>276</v>
      </c>
      <c r="C55" t="s">
        <v>97</v>
      </c>
      <c r="E55" t="s">
        <v>277</v>
      </c>
      <c r="F55" t="str">
        <f>LEFT(InputData[[#This Row],[Referencia]],32)</f>
        <v>TASACIONES CASAS- TERRENOS- FINC</v>
      </c>
      <c r="G55" t="s">
        <v>22</v>
      </c>
      <c r="H55" t="s">
        <v>23</v>
      </c>
      <c r="I55" s="20">
        <v>44.595000000000013</v>
      </c>
      <c r="J55" t="s">
        <v>92</v>
      </c>
      <c r="K55" t="s">
        <v>31</v>
      </c>
      <c r="M55" s="21">
        <v>0</v>
      </c>
      <c r="N55" t="s">
        <v>21</v>
      </c>
      <c r="O55" s="19">
        <v>1</v>
      </c>
      <c r="P55" s="22">
        <v>2.0000000005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</v>
      </c>
      <c r="S55" t="str">
        <f>InputData[[#This Row],[Col]]&amp;"x"&amp;IF(LEN(InputData[[#This Row],[Alto]])=2,InputData[[#This Row],[Alto]],"0"&amp;InputData[[#This Row],[Alto]])</f>
        <v>1x02</v>
      </c>
    </row>
    <row r="56" spans="1:19" x14ac:dyDescent="0.2">
      <c r="A56" t="s">
        <v>19</v>
      </c>
      <c r="B56" t="s">
        <v>363</v>
      </c>
      <c r="C56" t="s">
        <v>364</v>
      </c>
      <c r="E56" t="s">
        <v>365</v>
      </c>
      <c r="F56" t="str">
        <f>LEFT(InputData[[#This Row],[Referencia]],32)</f>
        <v>VALVERDI PROPIEDADES VENTA - ALQ</v>
      </c>
      <c r="G56" t="s">
        <v>22</v>
      </c>
      <c r="H56" t="s">
        <v>23</v>
      </c>
      <c r="I56" s="20">
        <v>89.190000000000026</v>
      </c>
      <c r="J56" t="s">
        <v>92</v>
      </c>
      <c r="K56" t="s">
        <v>31</v>
      </c>
      <c r="M56" s="21">
        <v>0</v>
      </c>
      <c r="N56" t="s">
        <v>21</v>
      </c>
      <c r="O56" s="19">
        <v>1</v>
      </c>
      <c r="P56" s="22">
        <v>4.0000000010000001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4</v>
      </c>
      <c r="S56" t="str">
        <f>InputData[[#This Row],[Col]]&amp;"x"&amp;IF(LEN(InputData[[#This Row],[Alto]])=2,InputData[[#This Row],[Alto]],"0"&amp;InputData[[#This Row],[Alto]])</f>
        <v>1x04</v>
      </c>
    </row>
    <row r="57" spans="1:19" x14ac:dyDescent="0.2">
      <c r="A57" t="s">
        <v>19</v>
      </c>
      <c r="B57" t="s">
        <v>399</v>
      </c>
      <c r="C57" t="s">
        <v>400</v>
      </c>
      <c r="E57" t="s">
        <v>401</v>
      </c>
      <c r="F57" t="str">
        <f>LEFT(InputData[[#This Row],[Referencia]],32)</f>
        <v>ASAMBLEA GENERAL ORDINARIA La Co</v>
      </c>
      <c r="G57" t="s">
        <v>98</v>
      </c>
      <c r="H57" t="s">
        <v>23</v>
      </c>
      <c r="I57" s="20">
        <v>467.41666666666674</v>
      </c>
      <c r="J57" t="s">
        <v>92</v>
      </c>
      <c r="K57" t="s">
        <v>99</v>
      </c>
      <c r="M57" s="21">
        <v>0</v>
      </c>
      <c r="N57" t="s">
        <v>21</v>
      </c>
      <c r="O57" s="19">
        <v>2</v>
      </c>
      <c r="P57" s="22">
        <v>9.999999998972223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x14ac:dyDescent="0.2">
      <c r="A58" t="s">
        <v>19</v>
      </c>
      <c r="B58" t="s">
        <v>402</v>
      </c>
      <c r="C58" t="s">
        <v>403</v>
      </c>
      <c r="E58" t="s">
        <v>404</v>
      </c>
      <c r="F58" t="str">
        <f>LEFT(InputData[[#This Row],[Referencia]],32)</f>
        <v>CONVOCATORIA San Salvador de Juj</v>
      </c>
      <c r="G58" t="s">
        <v>98</v>
      </c>
      <c r="H58" t="s">
        <v>23</v>
      </c>
      <c r="I58" s="20">
        <v>981.57</v>
      </c>
      <c r="J58" t="s">
        <v>92</v>
      </c>
      <c r="K58" t="s">
        <v>99</v>
      </c>
      <c r="M58" s="21">
        <v>0</v>
      </c>
      <c r="N58" t="s">
        <v>21</v>
      </c>
      <c r="O58" s="19">
        <v>3</v>
      </c>
      <c r="P58" s="22">
        <v>13.999999999972225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14</v>
      </c>
      <c r="S58" t="str">
        <f>InputData[[#This Row],[Col]]&amp;"x"&amp;IF(LEN(InputData[[#This Row],[Alto]])=2,InputData[[#This Row],[Alto]],"0"&amp;InputData[[#This Row],[Alto]])</f>
        <v>3x14</v>
      </c>
    </row>
    <row r="59" spans="1:19" x14ac:dyDescent="0.2">
      <c r="A59" t="s">
        <v>19</v>
      </c>
      <c r="B59" t="s">
        <v>461</v>
      </c>
      <c r="C59" t="s">
        <v>462</v>
      </c>
      <c r="E59" t="s">
        <v>463</v>
      </c>
      <c r="F59" t="str">
        <f>LEFT(InputData[[#This Row],[Referencia]],32)</f>
        <v>COOPERATIVA SIN FRONTERAS CONVOC</v>
      </c>
      <c r="G59" t="s">
        <v>98</v>
      </c>
      <c r="H59" t="s">
        <v>23</v>
      </c>
      <c r="I59" s="20">
        <v>841.35</v>
      </c>
      <c r="J59" t="s">
        <v>92</v>
      </c>
      <c r="K59" t="s">
        <v>99</v>
      </c>
      <c r="M59" s="21">
        <v>0</v>
      </c>
      <c r="N59" t="s">
        <v>21</v>
      </c>
      <c r="O59" s="19">
        <v>2</v>
      </c>
      <c r="P59" s="22">
        <v>18.000000000972221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18</v>
      </c>
      <c r="S59" t="str">
        <f>InputData[[#This Row],[Col]]&amp;"x"&amp;IF(LEN(InputData[[#This Row],[Alto]])=2,InputData[[#This Row],[Alto]],"0"&amp;InputData[[#This Row],[Alto]])</f>
        <v>2x18</v>
      </c>
    </row>
    <row r="60" spans="1:19" x14ac:dyDescent="0.2">
      <c r="A60" t="s">
        <v>19</v>
      </c>
      <c r="B60" t="s">
        <v>464</v>
      </c>
      <c r="C60" t="s">
        <v>465</v>
      </c>
      <c r="E60" t="s">
        <v>466</v>
      </c>
      <c r="F60" t="str">
        <f>LEFT(InputData[[#This Row],[Referencia]],32)</f>
        <v>CONVOCATORIA  La Comisión Reorga</v>
      </c>
      <c r="G60" t="s">
        <v>98</v>
      </c>
      <c r="H60" t="s">
        <v>23</v>
      </c>
      <c r="I60" s="20">
        <v>467.42</v>
      </c>
      <c r="J60" t="s">
        <v>92</v>
      </c>
      <c r="K60" t="s">
        <v>99</v>
      </c>
      <c r="M60" s="21">
        <v>0</v>
      </c>
      <c r="N60" t="s">
        <v>21</v>
      </c>
      <c r="O60" s="19">
        <v>2</v>
      </c>
      <c r="P60" s="22">
        <v>9.999999998972223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2x10</v>
      </c>
    </row>
    <row r="61" spans="1:19" x14ac:dyDescent="0.2">
      <c r="A61" t="s">
        <v>19</v>
      </c>
      <c r="B61" t="s">
        <v>260</v>
      </c>
      <c r="C61" t="s">
        <v>250</v>
      </c>
      <c r="E61" t="s">
        <v>261</v>
      </c>
      <c r="F61" t="str">
        <f>LEFT(InputData[[#This Row],[Referencia]],32)</f>
        <v>BUSCO CASA O LOCAL COMERCIAL  CO</v>
      </c>
      <c r="G61" t="s">
        <v>22</v>
      </c>
      <c r="H61" t="s">
        <v>23</v>
      </c>
      <c r="I61" s="20">
        <v>66.891428571428577</v>
      </c>
      <c r="J61" t="s">
        <v>92</v>
      </c>
      <c r="K61" t="s">
        <v>262</v>
      </c>
      <c r="M61" s="21">
        <v>0</v>
      </c>
      <c r="N61" t="s">
        <v>21</v>
      </c>
      <c r="O61" s="19">
        <v>1</v>
      </c>
      <c r="P61" s="22">
        <v>3.0000000007500001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3</v>
      </c>
      <c r="S61" t="str">
        <f>InputData[[#This Row],[Col]]&amp;"x"&amp;IF(LEN(InputData[[#This Row],[Alto]])=2,InputData[[#This Row],[Alto]],"0"&amp;InputData[[#This Row],[Alto]])</f>
        <v>1x03</v>
      </c>
    </row>
    <row r="62" spans="1:19" x14ac:dyDescent="0.2">
      <c r="A62" t="s">
        <v>19</v>
      </c>
      <c r="B62" t="s">
        <v>143</v>
      </c>
      <c r="C62" t="s">
        <v>32</v>
      </c>
      <c r="D62" t="s">
        <v>144</v>
      </c>
      <c r="E62" t="s">
        <v>33</v>
      </c>
      <c r="F62" t="str">
        <f>LEFT(InputData[[#This Row],[Referencia]],32)</f>
        <v>ALQUILO DEPTO CATEGORIA</v>
      </c>
      <c r="G62" t="s">
        <v>22</v>
      </c>
      <c r="H62" t="s">
        <v>20</v>
      </c>
      <c r="I62" s="20">
        <v>110.76741935483871</v>
      </c>
      <c r="J62" t="s">
        <v>92</v>
      </c>
      <c r="K62" t="s">
        <v>34</v>
      </c>
      <c r="M62" s="21">
        <v>0</v>
      </c>
      <c r="N62" t="s">
        <v>21</v>
      </c>
      <c r="O62" s="19">
        <v>1</v>
      </c>
      <c r="P62" s="22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1x05</v>
      </c>
    </row>
    <row r="63" spans="1:19" x14ac:dyDescent="0.2">
      <c r="A63" t="s">
        <v>19</v>
      </c>
      <c r="B63" t="s">
        <v>467</v>
      </c>
      <c r="C63" t="s">
        <v>468</v>
      </c>
      <c r="E63" t="s">
        <v>469</v>
      </c>
      <c r="F63" t="str">
        <f>LEFT(InputData[[#This Row],[Referencia]],32)</f>
        <v>ALQUILO DPTO  de categoría 1 dor</v>
      </c>
      <c r="G63" t="s">
        <v>22</v>
      </c>
      <c r="H63" t="s">
        <v>23</v>
      </c>
      <c r="I63" s="20">
        <v>66.891428571428577</v>
      </c>
      <c r="J63" t="s">
        <v>92</v>
      </c>
      <c r="K63" t="s">
        <v>34</v>
      </c>
      <c r="M63" s="21">
        <v>0</v>
      </c>
      <c r="N63" t="s">
        <v>21</v>
      </c>
      <c r="O63" s="19">
        <v>1</v>
      </c>
      <c r="P63" s="22">
        <v>3.0000000007500001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1x03</v>
      </c>
    </row>
    <row r="64" spans="1:19" x14ac:dyDescent="0.2">
      <c r="A64" t="s">
        <v>19</v>
      </c>
      <c r="B64" t="s">
        <v>198</v>
      </c>
      <c r="C64" t="s">
        <v>199</v>
      </c>
      <c r="E64" t="s">
        <v>200</v>
      </c>
      <c r="F64" t="str">
        <f>LEFT(InputData[[#This Row],[Referencia]],32)</f>
        <v>COSEJERO y HECHICERO JAIRO  Nuev</v>
      </c>
      <c r="G64" t="s">
        <v>100</v>
      </c>
      <c r="H64" t="s">
        <v>23</v>
      </c>
      <c r="I64" s="20">
        <v>334.46</v>
      </c>
      <c r="J64" t="s">
        <v>92</v>
      </c>
      <c r="K64" t="s">
        <v>101</v>
      </c>
      <c r="M64" s="21">
        <v>0</v>
      </c>
      <c r="N64" t="s">
        <v>21</v>
      </c>
      <c r="O64" s="19">
        <v>3</v>
      </c>
      <c r="P64" s="22">
        <v>5.0000000012500001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5</v>
      </c>
      <c r="S64" t="str">
        <f>InputData[[#This Row],[Col]]&amp;"x"&amp;IF(LEN(InputData[[#This Row],[Alto]])=2,InputData[[#This Row],[Alto]],"0"&amp;InputData[[#This Row],[Alto]])</f>
        <v>3x05</v>
      </c>
    </row>
    <row r="65" spans="1:19" x14ac:dyDescent="0.2">
      <c r="A65" t="s">
        <v>19</v>
      </c>
      <c r="B65" t="s">
        <v>302</v>
      </c>
      <c r="C65" t="s">
        <v>194</v>
      </c>
      <c r="D65" t="s">
        <v>303</v>
      </c>
      <c r="E65" t="s">
        <v>197</v>
      </c>
      <c r="F65" t="str">
        <f>LEFT(InputData[[#This Row],[Referencia]],32)</f>
        <v xml:space="preserve">IMPORTANTE EMPRESA CONSTRUCTORA </v>
      </c>
      <c r="G65" t="s">
        <v>100</v>
      </c>
      <c r="H65" t="s">
        <v>20</v>
      </c>
      <c r="I65" s="20">
        <v>222.97285714285715</v>
      </c>
      <c r="J65" t="s">
        <v>92</v>
      </c>
      <c r="K65" t="s">
        <v>101</v>
      </c>
      <c r="M65" s="21">
        <v>0</v>
      </c>
      <c r="N65" t="s">
        <v>21</v>
      </c>
      <c r="O65" s="19">
        <v>2</v>
      </c>
      <c r="P65" s="22">
        <v>5.0000000012500001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5</v>
      </c>
      <c r="S65" t="str">
        <f>InputData[[#This Row],[Col]]&amp;"x"&amp;IF(LEN(InputData[[#This Row],[Alto]])=2,InputData[[#This Row],[Alto]],"0"&amp;InputData[[#This Row],[Alto]])</f>
        <v>2x05</v>
      </c>
    </row>
    <row r="66" spans="1:19" x14ac:dyDescent="0.2">
      <c r="A66" t="s">
        <v>19</v>
      </c>
      <c r="B66" t="s">
        <v>304</v>
      </c>
      <c r="C66" t="s">
        <v>194</v>
      </c>
      <c r="D66" t="s">
        <v>305</v>
      </c>
      <c r="E66" t="s">
        <v>306</v>
      </c>
      <c r="F66" t="str">
        <f>LEFT(InputData[[#This Row],[Referencia]],32)</f>
        <v>EMPRESA CONSTRUCURA SOLICITA : M</v>
      </c>
      <c r="G66" t="s">
        <v>100</v>
      </c>
      <c r="H66" t="s">
        <v>20</v>
      </c>
      <c r="I66" s="20">
        <v>178.37857142857146</v>
      </c>
      <c r="J66" t="s">
        <v>92</v>
      </c>
      <c r="K66" t="s">
        <v>101</v>
      </c>
      <c r="M66" s="21">
        <v>0</v>
      </c>
      <c r="N66" t="s">
        <v>21</v>
      </c>
      <c r="O66" s="19">
        <v>2</v>
      </c>
      <c r="P66" s="22">
        <v>4.0000000010000001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4</v>
      </c>
      <c r="S66" t="str">
        <f>InputData[[#This Row],[Col]]&amp;"x"&amp;IF(LEN(InputData[[#This Row],[Alto]])=2,InputData[[#This Row],[Alto]],"0"&amp;InputData[[#This Row],[Alto]])</f>
        <v>2x04</v>
      </c>
    </row>
    <row r="67" spans="1:19" x14ac:dyDescent="0.2">
      <c r="A67" t="s">
        <v>19</v>
      </c>
      <c r="B67" t="s">
        <v>366</v>
      </c>
      <c r="C67" t="s">
        <v>335</v>
      </c>
      <c r="E67" t="s">
        <v>336</v>
      </c>
      <c r="F67" t="str">
        <f>LEFT(InputData[[#This Row],[Referencia]],32)</f>
        <v>/////////////////JESUS TAROT////</v>
      </c>
      <c r="G67" t="s">
        <v>100</v>
      </c>
      <c r="H67" t="s">
        <v>23</v>
      </c>
      <c r="I67" s="20">
        <v>327.77049999999997</v>
      </c>
      <c r="J67" t="s">
        <v>92</v>
      </c>
      <c r="K67" t="s">
        <v>101</v>
      </c>
      <c r="M67" s="21">
        <v>0</v>
      </c>
      <c r="N67" t="s">
        <v>21</v>
      </c>
      <c r="O67" s="19">
        <v>3</v>
      </c>
      <c r="P67" s="22">
        <v>5.0000000012500001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5</v>
      </c>
      <c r="S67" t="str">
        <f>InputData[[#This Row],[Col]]&amp;"x"&amp;IF(LEN(InputData[[#This Row],[Alto]])=2,InputData[[#This Row],[Alto]],"0"&amp;InputData[[#This Row],[Alto]])</f>
        <v>3x05</v>
      </c>
    </row>
    <row r="68" spans="1:19" x14ac:dyDescent="0.2">
      <c r="A68" t="s">
        <v>19</v>
      </c>
      <c r="B68" t="s">
        <v>337</v>
      </c>
      <c r="C68" t="s">
        <v>50</v>
      </c>
      <c r="D68" t="s">
        <v>338</v>
      </c>
      <c r="E68" t="s">
        <v>339</v>
      </c>
      <c r="F68" t="str">
        <f>LEFT(InputData[[#This Row],[Referencia]],32)</f>
        <v>EMP DEL MEDIO .- PROMOTORAS</v>
      </c>
      <c r="G68" t="s">
        <v>100</v>
      </c>
      <c r="H68" t="s">
        <v>20</v>
      </c>
      <c r="I68" s="20">
        <v>327.70499999999998</v>
      </c>
      <c r="J68" t="s">
        <v>92</v>
      </c>
      <c r="K68" t="s">
        <v>101</v>
      </c>
      <c r="M68" s="21">
        <v>0</v>
      </c>
      <c r="N68" t="s">
        <v>21</v>
      </c>
      <c r="O68" s="19">
        <v>2</v>
      </c>
      <c r="P68" s="22">
        <v>7.0000000017499984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7</v>
      </c>
      <c r="S68" t="str">
        <f>InputData[[#This Row],[Col]]&amp;"x"&amp;IF(LEN(InputData[[#This Row],[Alto]])=2,InputData[[#This Row],[Alto]],"0"&amp;InputData[[#This Row],[Alto]])</f>
        <v>2x07</v>
      </c>
    </row>
    <row r="69" spans="1:19" x14ac:dyDescent="0.2">
      <c r="A69" t="s">
        <v>19</v>
      </c>
      <c r="B69" t="s">
        <v>367</v>
      </c>
      <c r="C69" t="s">
        <v>368</v>
      </c>
      <c r="E69" t="s">
        <v>369</v>
      </c>
      <c r="F69" t="str">
        <f>LEFT(InputData[[#This Row],[Referencia]],32)</f>
        <v>BRUJA PACTADA “DEYSY”   Especial</v>
      </c>
      <c r="G69" t="s">
        <v>100</v>
      </c>
      <c r="H69" t="s">
        <v>23</v>
      </c>
      <c r="I69" s="20">
        <v>200.67571428571429</v>
      </c>
      <c r="J69" t="s">
        <v>92</v>
      </c>
      <c r="K69" t="s">
        <v>101</v>
      </c>
      <c r="M69" s="21">
        <v>0</v>
      </c>
      <c r="N69" t="s">
        <v>21</v>
      </c>
      <c r="O69" s="19">
        <v>3</v>
      </c>
      <c r="P69" s="22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3x03</v>
      </c>
    </row>
    <row r="70" spans="1:19" x14ac:dyDescent="0.2">
      <c r="A70" t="s">
        <v>19</v>
      </c>
      <c r="B70" t="s">
        <v>470</v>
      </c>
      <c r="C70" t="s">
        <v>471</v>
      </c>
      <c r="E70" t="s">
        <v>472</v>
      </c>
      <c r="F70" t="str">
        <f>LEFT(InputData[[#This Row],[Referencia]],32)</f>
        <v>AMOS-BRUJOS- SEÑORES DE LOS AMAN</v>
      </c>
      <c r="G70" t="s">
        <v>100</v>
      </c>
      <c r="H70" t="s">
        <v>23</v>
      </c>
      <c r="I70" s="20">
        <v>280.94749999999999</v>
      </c>
      <c r="J70" t="s">
        <v>92</v>
      </c>
      <c r="K70" t="s">
        <v>101</v>
      </c>
      <c r="M70" s="21">
        <v>0</v>
      </c>
      <c r="N70" t="s">
        <v>21</v>
      </c>
      <c r="O70" s="19">
        <v>2</v>
      </c>
      <c r="P70" s="22">
        <v>6.0000000015000001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2x06</v>
      </c>
    </row>
    <row r="71" spans="1:19" x14ac:dyDescent="0.2">
      <c r="A71" t="s">
        <v>19</v>
      </c>
      <c r="B71" t="s">
        <v>473</v>
      </c>
      <c r="C71" t="s">
        <v>474</v>
      </c>
      <c r="E71" t="s">
        <v>475</v>
      </c>
      <c r="F71" t="str">
        <f>LEFT(InputData[[#This Row],[Referencia]],32)</f>
        <v>ESTUDIE ITALIANO ASOC. DANTE ALI</v>
      </c>
      <c r="G71" t="s">
        <v>100</v>
      </c>
      <c r="H71" t="s">
        <v>23</v>
      </c>
      <c r="I71" s="20">
        <v>351.1825</v>
      </c>
      <c r="J71" t="s">
        <v>92</v>
      </c>
      <c r="K71" t="s">
        <v>101</v>
      </c>
      <c r="M71" s="21">
        <v>0</v>
      </c>
      <c r="N71" t="s">
        <v>21</v>
      </c>
      <c r="O71" s="19">
        <v>3</v>
      </c>
      <c r="P71" s="22">
        <v>5.0000000012500001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5</v>
      </c>
      <c r="S71" t="str">
        <f>InputData[[#This Row],[Col]]&amp;"x"&amp;IF(LEN(InputData[[#This Row],[Alto]])=2,InputData[[#This Row],[Alto]],"0"&amp;InputData[[#This Row],[Alto]])</f>
        <v>3x05</v>
      </c>
    </row>
    <row r="72" spans="1:19" x14ac:dyDescent="0.2">
      <c r="A72" t="s">
        <v>35</v>
      </c>
      <c r="B72" t="s">
        <v>476</v>
      </c>
      <c r="C72" t="s">
        <v>110</v>
      </c>
      <c r="D72" t="s">
        <v>477</v>
      </c>
      <c r="E72" t="s">
        <v>478</v>
      </c>
      <c r="F72" t="str">
        <f>LEFT(InputData[[#This Row],[Referencia]],32)</f>
        <v>MAS LUZ - JUJUY FM</v>
      </c>
      <c r="G72" t="s">
        <v>36</v>
      </c>
      <c r="H72" t="s">
        <v>95</v>
      </c>
      <c r="I72" s="20">
        <v>1447.44</v>
      </c>
      <c r="J72" t="s">
        <v>9</v>
      </c>
      <c r="K72" t="s">
        <v>73</v>
      </c>
      <c r="L72" t="s">
        <v>73</v>
      </c>
      <c r="M72" s="21">
        <v>23</v>
      </c>
      <c r="N72" t="s">
        <v>21</v>
      </c>
      <c r="O72" s="19">
        <v>2</v>
      </c>
      <c r="P72" s="22">
        <v>13.433777777777777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13</v>
      </c>
      <c r="S72" t="str">
        <f>InputData[[#This Row],[Col]]&amp;"x"&amp;IF(LEN(InputData[[#This Row],[Alto]])=2,InputData[[#This Row],[Alto]],"0"&amp;InputData[[#This Row],[Alto]])</f>
        <v>2x13</v>
      </c>
    </row>
    <row r="73" spans="1:19" x14ac:dyDescent="0.2">
      <c r="A73" t="s">
        <v>35</v>
      </c>
      <c r="B73" t="s">
        <v>479</v>
      </c>
      <c r="C73" t="s">
        <v>480</v>
      </c>
      <c r="E73" t="s">
        <v>481</v>
      </c>
      <c r="F73" t="str">
        <f>LEFT(InputData[[#This Row],[Referencia]],32)</f>
        <v>TILCARA NUEVO PROFESIONAL Dr. GE</v>
      </c>
      <c r="G73" t="s">
        <v>36</v>
      </c>
      <c r="H73" t="s">
        <v>23</v>
      </c>
      <c r="I73" s="20">
        <v>723.72</v>
      </c>
      <c r="J73" t="s">
        <v>9</v>
      </c>
      <c r="K73" t="s">
        <v>73</v>
      </c>
      <c r="L73" t="s">
        <v>73</v>
      </c>
      <c r="M73" s="21">
        <v>23</v>
      </c>
      <c r="N73" t="s">
        <v>21</v>
      </c>
      <c r="O73" s="19">
        <v>1</v>
      </c>
      <c r="P73" s="22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1x13</v>
      </c>
    </row>
    <row r="74" spans="1:19" x14ac:dyDescent="0.2">
      <c r="A74" t="s">
        <v>35</v>
      </c>
      <c r="B74" t="s">
        <v>482</v>
      </c>
      <c r="C74" t="s">
        <v>483</v>
      </c>
      <c r="D74" t="s">
        <v>484</v>
      </c>
      <c r="E74" t="s">
        <v>485</v>
      </c>
      <c r="F74" t="str">
        <f>LEFT(InputData[[#This Row],[Referencia]],32)</f>
        <v>+ GIMENEZ, PABLO (q.e.p.d.) Fall</v>
      </c>
      <c r="G74" t="s">
        <v>43</v>
      </c>
      <c r="H74" t="s">
        <v>23</v>
      </c>
      <c r="I74" s="20">
        <v>2162.9</v>
      </c>
      <c r="J74" t="s">
        <v>92</v>
      </c>
      <c r="K74" t="s">
        <v>73</v>
      </c>
      <c r="L74" t="s">
        <v>73</v>
      </c>
      <c r="M74" s="21">
        <v>31</v>
      </c>
      <c r="N74" t="s">
        <v>21</v>
      </c>
      <c r="O74" s="19">
        <v>2</v>
      </c>
      <c r="P74" s="22">
        <v>6.0000000015000001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6</v>
      </c>
      <c r="S74" t="str">
        <f>InputData[[#This Row],[Col]]&amp;"x"&amp;IF(LEN(InputData[[#This Row],[Alto]])=2,InputData[[#This Row],[Alto]],"0"&amp;InputData[[#This Row],[Alto]])</f>
        <v>2x06</v>
      </c>
    </row>
    <row r="75" spans="1:19" x14ac:dyDescent="0.2">
      <c r="A75" t="s">
        <v>35</v>
      </c>
      <c r="B75" t="s">
        <v>145</v>
      </c>
      <c r="C75" t="s">
        <v>37</v>
      </c>
      <c r="D75" t="s">
        <v>146</v>
      </c>
      <c r="E75" t="s">
        <v>38</v>
      </c>
      <c r="F75" t="str">
        <f>LEFT(InputData[[#This Row],[Referencia]],32)</f>
        <v>LA COCHERIA SRL</v>
      </c>
      <c r="G75" t="s">
        <v>36</v>
      </c>
      <c r="H75" t="s">
        <v>20</v>
      </c>
      <c r="I75" s="20">
        <v>0</v>
      </c>
      <c r="J75" t="s">
        <v>9</v>
      </c>
      <c r="K75" t="s">
        <v>39</v>
      </c>
      <c r="L75" t="s">
        <v>39</v>
      </c>
      <c r="M75" s="21">
        <v>31</v>
      </c>
      <c r="N75" t="s">
        <v>21</v>
      </c>
      <c r="O75" s="19">
        <v>3</v>
      </c>
      <c r="P75" s="22">
        <v>2.7657777777777777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3</v>
      </c>
      <c r="S75" t="str">
        <f>InputData[[#This Row],[Col]]&amp;"x"&amp;IF(LEN(InputData[[#This Row],[Alto]])=2,InputData[[#This Row],[Alto]],"0"&amp;InputData[[#This Row],[Alto]])</f>
        <v>3x03</v>
      </c>
    </row>
    <row r="76" spans="1:19" x14ac:dyDescent="0.2">
      <c r="A76" t="s">
        <v>35</v>
      </c>
      <c r="B76" t="s">
        <v>147</v>
      </c>
      <c r="C76" t="s">
        <v>50</v>
      </c>
      <c r="D76" t="s">
        <v>148</v>
      </c>
      <c r="E76" t="s">
        <v>51</v>
      </c>
      <c r="F76" t="str">
        <f>LEFT(InputData[[#This Row],[Referencia]],32)</f>
        <v>WERCHOW</v>
      </c>
      <c r="G76" t="s">
        <v>36</v>
      </c>
      <c r="H76" t="s">
        <v>20</v>
      </c>
      <c r="I76" s="20">
        <v>0</v>
      </c>
      <c r="J76" t="s">
        <v>9</v>
      </c>
      <c r="K76" t="s">
        <v>40</v>
      </c>
      <c r="L76" t="s">
        <v>40</v>
      </c>
      <c r="M76" s="21">
        <v>31</v>
      </c>
      <c r="N76" t="s">
        <v>21</v>
      </c>
      <c r="O76" s="19">
        <v>5</v>
      </c>
      <c r="P76" s="22">
        <v>2.7657777777777777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</v>
      </c>
      <c r="S76" t="str">
        <f>InputData[[#This Row],[Col]]&amp;"x"&amp;IF(LEN(InputData[[#This Row],[Alto]])=2,InputData[[#This Row],[Alto]],"0"&amp;InputData[[#This Row],[Alto]])</f>
        <v>5x03</v>
      </c>
    </row>
    <row r="77" spans="1:19" x14ac:dyDescent="0.2">
      <c r="A77" t="s">
        <v>35</v>
      </c>
      <c r="B77" t="s">
        <v>149</v>
      </c>
      <c r="C77" t="s">
        <v>104</v>
      </c>
      <c r="D77" t="s">
        <v>150</v>
      </c>
      <c r="E77" t="s">
        <v>105</v>
      </c>
      <c r="F77" t="str">
        <f>LEFT(InputData[[#This Row],[Referencia]],32)</f>
        <v>LOPEZ PIERRE FARMACIA</v>
      </c>
      <c r="G77" t="s">
        <v>36</v>
      </c>
      <c r="H77" t="s">
        <v>20</v>
      </c>
      <c r="I77" s="20">
        <v>0</v>
      </c>
      <c r="J77" t="s">
        <v>9</v>
      </c>
      <c r="K77" t="s">
        <v>40</v>
      </c>
      <c r="M77" s="21">
        <v>0</v>
      </c>
      <c r="N77" t="s">
        <v>21</v>
      </c>
      <c r="O77" s="19">
        <v>2</v>
      </c>
      <c r="P77" s="22">
        <v>2.7657777777777777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2x03</v>
      </c>
    </row>
    <row r="78" spans="1:19" x14ac:dyDescent="0.2">
      <c r="A78" t="s">
        <v>35</v>
      </c>
      <c r="B78" t="s">
        <v>154</v>
      </c>
      <c r="C78" t="s">
        <v>155</v>
      </c>
      <c r="D78" t="s">
        <v>156</v>
      </c>
      <c r="E78" t="s">
        <v>157</v>
      </c>
      <c r="F78" t="str">
        <f>LEFT(InputData[[#This Row],[Referencia]],32)</f>
        <v>SERIVICIO SOCIALES FUTURO...</v>
      </c>
      <c r="G78" t="s">
        <v>36</v>
      </c>
      <c r="H78" t="s">
        <v>20</v>
      </c>
      <c r="I78" s="20">
        <v>0</v>
      </c>
      <c r="J78" t="s">
        <v>9</v>
      </c>
      <c r="K78" t="s">
        <v>40</v>
      </c>
      <c r="L78" t="s">
        <v>40</v>
      </c>
      <c r="M78" s="21">
        <v>31</v>
      </c>
      <c r="N78" t="s">
        <v>21</v>
      </c>
      <c r="O78" s="19">
        <v>5</v>
      </c>
      <c r="P78" s="22">
        <v>2.7657777777777777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3</v>
      </c>
      <c r="S78" t="str">
        <f>InputData[[#This Row],[Col]]&amp;"x"&amp;IF(LEN(InputData[[#This Row],[Alto]])=2,InputData[[#This Row],[Alto]],"0"&amp;InputData[[#This Row],[Alto]])</f>
        <v>5x03</v>
      </c>
    </row>
    <row r="79" spans="1:19" x14ac:dyDescent="0.2">
      <c r="A79" t="s">
        <v>35</v>
      </c>
      <c r="B79" t="s">
        <v>486</v>
      </c>
      <c r="C79" t="s">
        <v>487</v>
      </c>
      <c r="D79" t="s">
        <v>488</v>
      </c>
      <c r="E79" t="s">
        <v>489</v>
      </c>
      <c r="F79" t="str">
        <f>LEFT(InputData[[#This Row],[Referencia]],32)</f>
        <v>INSTRUMENTACION QUIRURIGA M.C. -</v>
      </c>
      <c r="G79" t="s">
        <v>36</v>
      </c>
      <c r="H79" t="s">
        <v>20</v>
      </c>
      <c r="I79" s="20">
        <v>871.55000000000007</v>
      </c>
      <c r="J79" t="s">
        <v>9</v>
      </c>
      <c r="K79" t="s">
        <v>490</v>
      </c>
      <c r="L79" t="s">
        <v>490</v>
      </c>
      <c r="M79" s="21">
        <v>26</v>
      </c>
      <c r="N79" t="s">
        <v>21</v>
      </c>
      <c r="O79" s="19">
        <v>3</v>
      </c>
      <c r="P79" s="22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x14ac:dyDescent="0.2">
      <c r="A80" t="s">
        <v>35</v>
      </c>
      <c r="B80" t="s">
        <v>491</v>
      </c>
      <c r="C80" t="s">
        <v>492</v>
      </c>
      <c r="D80" t="s">
        <v>493</v>
      </c>
      <c r="E80" t="s">
        <v>494</v>
      </c>
      <c r="F80" t="str">
        <f>LEFT(InputData[[#This Row],[Referencia]],32)</f>
        <v>IITA - PROPUESTA EDUCATIVA</v>
      </c>
      <c r="G80" t="s">
        <v>36</v>
      </c>
      <c r="H80" t="s">
        <v>20</v>
      </c>
      <c r="I80" s="20">
        <v>2420.81</v>
      </c>
      <c r="J80" t="s">
        <v>9</v>
      </c>
      <c r="K80" t="s">
        <v>490</v>
      </c>
      <c r="L80" t="s">
        <v>490</v>
      </c>
      <c r="M80" s="21">
        <v>24</v>
      </c>
      <c r="N80" t="s">
        <v>21</v>
      </c>
      <c r="O80" s="19">
        <v>5</v>
      </c>
      <c r="P80" s="22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5x10</v>
      </c>
    </row>
    <row r="81" spans="1:19" x14ac:dyDescent="0.2">
      <c r="A81" t="s">
        <v>35</v>
      </c>
      <c r="B81" t="s">
        <v>495</v>
      </c>
      <c r="C81" t="s">
        <v>496</v>
      </c>
      <c r="D81" t="s">
        <v>497</v>
      </c>
      <c r="E81" t="s">
        <v>498</v>
      </c>
      <c r="F81" t="str">
        <f>LEFT(InputData[[#This Row],[Referencia]],32)</f>
        <v>ADICEM ....</v>
      </c>
      <c r="G81" t="s">
        <v>36</v>
      </c>
      <c r="H81" t="s">
        <v>20</v>
      </c>
      <c r="I81" s="20">
        <v>0</v>
      </c>
      <c r="J81" t="s">
        <v>9</v>
      </c>
      <c r="K81" t="s">
        <v>340</v>
      </c>
      <c r="L81" t="s">
        <v>340</v>
      </c>
      <c r="M81" s="21">
        <v>6</v>
      </c>
      <c r="N81" t="s">
        <v>21</v>
      </c>
      <c r="O81" s="19">
        <v>5</v>
      </c>
      <c r="P81" s="22">
        <v>6.3217777777777773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6</v>
      </c>
      <c r="S81" t="str">
        <f>InputData[[#This Row],[Col]]&amp;"x"&amp;IF(LEN(InputData[[#This Row],[Alto]])=2,InputData[[#This Row],[Alto]],"0"&amp;InputData[[#This Row],[Alto]])</f>
        <v>5x06</v>
      </c>
    </row>
    <row r="82" spans="1:19" x14ac:dyDescent="0.2">
      <c r="A82" t="s">
        <v>35</v>
      </c>
      <c r="B82" t="s">
        <v>499</v>
      </c>
      <c r="C82" t="s">
        <v>500</v>
      </c>
      <c r="D82" t="s">
        <v>501</v>
      </c>
      <c r="E82" t="s">
        <v>502</v>
      </c>
      <c r="F82" t="str">
        <f>LEFT(InputData[[#This Row],[Referencia]],32)</f>
        <v>Norte Servicios Sociales</v>
      </c>
      <c r="G82" t="s">
        <v>36</v>
      </c>
      <c r="H82" t="s">
        <v>20</v>
      </c>
      <c r="I82" s="20">
        <v>441.29</v>
      </c>
      <c r="J82" t="s">
        <v>9</v>
      </c>
      <c r="K82" t="s">
        <v>503</v>
      </c>
      <c r="L82" t="s">
        <v>503</v>
      </c>
      <c r="M82" s="21">
        <v>30</v>
      </c>
      <c r="N82" t="s">
        <v>21</v>
      </c>
      <c r="O82" s="19">
        <v>3</v>
      </c>
      <c r="P82" s="22">
        <v>2.7657777777777777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3</v>
      </c>
      <c r="S82" t="str">
        <f>InputData[[#This Row],[Col]]&amp;"x"&amp;IF(LEN(InputData[[#This Row],[Alto]])=2,InputData[[#This Row],[Alto]],"0"&amp;InputData[[#This Row],[Alto]])</f>
        <v>3x03</v>
      </c>
    </row>
    <row r="83" spans="1:19" x14ac:dyDescent="0.2">
      <c r="A83" t="s">
        <v>35</v>
      </c>
      <c r="B83" t="s">
        <v>504</v>
      </c>
      <c r="C83" t="s">
        <v>110</v>
      </c>
      <c r="D83" t="s">
        <v>158</v>
      </c>
      <c r="E83" t="s">
        <v>159</v>
      </c>
      <c r="F83" t="str">
        <f>LEFT(InputData[[#This Row],[Referencia]],32)</f>
        <v>FM SOL</v>
      </c>
      <c r="G83" t="s">
        <v>36</v>
      </c>
      <c r="H83" t="s">
        <v>95</v>
      </c>
      <c r="I83" s="20">
        <v>3178.14</v>
      </c>
      <c r="J83" t="s">
        <v>9</v>
      </c>
      <c r="K83" t="s">
        <v>160</v>
      </c>
      <c r="L83" t="s">
        <v>160</v>
      </c>
      <c r="M83" s="21">
        <v>26</v>
      </c>
      <c r="N83" t="s">
        <v>21</v>
      </c>
      <c r="O83" s="19">
        <v>2</v>
      </c>
      <c r="P83" s="22">
        <v>24.10177777777778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24</v>
      </c>
      <c r="S83" t="str">
        <f>InputData[[#This Row],[Col]]&amp;"x"&amp;IF(LEN(InputData[[#This Row],[Alto]])=2,InputData[[#This Row],[Alto]],"0"&amp;InputData[[#This Row],[Alto]])</f>
        <v>2x24</v>
      </c>
    </row>
    <row r="84" spans="1:19" x14ac:dyDescent="0.2">
      <c r="A84" t="s">
        <v>35</v>
      </c>
      <c r="B84" t="s">
        <v>151</v>
      </c>
      <c r="C84" t="s">
        <v>41</v>
      </c>
      <c r="D84" t="s">
        <v>72</v>
      </c>
      <c r="E84" t="s">
        <v>42</v>
      </c>
      <c r="F84" t="str">
        <f>LEFT(InputData[[#This Row],[Referencia]],32)</f>
        <v>TOMBOSUERTE...</v>
      </c>
      <c r="G84" t="s">
        <v>43</v>
      </c>
      <c r="H84" t="s">
        <v>20</v>
      </c>
      <c r="I84" s="20">
        <v>1707.49</v>
      </c>
      <c r="J84" t="s">
        <v>9</v>
      </c>
      <c r="K84" t="s">
        <v>44</v>
      </c>
      <c r="L84" t="s">
        <v>44</v>
      </c>
      <c r="M84" s="21">
        <v>17</v>
      </c>
      <c r="N84" t="s">
        <v>45</v>
      </c>
      <c r="O84" s="19">
        <v>5</v>
      </c>
      <c r="P84" s="22">
        <v>17.000000000722224</v>
      </c>
      <c r="Q84" t="str">
        <f>EVALUATE_LOCATION(InputData[[#This Row],[Section]],InputData[[#This Row],[Forma de Pago]],InputData[[#This Row],[Ubic.Pretendida]],InputData[[#This Row],[Nro pag]])</f>
        <v>&gt;DIFIERE&lt;</v>
      </c>
      <c r="R84">
        <f>ROUND(InputData[[#This Row],[AltoCm]],0)</f>
        <v>17</v>
      </c>
      <c r="S84" t="str">
        <f>InputData[[#This Row],[Col]]&amp;"x"&amp;IF(LEN(InputData[[#This Row],[Alto]])=2,InputData[[#This Row],[Alto]],"0"&amp;InputData[[#This Row],[Alto]])</f>
        <v>5x17</v>
      </c>
    </row>
    <row r="85" spans="1:19" x14ac:dyDescent="0.2">
      <c r="A85" t="s">
        <v>35</v>
      </c>
      <c r="B85" t="s">
        <v>505</v>
      </c>
      <c r="C85" t="s">
        <v>506</v>
      </c>
      <c r="D85" t="s">
        <v>507</v>
      </c>
      <c r="E85" t="s">
        <v>508</v>
      </c>
      <c r="F85" t="str">
        <f>LEFT(InputData[[#This Row],[Referencia]],32)</f>
        <v>BANCO MACRO  PEDIDO: 45000102879</v>
      </c>
      <c r="G85" t="s">
        <v>36</v>
      </c>
      <c r="H85" t="s">
        <v>20</v>
      </c>
      <c r="I85" s="20">
        <v>7692.31</v>
      </c>
      <c r="J85" t="s">
        <v>9</v>
      </c>
      <c r="K85" t="s">
        <v>44</v>
      </c>
      <c r="L85" t="s">
        <v>44</v>
      </c>
      <c r="M85" s="21">
        <v>15</v>
      </c>
      <c r="N85" t="s">
        <v>21</v>
      </c>
      <c r="O85" s="19">
        <v>5</v>
      </c>
      <c r="P85" s="22">
        <v>16.989777777777778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5x17</v>
      </c>
    </row>
    <row r="86" spans="1:19" x14ac:dyDescent="0.2">
      <c r="A86" t="s">
        <v>35</v>
      </c>
      <c r="B86" t="s">
        <v>307</v>
      </c>
      <c r="C86" t="s">
        <v>208</v>
      </c>
      <c r="D86" t="s">
        <v>308</v>
      </c>
      <c r="E86" t="s">
        <v>309</v>
      </c>
      <c r="F86" t="str">
        <f>LEFT(InputData[[#This Row],[Referencia]],32)</f>
        <v>EJESA CONVOCATORIA ASAMBLEA ORDI</v>
      </c>
      <c r="G86" t="s">
        <v>36</v>
      </c>
      <c r="H86" t="s">
        <v>20</v>
      </c>
      <c r="I86" s="20">
        <v>4563.05</v>
      </c>
      <c r="J86" t="s">
        <v>92</v>
      </c>
      <c r="K86" t="s">
        <v>44</v>
      </c>
      <c r="L86" t="s">
        <v>44</v>
      </c>
      <c r="M86" s="21">
        <v>5</v>
      </c>
      <c r="N86" t="s">
        <v>21</v>
      </c>
      <c r="O86" s="19">
        <v>3</v>
      </c>
      <c r="P86" s="22">
        <v>13.433777777777777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13</v>
      </c>
      <c r="S86" t="str">
        <f>InputData[[#This Row],[Col]]&amp;"x"&amp;IF(LEN(InputData[[#This Row],[Alto]])=2,InputData[[#This Row],[Alto]],"0"&amp;InputData[[#This Row],[Alto]])</f>
        <v>3x13</v>
      </c>
    </row>
    <row r="87" spans="1:19" x14ac:dyDescent="0.2">
      <c r="A87" t="s">
        <v>35</v>
      </c>
      <c r="B87" t="s">
        <v>310</v>
      </c>
      <c r="C87" t="s">
        <v>311</v>
      </c>
      <c r="D87" t="s">
        <v>312</v>
      </c>
      <c r="E87" t="s">
        <v>313</v>
      </c>
      <c r="F87" t="str">
        <f>LEFT(InputData[[#This Row],[Referencia]],32)</f>
        <v>EDJESA  CONVOCATORIA ASAMBLEA OR</v>
      </c>
      <c r="G87" t="s">
        <v>36</v>
      </c>
      <c r="H87" t="s">
        <v>20</v>
      </c>
      <c r="I87" s="20">
        <v>4568.4799999999996</v>
      </c>
      <c r="J87" t="s">
        <v>92</v>
      </c>
      <c r="K87" t="s">
        <v>44</v>
      </c>
      <c r="L87" t="s">
        <v>44</v>
      </c>
      <c r="M87" s="21">
        <v>5</v>
      </c>
      <c r="N87" t="s">
        <v>21</v>
      </c>
      <c r="O87" s="19">
        <v>3</v>
      </c>
      <c r="P87" s="22">
        <v>13.433777777777777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3x13</v>
      </c>
    </row>
    <row r="88" spans="1:19" x14ac:dyDescent="0.2">
      <c r="A88" t="s">
        <v>35</v>
      </c>
      <c r="B88" t="s">
        <v>509</v>
      </c>
      <c r="C88" t="s">
        <v>110</v>
      </c>
      <c r="D88" t="s">
        <v>510</v>
      </c>
      <c r="E88" t="s">
        <v>511</v>
      </c>
      <c r="F88" t="str">
        <f>LEFT(InputData[[#This Row],[Referencia]],32)</f>
        <v>PJ JUJUY - RIVAROLA</v>
      </c>
      <c r="G88" t="s">
        <v>36</v>
      </c>
      <c r="H88" t="s">
        <v>95</v>
      </c>
      <c r="I88" s="20">
        <v>6513.32</v>
      </c>
      <c r="J88" t="s">
        <v>9</v>
      </c>
      <c r="K88" t="s">
        <v>44</v>
      </c>
      <c r="L88" t="s">
        <v>44</v>
      </c>
      <c r="M88" s="21">
        <v>7</v>
      </c>
      <c r="N88" t="s">
        <v>21</v>
      </c>
      <c r="O88" s="19">
        <v>4</v>
      </c>
      <c r="P88" s="22">
        <v>20.545777777777779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21</v>
      </c>
      <c r="S88" t="str">
        <f>InputData[[#This Row],[Col]]&amp;"x"&amp;IF(LEN(InputData[[#This Row],[Alto]])=2,InputData[[#This Row],[Alto]],"0"&amp;InputData[[#This Row],[Alto]])</f>
        <v>4x21</v>
      </c>
    </row>
    <row r="89" spans="1:19" x14ac:dyDescent="0.2">
      <c r="A89" t="s">
        <v>35</v>
      </c>
      <c r="B89" t="s">
        <v>512</v>
      </c>
      <c r="C89" t="s">
        <v>513</v>
      </c>
      <c r="D89" t="s">
        <v>514</v>
      </c>
      <c r="E89" t="s">
        <v>515</v>
      </c>
      <c r="F89" t="str">
        <f>LEFT(InputData[[#This Row],[Referencia]],32)</f>
        <v>BINGO LOBO...</v>
      </c>
      <c r="G89" t="s">
        <v>36</v>
      </c>
      <c r="H89" t="s">
        <v>20</v>
      </c>
      <c r="I89" s="20">
        <v>6784.71</v>
      </c>
      <c r="J89" t="s">
        <v>9</v>
      </c>
      <c r="K89" t="s">
        <v>44</v>
      </c>
      <c r="L89" t="s">
        <v>44</v>
      </c>
      <c r="M89" s="21">
        <v>9</v>
      </c>
      <c r="N89" t="s">
        <v>21</v>
      </c>
      <c r="O89" s="19">
        <v>5</v>
      </c>
      <c r="P89" s="22">
        <v>16.989777777777778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17</v>
      </c>
      <c r="S89" t="str">
        <f>InputData[[#This Row],[Col]]&amp;"x"&amp;IF(LEN(InputData[[#This Row],[Alto]])=2,InputData[[#This Row],[Alto]],"0"&amp;InputData[[#This Row],[Alto]])</f>
        <v>5x17</v>
      </c>
    </row>
    <row r="90" spans="1:19" x14ac:dyDescent="0.2">
      <c r="A90" t="s">
        <v>35</v>
      </c>
      <c r="B90" t="s">
        <v>516</v>
      </c>
      <c r="C90" t="s">
        <v>208</v>
      </c>
      <c r="D90" t="s">
        <v>405</v>
      </c>
      <c r="E90" t="s">
        <v>517</v>
      </c>
      <c r="F90" t="str">
        <f>LEFT(InputData[[#This Row],[Referencia]],32)</f>
        <v>EJESA CORTE...</v>
      </c>
      <c r="G90" t="s">
        <v>36</v>
      </c>
      <c r="H90" t="s">
        <v>20</v>
      </c>
      <c r="I90" s="20">
        <v>814.83</v>
      </c>
      <c r="J90" t="s">
        <v>92</v>
      </c>
      <c r="K90" t="s">
        <v>44</v>
      </c>
      <c r="L90" t="s">
        <v>44</v>
      </c>
      <c r="M90" s="21">
        <v>5</v>
      </c>
      <c r="N90" t="s">
        <v>21</v>
      </c>
      <c r="O90" s="19">
        <v>1</v>
      </c>
      <c r="P90" s="22">
        <v>9.8777777777777782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10</v>
      </c>
      <c r="S90" t="str">
        <f>InputData[[#This Row],[Col]]&amp;"x"&amp;IF(LEN(InputData[[#This Row],[Alto]])=2,InputData[[#This Row],[Alto]],"0"&amp;InputData[[#This Row],[Alto]])</f>
        <v>1x10</v>
      </c>
    </row>
    <row r="91" spans="1:19" x14ac:dyDescent="0.2">
      <c r="A91" t="s">
        <v>35</v>
      </c>
      <c r="B91" t="s">
        <v>518</v>
      </c>
      <c r="C91" t="s">
        <v>519</v>
      </c>
      <c r="D91" t="s">
        <v>72</v>
      </c>
      <c r="E91" t="s">
        <v>520</v>
      </c>
      <c r="F91" t="str">
        <f>LEFT(InputData[[#This Row],[Referencia]],32)</f>
        <v>GOBIERNO CALL CENTER 0800-...</v>
      </c>
      <c r="G91" t="s">
        <v>43</v>
      </c>
      <c r="H91" t="s">
        <v>20</v>
      </c>
      <c r="I91" s="20">
        <v>80384.615300000005</v>
      </c>
      <c r="J91" t="s">
        <v>9</v>
      </c>
      <c r="K91" t="s">
        <v>44</v>
      </c>
      <c r="L91" t="s">
        <v>44</v>
      </c>
      <c r="M91" s="21">
        <v>32</v>
      </c>
      <c r="N91" t="s">
        <v>21</v>
      </c>
      <c r="O91" s="19">
        <v>5</v>
      </c>
      <c r="P91" s="22">
        <v>17.000000000722224</v>
      </c>
      <c r="Q91" t="str">
        <f>EVALUATE_LOCATION(InputData[[#This Row],[Section]],InputData[[#This Row],[Forma de Pago]],InputData[[#This Row],[Ubic.Pretendida]],InputData[[#This Row],[Nro pag]])</f>
        <v>&gt;DIFIERE&lt;</v>
      </c>
      <c r="R91">
        <f>ROUND(InputData[[#This Row],[AltoCm]],0)</f>
        <v>17</v>
      </c>
      <c r="S91" t="str">
        <f>InputData[[#This Row],[Col]]&amp;"x"&amp;IF(LEN(InputData[[#This Row],[Alto]])=2,InputData[[#This Row],[Alto]],"0"&amp;InputData[[#This Row],[Alto]])</f>
        <v>5x17</v>
      </c>
    </row>
    <row r="92" spans="1:19" x14ac:dyDescent="0.2">
      <c r="A92" t="s">
        <v>35</v>
      </c>
      <c r="B92" t="s">
        <v>521</v>
      </c>
      <c r="C92" t="s">
        <v>519</v>
      </c>
      <c r="D92" t="s">
        <v>72</v>
      </c>
      <c r="E92" t="s">
        <v>522</v>
      </c>
      <c r="F92" t="str">
        <f>LEFT(InputData[[#This Row],[Referencia]],32)</f>
        <v>GOBIERNO SOLICITADA....</v>
      </c>
      <c r="G92" t="s">
        <v>43</v>
      </c>
      <c r="H92" t="s">
        <v>20</v>
      </c>
      <c r="I92" s="20">
        <v>165497.74</v>
      </c>
      <c r="J92" t="s">
        <v>9</v>
      </c>
      <c r="K92" t="s">
        <v>44</v>
      </c>
      <c r="L92" t="s">
        <v>44</v>
      </c>
      <c r="M92" s="21">
        <v>3</v>
      </c>
      <c r="N92" t="s">
        <v>45</v>
      </c>
      <c r="O92" s="19">
        <v>5</v>
      </c>
      <c r="P92" s="22">
        <v>35.000000001694445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35</v>
      </c>
      <c r="S92" t="str">
        <f>InputData[[#This Row],[Col]]&amp;"x"&amp;IF(LEN(InputData[[#This Row],[Alto]])=2,InputData[[#This Row],[Alto]],"0"&amp;InputData[[#This Row],[Alto]])</f>
        <v>5x35</v>
      </c>
    </row>
    <row r="93" spans="1:19" x14ac:dyDescent="0.2">
      <c r="A93" t="s">
        <v>35</v>
      </c>
      <c r="B93" t="s">
        <v>523</v>
      </c>
      <c r="C93" t="s">
        <v>524</v>
      </c>
      <c r="D93" t="s">
        <v>525</v>
      </c>
      <c r="E93" t="s">
        <v>526</v>
      </c>
      <c r="F93" t="str">
        <f>LEFT(InputData[[#This Row],[Referencia]],32)</f>
        <v>ANIVERSARIO GINMASIA ING. ULLOA</v>
      </c>
      <c r="G93" t="s">
        <v>36</v>
      </c>
      <c r="H93" t="s">
        <v>20</v>
      </c>
      <c r="I93" s="20">
        <v>4524.8900000000003</v>
      </c>
      <c r="J93" t="s">
        <v>9</v>
      </c>
      <c r="K93" t="s">
        <v>527</v>
      </c>
      <c r="L93" t="s">
        <v>527</v>
      </c>
      <c r="M93" s="21">
        <v>27</v>
      </c>
      <c r="N93" t="s">
        <v>45</v>
      </c>
      <c r="O93" s="19">
        <v>5</v>
      </c>
      <c r="P93" s="22">
        <v>34.769777777777783</v>
      </c>
      <c r="Q93" t="str">
        <f>EVALUATE_LOCATION(InputData[[#This Row],[Section]],InputData[[#This Row],[Forma de Pago]],InputData[[#This Row],[Ubic.Pretendida]],InputData[[#This Row],[Nro pag]])</f>
        <v>&gt;DIFIERE&lt;</v>
      </c>
      <c r="R93">
        <f>ROUND(InputData[[#This Row],[AltoCm]],0)</f>
        <v>35</v>
      </c>
      <c r="S93" t="str">
        <f>InputData[[#This Row],[Col]]&amp;"x"&amp;IF(LEN(InputData[[#This Row],[Alto]])=2,InputData[[#This Row],[Alto]],"0"&amp;InputData[[#This Row],[Alto]])</f>
        <v>5x35</v>
      </c>
    </row>
    <row r="94" spans="1:19" x14ac:dyDescent="0.2">
      <c r="A94" t="s">
        <v>46</v>
      </c>
      <c r="B94" t="s">
        <v>111</v>
      </c>
      <c r="C94" t="s">
        <v>107</v>
      </c>
      <c r="E94" t="s">
        <v>119</v>
      </c>
      <c r="F94" t="str">
        <f>LEFT(InputData[[#This Row],[Referencia]],32)</f>
        <v>PSICOPEDAGOGIA  Lic. DOLORES JUA</v>
      </c>
      <c r="G94" t="s">
        <v>47</v>
      </c>
      <c r="H94" t="s">
        <v>23</v>
      </c>
      <c r="I94" s="20">
        <v>39.315916666666674</v>
      </c>
      <c r="J94" t="s">
        <v>92</v>
      </c>
      <c r="K94" t="s">
        <v>108</v>
      </c>
      <c r="M94" s="21">
        <v>0</v>
      </c>
      <c r="N94" t="s">
        <v>21</v>
      </c>
      <c r="O94" s="19">
        <v>2</v>
      </c>
      <c r="P94" s="22">
        <v>3.0000000007500001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3</v>
      </c>
      <c r="S94" t="str">
        <f>InputData[[#This Row],[Col]]&amp;"x"&amp;IF(LEN(InputData[[#This Row],[Alto]])=2,InputData[[#This Row],[Alto]],"0"&amp;InputData[[#This Row],[Alto]])</f>
        <v>2x03</v>
      </c>
    </row>
    <row r="95" spans="1:19" x14ac:dyDescent="0.2">
      <c r="A95" t="s">
        <v>46</v>
      </c>
      <c r="B95" t="s">
        <v>201</v>
      </c>
      <c r="C95" t="s">
        <v>202</v>
      </c>
      <c r="E95" t="s">
        <v>203</v>
      </c>
      <c r="F95" t="str">
        <f>LEFT(InputData[[#This Row],[Referencia]],32)</f>
        <v>CONSULTORIO DE PODOLOGIA GABRIEL</v>
      </c>
      <c r="G95" t="s">
        <v>47</v>
      </c>
      <c r="H95" t="s">
        <v>23</v>
      </c>
      <c r="I95" s="20">
        <v>65.526666666666671</v>
      </c>
      <c r="J95" t="s">
        <v>9</v>
      </c>
      <c r="K95" t="s">
        <v>204</v>
      </c>
      <c r="M95" s="21">
        <v>0</v>
      </c>
      <c r="N95" t="s">
        <v>21</v>
      </c>
      <c r="O95" s="19">
        <v>2</v>
      </c>
      <c r="P95" s="22">
        <v>5.0000000012500001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5</v>
      </c>
      <c r="S95" t="str">
        <f>InputData[[#This Row],[Col]]&amp;"x"&amp;IF(LEN(InputData[[#This Row],[Alto]])=2,InputData[[#This Row],[Alto]],"0"&amp;InputData[[#This Row],[Alto]])</f>
        <v>2x05</v>
      </c>
    </row>
    <row r="96" spans="1:19" x14ac:dyDescent="0.2">
      <c r="A96" t="s">
        <v>46</v>
      </c>
      <c r="B96" t="s">
        <v>278</v>
      </c>
      <c r="C96" t="s">
        <v>279</v>
      </c>
      <c r="E96" t="s">
        <v>280</v>
      </c>
      <c r="F96" t="str">
        <f>LEFT(InputData[[#This Row],[Referencia]],32)</f>
        <v>Dra. Claudia M. Bianco OTORRINOL</v>
      </c>
      <c r="G96" t="s">
        <v>47</v>
      </c>
      <c r="H96" t="s">
        <v>23</v>
      </c>
      <c r="I96" s="20">
        <v>26.210666666666668</v>
      </c>
      <c r="J96" t="s">
        <v>92</v>
      </c>
      <c r="K96" t="s">
        <v>281</v>
      </c>
      <c r="M96" s="21">
        <v>0</v>
      </c>
      <c r="N96" t="s">
        <v>21</v>
      </c>
      <c r="O96" s="19">
        <v>2</v>
      </c>
      <c r="P96" s="22">
        <v>2.0000000005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2</v>
      </c>
      <c r="S96" t="str">
        <f>InputData[[#This Row],[Col]]&amp;"x"&amp;IF(LEN(InputData[[#This Row],[Alto]])=2,InputData[[#This Row],[Alto]],"0"&amp;InputData[[#This Row],[Alto]])</f>
        <v>2x02</v>
      </c>
    </row>
    <row r="97" spans="1:19" x14ac:dyDescent="0.2">
      <c r="A97" t="s">
        <v>46</v>
      </c>
      <c r="B97" t="s">
        <v>120</v>
      </c>
      <c r="C97" t="s">
        <v>121</v>
      </c>
      <c r="E97" t="s">
        <v>122</v>
      </c>
      <c r="F97" t="str">
        <f>LEFT(InputData[[#This Row],[Referencia]],32)</f>
        <v>LIC. DIEGO CRUZ QUIROPRAXIA</v>
      </c>
      <c r="G97" t="s">
        <v>47</v>
      </c>
      <c r="H97" t="s">
        <v>23</v>
      </c>
      <c r="I97" s="20">
        <v>26.210666666666668</v>
      </c>
      <c r="J97" t="s">
        <v>92</v>
      </c>
      <c r="K97" t="s">
        <v>48</v>
      </c>
      <c r="M97" s="21">
        <v>0</v>
      </c>
      <c r="N97" t="s">
        <v>21</v>
      </c>
      <c r="O97" s="19">
        <v>2</v>
      </c>
      <c r="P97" s="22">
        <v>2.0000000005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2</v>
      </c>
      <c r="S97" t="str">
        <f>InputData[[#This Row],[Col]]&amp;"x"&amp;IF(LEN(InputData[[#This Row],[Alto]])=2,InputData[[#This Row],[Alto]],"0"&amp;InputData[[#This Row],[Alto]])</f>
        <v>2x02</v>
      </c>
    </row>
    <row r="98" spans="1:19" x14ac:dyDescent="0.2">
      <c r="A98" t="s">
        <v>46</v>
      </c>
      <c r="B98" t="s">
        <v>168</v>
      </c>
      <c r="C98" t="s">
        <v>169</v>
      </c>
      <c r="E98" t="s">
        <v>170</v>
      </c>
      <c r="F98" t="str">
        <f>LEFT(InputData[[#This Row],[Referencia]],32)</f>
        <v>PROBLEMAS DE COLUMNA Y EXTREMIDA</v>
      </c>
      <c r="G98" t="s">
        <v>47</v>
      </c>
      <c r="H98" t="s">
        <v>23</v>
      </c>
      <c r="I98" s="20">
        <v>39.315833333333337</v>
      </c>
      <c r="J98" t="s">
        <v>92</v>
      </c>
      <c r="K98" t="s">
        <v>48</v>
      </c>
      <c r="M98" s="21">
        <v>0</v>
      </c>
      <c r="N98" t="s">
        <v>21</v>
      </c>
      <c r="O98" s="19">
        <v>2</v>
      </c>
      <c r="P98" s="22">
        <v>3.0000000007500001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3</v>
      </c>
      <c r="S98" t="str">
        <f>InputData[[#This Row],[Col]]&amp;"x"&amp;IF(LEN(InputData[[#This Row],[Alto]])=2,InputData[[#This Row],[Alto]],"0"&amp;InputData[[#This Row],[Alto]])</f>
        <v>2x03</v>
      </c>
    </row>
    <row r="99" spans="1:19" x14ac:dyDescent="0.2">
      <c r="A99" t="s">
        <v>46</v>
      </c>
      <c r="B99" t="s">
        <v>152</v>
      </c>
      <c r="C99" t="s">
        <v>80</v>
      </c>
      <c r="D99" t="s">
        <v>153</v>
      </c>
      <c r="E99" t="s">
        <v>81</v>
      </c>
      <c r="F99" t="str">
        <f>LEFT(InputData[[#This Row],[Referencia]],32)</f>
        <v>Consultorios AV</v>
      </c>
      <c r="G99" t="s">
        <v>47</v>
      </c>
      <c r="H99" t="s">
        <v>20</v>
      </c>
      <c r="I99" s="20">
        <v>74.404193548387099</v>
      </c>
      <c r="J99" t="s">
        <v>92</v>
      </c>
      <c r="K99" t="s">
        <v>106</v>
      </c>
      <c r="M99" s="21">
        <v>0</v>
      </c>
      <c r="N99" t="s">
        <v>21</v>
      </c>
      <c r="O99" s="19">
        <v>2</v>
      </c>
      <c r="P99" s="22">
        <v>4.0000000010000001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4</v>
      </c>
      <c r="S99" t="str">
        <f>InputData[[#This Row],[Col]]&amp;"x"&amp;IF(LEN(InputData[[#This Row],[Alto]])=2,InputData[[#This Row],[Alto]],"0"&amp;InputData[[#This Row],[Alto]])</f>
        <v>2x04</v>
      </c>
    </row>
    <row r="100" spans="1:19" x14ac:dyDescent="0.2">
      <c r="A100" t="s">
        <v>46</v>
      </c>
      <c r="B100" t="s">
        <v>172</v>
      </c>
      <c r="C100" t="s">
        <v>173</v>
      </c>
      <c r="E100" t="s">
        <v>174</v>
      </c>
      <c r="F100" t="str">
        <f>LEFT(InputData[[#This Row],[Referencia]],32)</f>
        <v>////LOGO///// DERECHO DE FAMILIA</v>
      </c>
      <c r="G100" t="s">
        <v>47</v>
      </c>
      <c r="H100" t="s">
        <v>23</v>
      </c>
      <c r="I100" s="20">
        <v>40.6265</v>
      </c>
      <c r="J100" t="s">
        <v>92</v>
      </c>
      <c r="K100" t="s">
        <v>49</v>
      </c>
      <c r="M100" s="21">
        <v>0</v>
      </c>
      <c r="N100" t="s">
        <v>21</v>
      </c>
      <c r="O100" s="19">
        <v>2</v>
      </c>
      <c r="P100" s="22">
        <v>3.0000000007500001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3</v>
      </c>
      <c r="S100" t="str">
        <f>InputData[[#This Row],[Col]]&amp;"x"&amp;IF(LEN(InputData[[#This Row],[Alto]])=2,InputData[[#This Row],[Alto]],"0"&amp;InputData[[#This Row],[Alto]])</f>
        <v>2x03</v>
      </c>
    </row>
    <row r="101" spans="1:19" x14ac:dyDescent="0.2">
      <c r="A101" t="s">
        <v>46</v>
      </c>
      <c r="B101" t="s">
        <v>175</v>
      </c>
      <c r="C101" t="s">
        <v>102</v>
      </c>
      <c r="E101" t="s">
        <v>123</v>
      </c>
      <c r="F101" t="str">
        <f>LEFT(InputData[[#This Row],[Referencia]],32)</f>
        <v>Dr. Alejandro Daniel Copa Dra. V</v>
      </c>
      <c r="G101" t="s">
        <v>47</v>
      </c>
      <c r="H101" t="s">
        <v>23</v>
      </c>
      <c r="I101" s="20">
        <v>139.79</v>
      </c>
      <c r="J101" t="s">
        <v>92</v>
      </c>
      <c r="K101" t="s">
        <v>49</v>
      </c>
      <c r="M101" s="21">
        <v>0</v>
      </c>
      <c r="N101" t="s">
        <v>21</v>
      </c>
      <c r="O101" s="19">
        <v>2</v>
      </c>
      <c r="P101" s="22">
        <v>5.0000000012500001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5</v>
      </c>
      <c r="S101" t="str">
        <f>InputData[[#This Row],[Col]]&amp;"x"&amp;IF(LEN(InputData[[#This Row],[Alto]])=2,InputData[[#This Row],[Alto]],"0"&amp;InputData[[#This Row],[Alto]])</f>
        <v>2x05</v>
      </c>
    </row>
    <row r="102" spans="1:19" x14ac:dyDescent="0.2">
      <c r="A102" t="s">
        <v>46</v>
      </c>
      <c r="B102" t="s">
        <v>124</v>
      </c>
      <c r="C102" t="s">
        <v>125</v>
      </c>
      <c r="E102" t="s">
        <v>126</v>
      </c>
      <c r="F102" t="str">
        <f>LEFT(InputData[[#This Row],[Referencia]],32)</f>
        <v xml:space="preserve"> TERRAZAS Y ORCE REMIS ESTUDIO J</v>
      </c>
      <c r="G102" t="s">
        <v>47</v>
      </c>
      <c r="H102" t="s">
        <v>23</v>
      </c>
      <c r="I102" s="20">
        <v>131.053</v>
      </c>
      <c r="J102" t="s">
        <v>92</v>
      </c>
      <c r="K102" t="s">
        <v>49</v>
      </c>
      <c r="M102" s="21">
        <v>0</v>
      </c>
      <c r="N102" t="s">
        <v>21</v>
      </c>
      <c r="O102" s="19">
        <v>2</v>
      </c>
      <c r="P102" s="22">
        <v>9.999999998972223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10</v>
      </c>
      <c r="S102" t="str">
        <f>InputData[[#This Row],[Col]]&amp;"x"&amp;IF(LEN(InputData[[#This Row],[Alto]])=2,InputData[[#This Row],[Alto]],"0"&amp;InputData[[#This Row],[Alto]])</f>
        <v>2x10</v>
      </c>
    </row>
    <row r="103" spans="1:19" x14ac:dyDescent="0.2">
      <c r="A103" t="s">
        <v>46</v>
      </c>
      <c r="B103" t="s">
        <v>129</v>
      </c>
      <c r="C103" t="s">
        <v>130</v>
      </c>
      <c r="E103" t="s">
        <v>131</v>
      </c>
      <c r="F103" t="str">
        <f>LEFT(InputData[[#This Row],[Referencia]],32)</f>
        <v xml:space="preserve"> ESTUDIO JURIDICO LOPEZ SALGADO </v>
      </c>
      <c r="G103" t="s">
        <v>47</v>
      </c>
      <c r="H103" t="s">
        <v>23</v>
      </c>
      <c r="I103" s="20">
        <v>26.210666666666668</v>
      </c>
      <c r="J103" t="s">
        <v>92</v>
      </c>
      <c r="K103" t="s">
        <v>49</v>
      </c>
      <c r="M103" s="21">
        <v>0</v>
      </c>
      <c r="N103" t="s">
        <v>21</v>
      </c>
      <c r="O103" s="19">
        <v>2</v>
      </c>
      <c r="P103" s="22">
        <v>2.0000000005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2</v>
      </c>
      <c r="S103" t="str">
        <f>InputData[[#This Row],[Col]]&amp;"x"&amp;IF(LEN(InputData[[#This Row],[Alto]])=2,InputData[[#This Row],[Alto]],"0"&amp;InputData[[#This Row],[Alto]])</f>
        <v>2x02</v>
      </c>
    </row>
    <row r="104" spans="1:19" x14ac:dyDescent="0.2">
      <c r="A104" t="s">
        <v>46</v>
      </c>
      <c r="B104" t="s">
        <v>528</v>
      </c>
      <c r="C104" t="s">
        <v>314</v>
      </c>
      <c r="E104" t="s">
        <v>315</v>
      </c>
      <c r="F104" t="str">
        <f>LEFT(InputData[[#This Row],[Referencia]],32)</f>
        <v>MARIA GABRIELA LABARTA        AB</v>
      </c>
      <c r="G104" t="s">
        <v>47</v>
      </c>
      <c r="H104" t="s">
        <v>23</v>
      </c>
      <c r="I104" s="20">
        <v>65.526666666666671</v>
      </c>
      <c r="J104" t="s">
        <v>92</v>
      </c>
      <c r="K104" t="s">
        <v>49</v>
      </c>
      <c r="M104" s="21">
        <v>0</v>
      </c>
      <c r="N104" t="s">
        <v>21</v>
      </c>
      <c r="O104" s="19">
        <v>2</v>
      </c>
      <c r="P104" s="22">
        <v>5.0000000012500001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5</v>
      </c>
      <c r="S104" t="str">
        <f>InputData[[#This Row],[Col]]&amp;"x"&amp;IF(LEN(InputData[[#This Row],[Alto]])=2,InputData[[#This Row],[Alto]],"0"&amp;InputData[[#This Row],[Alto]])</f>
        <v>2x05</v>
      </c>
    </row>
    <row r="105" spans="1:19" x14ac:dyDescent="0.2">
      <c r="A105" t="s">
        <v>236</v>
      </c>
      <c r="B105" t="s">
        <v>529</v>
      </c>
      <c r="C105" t="s">
        <v>530</v>
      </c>
      <c r="E105" t="s">
        <v>531</v>
      </c>
      <c r="F105" t="str">
        <f>LEFT(InputData[[#This Row],[Referencia]],32)</f>
        <v>SEPELIOS SAN JOSE S.R.L. SERVICI</v>
      </c>
      <c r="G105" t="s">
        <v>237</v>
      </c>
      <c r="H105" t="s">
        <v>23</v>
      </c>
      <c r="I105" s="20">
        <v>287.71099999999996</v>
      </c>
      <c r="J105" t="s">
        <v>9</v>
      </c>
      <c r="K105" t="s">
        <v>238</v>
      </c>
      <c r="M105" s="21">
        <v>0</v>
      </c>
      <c r="N105" t="s">
        <v>21</v>
      </c>
      <c r="O105" s="19">
        <v>1</v>
      </c>
      <c r="P105" s="22">
        <v>6.3217777777777773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6</v>
      </c>
      <c r="S105" t="str">
        <f>InputData[[#This Row],[Col]]&amp;"x"&amp;IF(LEN(InputData[[#This Row],[Alto]])=2,InputData[[#This Row],[Alto]],"0"&amp;InputData[[#This Row],[Alto]])</f>
        <v>1x06</v>
      </c>
    </row>
    <row r="106" spans="1:19" x14ac:dyDescent="0.2">
      <c r="A106" t="s">
        <v>532</v>
      </c>
      <c r="B106" t="s">
        <v>533</v>
      </c>
      <c r="C106" t="s">
        <v>534</v>
      </c>
      <c r="D106" t="s">
        <v>535</v>
      </c>
      <c r="E106" t="s">
        <v>536</v>
      </c>
      <c r="F106" t="str">
        <f>LEFT(InputData[[#This Row],[Referencia]],32)</f>
        <v>CENTRO VOLKSWAGEN-SUP. AUTOMOTOR</v>
      </c>
      <c r="G106" t="s">
        <v>36</v>
      </c>
      <c r="H106" t="s">
        <v>20</v>
      </c>
      <c r="I106" s="20">
        <v>871.56000000000006</v>
      </c>
      <c r="J106" t="s">
        <v>9</v>
      </c>
      <c r="K106" t="s">
        <v>39</v>
      </c>
      <c r="L106" t="s">
        <v>39</v>
      </c>
      <c r="M106" s="21">
        <v>6</v>
      </c>
      <c r="N106" t="s">
        <v>21</v>
      </c>
      <c r="O106" s="19">
        <v>3</v>
      </c>
      <c r="P106" s="22">
        <v>9.8777777777777782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10</v>
      </c>
      <c r="S106" t="str">
        <f>InputData[[#This Row],[Col]]&amp;"x"&amp;IF(LEN(InputData[[#This Row],[Alto]])=2,InputData[[#This Row],[Alto]],"0"&amp;InputData[[#This Row],[Alto]])</f>
        <v>3x10</v>
      </c>
    </row>
    <row r="107" spans="1:19" x14ac:dyDescent="0.2">
      <c r="A107" t="s">
        <v>532</v>
      </c>
      <c r="B107" t="s">
        <v>537</v>
      </c>
      <c r="C107" t="s">
        <v>538</v>
      </c>
      <c r="D107" t="s">
        <v>539</v>
      </c>
      <c r="E107" t="s">
        <v>540</v>
      </c>
      <c r="F107" t="str">
        <f>LEFT(InputData[[#This Row],[Referencia]],32)</f>
        <v>HAFID</v>
      </c>
      <c r="G107" t="s">
        <v>36</v>
      </c>
      <c r="H107" t="s">
        <v>20</v>
      </c>
      <c r="I107" s="20">
        <v>387.36</v>
      </c>
      <c r="J107" t="s">
        <v>9</v>
      </c>
      <c r="K107" t="s">
        <v>39</v>
      </c>
      <c r="L107" t="s">
        <v>39</v>
      </c>
      <c r="M107" s="21">
        <v>6</v>
      </c>
      <c r="N107" t="s">
        <v>21</v>
      </c>
      <c r="O107" s="19">
        <v>2</v>
      </c>
      <c r="P107" s="22">
        <v>6.3217777777777773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6</v>
      </c>
      <c r="S107" t="str">
        <f>InputData[[#This Row],[Col]]&amp;"x"&amp;IF(LEN(InputData[[#This Row],[Alto]])=2,InputData[[#This Row],[Alto]],"0"&amp;InputData[[#This Row],[Alto]])</f>
        <v>2x06</v>
      </c>
    </row>
    <row r="108" spans="1:19" x14ac:dyDescent="0.2">
      <c r="A108" t="s">
        <v>532</v>
      </c>
      <c r="B108" t="s">
        <v>541</v>
      </c>
      <c r="C108" t="s">
        <v>542</v>
      </c>
      <c r="D108" t="s">
        <v>543</v>
      </c>
      <c r="E108" t="s">
        <v>544</v>
      </c>
      <c r="F108" t="str">
        <f>LEFT(InputData[[#This Row],[Referencia]],32)</f>
        <v>CENTRO AUTOMOTOR</v>
      </c>
      <c r="G108" t="s">
        <v>36</v>
      </c>
      <c r="H108" t="s">
        <v>20</v>
      </c>
      <c r="I108" s="20">
        <v>774.72</v>
      </c>
      <c r="J108" t="s">
        <v>9</v>
      </c>
      <c r="K108" t="s">
        <v>39</v>
      </c>
      <c r="L108" t="s">
        <v>39</v>
      </c>
      <c r="M108" s="21">
        <v>2</v>
      </c>
      <c r="N108" t="s">
        <v>21</v>
      </c>
      <c r="O108" s="19">
        <v>2</v>
      </c>
      <c r="P108" s="22">
        <v>13.433777777777777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13</v>
      </c>
      <c r="S108" t="str">
        <f>InputData[[#This Row],[Col]]&amp;"x"&amp;IF(LEN(InputData[[#This Row],[Alto]])=2,InputData[[#This Row],[Alto]],"0"&amp;InputData[[#This Row],[Alto]])</f>
        <v>2x13</v>
      </c>
    </row>
    <row r="109" spans="1:19" x14ac:dyDescent="0.2">
      <c r="A109" t="s">
        <v>532</v>
      </c>
      <c r="B109" t="s">
        <v>545</v>
      </c>
      <c r="C109" t="s">
        <v>546</v>
      </c>
      <c r="D109" t="s">
        <v>547</v>
      </c>
      <c r="E109" t="s">
        <v>548</v>
      </c>
      <c r="F109" t="str">
        <f>LEFT(InputData[[#This Row],[Referencia]],32)</f>
        <v>LUBRINOR</v>
      </c>
      <c r="G109" t="s">
        <v>36</v>
      </c>
      <c r="H109" t="s">
        <v>20</v>
      </c>
      <c r="I109" s="20">
        <v>871.56000000000006</v>
      </c>
      <c r="J109" t="s">
        <v>9</v>
      </c>
      <c r="K109" t="s">
        <v>39</v>
      </c>
      <c r="L109" t="s">
        <v>39</v>
      </c>
      <c r="M109" s="21">
        <v>7</v>
      </c>
      <c r="N109" t="s">
        <v>21</v>
      </c>
      <c r="O109" s="19">
        <v>3</v>
      </c>
      <c r="P109" s="22">
        <v>9.8777777777777782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10</v>
      </c>
      <c r="S109" t="str">
        <f>InputData[[#This Row],[Col]]&amp;"x"&amp;IF(LEN(InputData[[#This Row],[Alto]])=2,InputData[[#This Row],[Alto]],"0"&amp;InputData[[#This Row],[Alto]])</f>
        <v>3x10</v>
      </c>
    </row>
    <row r="110" spans="1:19" x14ac:dyDescent="0.2">
      <c r="A110" t="s">
        <v>532</v>
      </c>
      <c r="B110" t="s">
        <v>549</v>
      </c>
      <c r="C110" t="s">
        <v>550</v>
      </c>
      <c r="D110" t="s">
        <v>551</v>
      </c>
      <c r="E110" t="s">
        <v>552</v>
      </c>
      <c r="F110" t="str">
        <f>LEFT(InputData[[#This Row],[Referencia]],32)</f>
        <v>DFD Repuestos</v>
      </c>
      <c r="G110" t="s">
        <v>36</v>
      </c>
      <c r="H110" t="s">
        <v>20</v>
      </c>
      <c r="I110" s="20">
        <v>387.36</v>
      </c>
      <c r="J110" t="s">
        <v>9</v>
      </c>
      <c r="K110" t="s">
        <v>39</v>
      </c>
      <c r="L110" t="s">
        <v>39</v>
      </c>
      <c r="M110" s="21">
        <v>3</v>
      </c>
      <c r="N110" t="s">
        <v>21</v>
      </c>
      <c r="O110" s="19">
        <v>2</v>
      </c>
      <c r="P110" s="22">
        <v>6.3217777777777773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6</v>
      </c>
      <c r="S110" t="str">
        <f>InputData[[#This Row],[Col]]&amp;"x"&amp;IF(LEN(InputData[[#This Row],[Alto]])=2,InputData[[#This Row],[Alto]],"0"&amp;InputData[[#This Row],[Alto]])</f>
        <v>2x06</v>
      </c>
    </row>
    <row r="111" spans="1:19" x14ac:dyDescent="0.2">
      <c r="A111" t="s">
        <v>532</v>
      </c>
      <c r="B111" t="s">
        <v>553</v>
      </c>
      <c r="C111" t="s">
        <v>346</v>
      </c>
      <c r="D111" t="s">
        <v>554</v>
      </c>
      <c r="E111" t="s">
        <v>555</v>
      </c>
      <c r="F111" t="str">
        <f>LEFT(InputData[[#This Row],[Referencia]],32)</f>
        <v>Xtreme Neumáticos</v>
      </c>
      <c r="G111" t="s">
        <v>36</v>
      </c>
      <c r="H111" t="s">
        <v>20</v>
      </c>
      <c r="I111" s="20">
        <v>387.36</v>
      </c>
      <c r="J111" t="s">
        <v>9</v>
      </c>
      <c r="K111" t="s">
        <v>39</v>
      </c>
      <c r="L111" t="s">
        <v>39</v>
      </c>
      <c r="M111" s="21">
        <v>3</v>
      </c>
      <c r="N111" t="s">
        <v>21</v>
      </c>
      <c r="O111" s="19">
        <v>2</v>
      </c>
      <c r="P111" s="22">
        <v>6.3217777777777773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6</v>
      </c>
      <c r="S111" t="str">
        <f>InputData[[#This Row],[Col]]&amp;"x"&amp;IF(LEN(InputData[[#This Row],[Alto]])=2,InputData[[#This Row],[Alto]],"0"&amp;InputData[[#This Row],[Alto]])</f>
        <v>2x06</v>
      </c>
    </row>
    <row r="112" spans="1:19" x14ac:dyDescent="0.2">
      <c r="A112" t="s">
        <v>532</v>
      </c>
      <c r="B112" t="s">
        <v>556</v>
      </c>
      <c r="C112" t="s">
        <v>557</v>
      </c>
      <c r="D112" t="s">
        <v>558</v>
      </c>
      <c r="E112" t="s">
        <v>559</v>
      </c>
      <c r="F112" t="str">
        <f>LEFT(InputData[[#This Row],[Referencia]],32)</f>
        <v>El Lobito Repuestos</v>
      </c>
      <c r="G112" t="s">
        <v>36</v>
      </c>
      <c r="H112" t="s">
        <v>20</v>
      </c>
      <c r="I112" s="20">
        <v>387.36</v>
      </c>
      <c r="J112" t="s">
        <v>9</v>
      </c>
      <c r="K112" t="s">
        <v>39</v>
      </c>
      <c r="L112" t="s">
        <v>39</v>
      </c>
      <c r="M112" s="21">
        <v>7</v>
      </c>
      <c r="N112" t="s">
        <v>21</v>
      </c>
      <c r="O112" s="19">
        <v>2</v>
      </c>
      <c r="P112" s="22">
        <v>6.3217777777777773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6</v>
      </c>
      <c r="S112" t="str">
        <f>InputData[[#This Row],[Col]]&amp;"x"&amp;IF(LEN(InputData[[#This Row],[Alto]])=2,InputData[[#This Row],[Alto]],"0"&amp;InputData[[#This Row],[Alto]])</f>
        <v>2x06</v>
      </c>
    </row>
    <row r="113" spans="1:19" x14ac:dyDescent="0.2">
      <c r="A113" t="s">
        <v>532</v>
      </c>
      <c r="B113" t="s">
        <v>560</v>
      </c>
      <c r="C113" t="s">
        <v>561</v>
      </c>
      <c r="D113" t="s">
        <v>562</v>
      </c>
      <c r="E113" t="s">
        <v>563</v>
      </c>
      <c r="F113" t="str">
        <f>LEFT(InputData[[#This Row],[Referencia]],32)</f>
        <v>Neumatone</v>
      </c>
      <c r="G113" t="s">
        <v>36</v>
      </c>
      <c r="H113" t="s">
        <v>20</v>
      </c>
      <c r="I113" s="20">
        <v>871.56000000000006</v>
      </c>
      <c r="J113" t="s">
        <v>9</v>
      </c>
      <c r="K113" t="s">
        <v>39</v>
      </c>
      <c r="L113" t="s">
        <v>39</v>
      </c>
      <c r="M113" s="21">
        <v>2</v>
      </c>
      <c r="N113" t="s">
        <v>21</v>
      </c>
      <c r="O113" s="19">
        <v>3</v>
      </c>
      <c r="P113" s="22">
        <v>9.8777777777777782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10</v>
      </c>
      <c r="S113" t="str">
        <f>InputData[[#This Row],[Col]]&amp;"x"&amp;IF(LEN(InputData[[#This Row],[Alto]])=2,InputData[[#This Row],[Alto]],"0"&amp;InputData[[#This Row],[Alto]])</f>
        <v>3x10</v>
      </c>
    </row>
    <row r="114" spans="1:19" x14ac:dyDescent="0.2">
      <c r="A114" t="s">
        <v>532</v>
      </c>
      <c r="B114" t="s">
        <v>564</v>
      </c>
      <c r="C114" t="s">
        <v>565</v>
      </c>
      <c r="D114" t="s">
        <v>566</v>
      </c>
      <c r="E114" t="s">
        <v>567</v>
      </c>
      <c r="F114" t="str">
        <f>LEFT(InputData[[#This Row],[Referencia]],32)</f>
        <v>Motonoa</v>
      </c>
      <c r="G114" t="s">
        <v>36</v>
      </c>
      <c r="H114" t="s">
        <v>20</v>
      </c>
      <c r="I114" s="20">
        <v>581.04</v>
      </c>
      <c r="J114" t="s">
        <v>9</v>
      </c>
      <c r="K114" t="s">
        <v>39</v>
      </c>
      <c r="L114" t="s">
        <v>39</v>
      </c>
      <c r="M114" s="21">
        <v>6</v>
      </c>
      <c r="N114" t="s">
        <v>21</v>
      </c>
      <c r="O114" s="19">
        <v>3</v>
      </c>
      <c r="P114" s="22">
        <v>6.3217777777777773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6</v>
      </c>
      <c r="S114" t="str">
        <f>InputData[[#This Row],[Col]]&amp;"x"&amp;IF(LEN(InputData[[#This Row],[Alto]])=2,InputData[[#This Row],[Alto]],"0"&amp;InputData[[#This Row],[Alto]])</f>
        <v>3x06</v>
      </c>
    </row>
    <row r="115" spans="1:19" x14ac:dyDescent="0.2">
      <c r="A115" t="s">
        <v>532</v>
      </c>
      <c r="B115" t="s">
        <v>568</v>
      </c>
      <c r="C115" t="s">
        <v>569</v>
      </c>
      <c r="D115" t="s">
        <v>570</v>
      </c>
      <c r="E115" t="s">
        <v>571</v>
      </c>
      <c r="F115" t="str">
        <f>LEFT(InputData[[#This Row],[Referencia]],32)</f>
        <v>Toyojuy-Chevrojuy</v>
      </c>
      <c r="G115" t="s">
        <v>36</v>
      </c>
      <c r="H115" t="s">
        <v>20</v>
      </c>
      <c r="I115" s="20">
        <v>774.72</v>
      </c>
      <c r="J115" t="s">
        <v>9</v>
      </c>
      <c r="K115" t="s">
        <v>39</v>
      </c>
      <c r="L115" t="s">
        <v>39</v>
      </c>
      <c r="M115" s="21">
        <v>4</v>
      </c>
      <c r="N115" t="s">
        <v>21</v>
      </c>
      <c r="O115" s="19">
        <v>4</v>
      </c>
      <c r="P115" s="22">
        <v>6.3217777777777773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6</v>
      </c>
      <c r="S115" t="str">
        <f>InputData[[#This Row],[Col]]&amp;"x"&amp;IF(LEN(InputData[[#This Row],[Alto]])=2,InputData[[#This Row],[Alto]],"0"&amp;InputData[[#This Row],[Alto]])</f>
        <v>4x06</v>
      </c>
    </row>
    <row r="116" spans="1:19" x14ac:dyDescent="0.2">
      <c r="A116" t="s">
        <v>532</v>
      </c>
      <c r="B116" t="s">
        <v>572</v>
      </c>
      <c r="C116" t="s">
        <v>573</v>
      </c>
      <c r="D116" t="s">
        <v>574</v>
      </c>
      <c r="E116" t="s">
        <v>575</v>
      </c>
      <c r="F116" t="str">
        <f>LEFT(InputData[[#This Row],[Referencia]],32)</f>
        <v>Warnes Repuestos</v>
      </c>
      <c r="G116" t="s">
        <v>36</v>
      </c>
      <c r="H116" t="s">
        <v>20</v>
      </c>
      <c r="I116" s="20">
        <v>484.2</v>
      </c>
      <c r="J116" t="s">
        <v>9</v>
      </c>
      <c r="K116" t="s">
        <v>39</v>
      </c>
      <c r="L116" t="s">
        <v>39</v>
      </c>
      <c r="M116" s="21">
        <v>4</v>
      </c>
      <c r="N116" t="s">
        <v>21</v>
      </c>
      <c r="O116" s="19">
        <v>1</v>
      </c>
      <c r="P116" s="22">
        <v>16.989777777777778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17</v>
      </c>
      <c r="S116" t="str">
        <f>InputData[[#This Row],[Col]]&amp;"x"&amp;IF(LEN(InputData[[#This Row],[Alto]])=2,InputData[[#This Row],[Alto]],"0"&amp;InputData[[#This Row],[Alto]])</f>
        <v>1x17</v>
      </c>
    </row>
    <row r="117" spans="1:19" x14ac:dyDescent="0.2">
      <c r="A117" t="s">
        <v>532</v>
      </c>
      <c r="B117" t="s">
        <v>576</v>
      </c>
      <c r="C117" t="s">
        <v>577</v>
      </c>
      <c r="D117" t="s">
        <v>578</v>
      </c>
      <c r="E117" t="s">
        <v>579</v>
      </c>
      <c r="F117" t="str">
        <f>LEFT(InputData[[#This Row],[Referencia]],32)</f>
        <v>Ortega Automotores</v>
      </c>
      <c r="G117" t="s">
        <v>36</v>
      </c>
      <c r="H117" t="s">
        <v>20</v>
      </c>
      <c r="I117" s="20">
        <v>1162.08</v>
      </c>
      <c r="J117" t="s">
        <v>9</v>
      </c>
      <c r="K117" t="s">
        <v>39</v>
      </c>
      <c r="L117" t="s">
        <v>39</v>
      </c>
      <c r="M117" s="21">
        <v>3</v>
      </c>
      <c r="N117" t="s">
        <v>21</v>
      </c>
      <c r="O117" s="19">
        <v>3</v>
      </c>
      <c r="P117" s="22">
        <v>13.433777777777777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13</v>
      </c>
      <c r="S117" t="str">
        <f>InputData[[#This Row],[Col]]&amp;"x"&amp;IF(LEN(InputData[[#This Row],[Alto]])=2,InputData[[#This Row],[Alto]],"0"&amp;InputData[[#This Row],[Alto]])</f>
        <v>3x13</v>
      </c>
    </row>
    <row r="118" spans="1:19" x14ac:dyDescent="0.2">
      <c r="A118" t="s">
        <v>532</v>
      </c>
      <c r="B118" t="s">
        <v>580</v>
      </c>
      <c r="C118" t="s">
        <v>347</v>
      </c>
      <c r="D118" t="s">
        <v>581</v>
      </c>
      <c r="E118" t="s">
        <v>582</v>
      </c>
      <c r="F118" t="str">
        <f>LEFT(InputData[[#This Row],[Referencia]],32)</f>
        <v>Produgas GNC-Nafta</v>
      </c>
      <c r="G118" t="s">
        <v>36</v>
      </c>
      <c r="H118" t="s">
        <v>20</v>
      </c>
      <c r="I118" s="20">
        <v>968.4</v>
      </c>
      <c r="J118" t="s">
        <v>9</v>
      </c>
      <c r="K118" t="s">
        <v>39</v>
      </c>
      <c r="L118" t="s">
        <v>39</v>
      </c>
      <c r="M118" s="21">
        <v>7</v>
      </c>
      <c r="N118" t="s">
        <v>21</v>
      </c>
      <c r="O118" s="19">
        <v>5</v>
      </c>
      <c r="P118" s="22">
        <v>6.3217777777777773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6</v>
      </c>
      <c r="S118" t="str">
        <f>InputData[[#This Row],[Col]]&amp;"x"&amp;IF(LEN(InputData[[#This Row],[Alto]])=2,InputData[[#This Row],[Alto]],"0"&amp;InputData[[#This Row],[Alto]])</f>
        <v>5x06</v>
      </c>
    </row>
    <row r="119" spans="1:19" x14ac:dyDescent="0.2">
      <c r="A119" t="s">
        <v>532</v>
      </c>
      <c r="B119" t="s">
        <v>583</v>
      </c>
      <c r="C119" t="s">
        <v>584</v>
      </c>
      <c r="D119" t="s">
        <v>585</v>
      </c>
      <c r="E119" t="s">
        <v>586</v>
      </c>
      <c r="F119" t="str">
        <f>LEFT(InputData[[#This Row],[Referencia]],32)</f>
        <v>CAR PRO</v>
      </c>
      <c r="G119" t="s">
        <v>36</v>
      </c>
      <c r="H119" t="s">
        <v>20</v>
      </c>
      <c r="I119" s="20">
        <v>871.56000000000006</v>
      </c>
      <c r="J119" t="s">
        <v>9</v>
      </c>
      <c r="K119" t="s">
        <v>39</v>
      </c>
      <c r="L119" t="s">
        <v>39</v>
      </c>
      <c r="M119" s="21">
        <v>4</v>
      </c>
      <c r="N119" t="s">
        <v>21</v>
      </c>
      <c r="O119" s="19">
        <v>3</v>
      </c>
      <c r="P119" s="22">
        <v>9.8777777777777782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10</v>
      </c>
      <c r="S119" t="str">
        <f>InputData[[#This Row],[Col]]&amp;"x"&amp;IF(LEN(InputData[[#This Row],[Alto]])=2,InputData[[#This Row],[Alto]],"0"&amp;InputData[[#This Row],[Alto]])</f>
        <v>3x10</v>
      </c>
    </row>
    <row r="120" spans="1:19" x14ac:dyDescent="0.2">
      <c r="A120" t="s">
        <v>532</v>
      </c>
      <c r="B120" t="s">
        <v>587</v>
      </c>
      <c r="C120" t="s">
        <v>588</v>
      </c>
      <c r="D120" t="s">
        <v>589</v>
      </c>
      <c r="E120" t="s">
        <v>590</v>
      </c>
      <c r="F120" t="str">
        <f>LEFT(InputData[[#This Row],[Referencia]],32)</f>
        <v>MELLI AUTOMOTORES</v>
      </c>
      <c r="G120" t="s">
        <v>36</v>
      </c>
      <c r="H120" t="s">
        <v>20</v>
      </c>
      <c r="I120" s="20">
        <v>1936.8</v>
      </c>
      <c r="J120" t="s">
        <v>9</v>
      </c>
      <c r="K120" t="s">
        <v>39</v>
      </c>
      <c r="L120" t="s">
        <v>39</v>
      </c>
      <c r="M120" s="21">
        <v>8</v>
      </c>
      <c r="N120" t="s">
        <v>21</v>
      </c>
      <c r="O120" s="19">
        <v>5</v>
      </c>
      <c r="P120" s="22">
        <v>13.433777777777777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13</v>
      </c>
      <c r="S120" t="str">
        <f>InputData[[#This Row],[Col]]&amp;"x"&amp;IF(LEN(InputData[[#This Row],[Alto]])=2,InputData[[#This Row],[Alto]],"0"&amp;InputData[[#This Row],[Alto]])</f>
        <v>5x13</v>
      </c>
    </row>
    <row r="121" spans="1:19" x14ac:dyDescent="0.2">
      <c r="A121" t="s">
        <v>532</v>
      </c>
      <c r="B121" t="s">
        <v>591</v>
      </c>
      <c r="C121" t="s">
        <v>406</v>
      </c>
      <c r="D121" t="s">
        <v>592</v>
      </c>
      <c r="E121" t="s">
        <v>407</v>
      </c>
      <c r="F121" t="str">
        <f>LEFT(InputData[[#This Row],[Referencia]],32)</f>
        <v>LENARDUZZI AUTOMOTORES</v>
      </c>
      <c r="G121" t="s">
        <v>36</v>
      </c>
      <c r="H121" t="s">
        <v>20</v>
      </c>
      <c r="I121" s="20">
        <v>1452.6000000000001</v>
      </c>
      <c r="J121" t="s">
        <v>9</v>
      </c>
      <c r="K121" t="s">
        <v>39</v>
      </c>
      <c r="L121" t="s">
        <v>39</v>
      </c>
      <c r="M121" s="21">
        <v>5</v>
      </c>
      <c r="N121" t="s">
        <v>21</v>
      </c>
      <c r="O121" s="19">
        <v>5</v>
      </c>
      <c r="P121" s="22">
        <v>9.8777777777777782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10</v>
      </c>
      <c r="S121" t="str">
        <f>InputData[[#This Row],[Col]]&amp;"x"&amp;IF(LEN(InputData[[#This Row],[Alto]])=2,InputData[[#This Row],[Alto]],"0"&amp;InputData[[#This Row],[Alto]])</f>
        <v>5x10</v>
      </c>
    </row>
    <row r="122" spans="1:19" x14ac:dyDescent="0.2">
      <c r="A122" t="s">
        <v>181</v>
      </c>
      <c r="B122" t="s">
        <v>282</v>
      </c>
      <c r="C122" t="s">
        <v>178</v>
      </c>
      <c r="D122" t="s">
        <v>179</v>
      </c>
      <c r="E122" t="s">
        <v>180</v>
      </c>
      <c r="F122" t="str">
        <f>LEFT(InputData[[#This Row],[Referencia]],32)</f>
        <v>CINE ALFA...</v>
      </c>
      <c r="G122" t="s">
        <v>36</v>
      </c>
      <c r="H122" t="s">
        <v>95</v>
      </c>
      <c r="I122" s="20">
        <v>3064.4</v>
      </c>
      <c r="J122" t="s">
        <v>9</v>
      </c>
      <c r="K122" t="s">
        <v>73</v>
      </c>
      <c r="M122" s="21">
        <v>0</v>
      </c>
      <c r="N122" t="s">
        <v>21</v>
      </c>
      <c r="O122" s="19">
        <v>5</v>
      </c>
      <c r="P122" s="22">
        <v>13.433777777777777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13</v>
      </c>
      <c r="S122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77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4.95" customHeight="1" x14ac:dyDescent="0.2"/>
  <cols>
    <col min="1" max="1" width="12.85546875" style="1" bestFit="1" customWidth="1"/>
    <col min="2" max="2" width="3.85546875" style="1" bestFit="1" customWidth="1"/>
    <col min="3" max="3" width="10.140625" style="1" bestFit="1" customWidth="1"/>
    <col min="4" max="4" width="11" style="1" customWidth="1"/>
    <col min="5" max="5" width="13" style="1" customWidth="1"/>
    <col min="6" max="6" width="40.5703125" style="1" customWidth="1"/>
    <col min="7" max="7" width="5.5703125" style="1" customWidth="1"/>
    <col min="8" max="8" width="6.7109375" style="1" bestFit="1" customWidth="1"/>
    <col min="9" max="9" width="16.7109375" style="1" bestFit="1" customWidth="1"/>
    <col min="10" max="10" width="15.85546875" style="1" bestFit="1" customWidth="1"/>
    <col min="11" max="11" width="14.7109375" style="1" bestFit="1" customWidth="1"/>
    <col min="12" max="12" width="5.140625" style="3" customWidth="1"/>
    <col min="13" max="16384" width="11.140625" style="1"/>
  </cols>
  <sheetData>
    <row r="1" spans="1:12" s="2" customFormat="1" ht="12.75" x14ac:dyDescent="0.2">
      <c r="A1" s="4" t="s">
        <v>0</v>
      </c>
      <c r="B1" s="4" t="s">
        <v>84</v>
      </c>
      <c r="C1" s="4" t="s">
        <v>53</v>
      </c>
      <c r="D1" s="4" t="s">
        <v>52</v>
      </c>
      <c r="E1" s="4" t="s">
        <v>85</v>
      </c>
      <c r="F1" s="4" t="s">
        <v>5</v>
      </c>
      <c r="G1" s="4" t="s">
        <v>54</v>
      </c>
      <c r="H1" s="4" t="s">
        <v>86</v>
      </c>
      <c r="I1" s="4" t="s">
        <v>55</v>
      </c>
      <c r="J1" s="4" t="s">
        <v>87</v>
      </c>
      <c r="K1" s="4" t="s">
        <v>1</v>
      </c>
      <c r="L1" s="8" t="s">
        <v>83</v>
      </c>
    </row>
    <row r="2" spans="1:12" ht="24.95" customHeight="1" x14ac:dyDescent="0.2">
      <c r="A2" s="11" t="s">
        <v>181</v>
      </c>
      <c r="B2" s="10">
        <v>0</v>
      </c>
      <c r="C2" s="10" t="s">
        <v>56</v>
      </c>
      <c r="D2" s="10" t="s">
        <v>73</v>
      </c>
      <c r="E2" s="10" t="s">
        <v>56</v>
      </c>
      <c r="F2" s="10" t="s">
        <v>180</v>
      </c>
      <c r="G2" s="10" t="s">
        <v>182</v>
      </c>
      <c r="H2" s="10" t="s">
        <v>9</v>
      </c>
      <c r="I2" s="10" t="s">
        <v>179</v>
      </c>
      <c r="J2" s="10" t="s">
        <v>95</v>
      </c>
      <c r="K2" s="10" t="s">
        <v>282</v>
      </c>
      <c r="L2" s="7">
        <v>1</v>
      </c>
    </row>
    <row r="3" spans="1:12" ht="12.75" x14ac:dyDescent="0.2">
      <c r="A3" s="13"/>
      <c r="B3" s="17" t="s">
        <v>88</v>
      </c>
      <c r="C3" s="18"/>
      <c r="D3" s="18"/>
      <c r="E3" s="18"/>
      <c r="F3" s="18"/>
      <c r="G3" s="18"/>
      <c r="H3" s="18"/>
      <c r="I3" s="18"/>
      <c r="J3" s="18"/>
      <c r="K3" s="18"/>
      <c r="L3" s="5">
        <v>1</v>
      </c>
    </row>
    <row r="4" spans="1:12" ht="24.95" customHeight="1" x14ac:dyDescent="0.2">
      <c r="A4" s="11" t="s">
        <v>532</v>
      </c>
      <c r="B4" s="11">
        <v>2</v>
      </c>
      <c r="C4" s="11" t="s">
        <v>56</v>
      </c>
      <c r="D4" s="11" t="s">
        <v>39</v>
      </c>
      <c r="E4" s="11" t="s">
        <v>56</v>
      </c>
      <c r="F4" s="10" t="s">
        <v>563</v>
      </c>
      <c r="G4" s="10" t="s">
        <v>371</v>
      </c>
      <c r="H4" s="11" t="s">
        <v>9</v>
      </c>
      <c r="I4" s="10" t="s">
        <v>562</v>
      </c>
      <c r="J4" s="11" t="s">
        <v>20</v>
      </c>
      <c r="K4" s="10" t="s">
        <v>560</v>
      </c>
      <c r="L4" s="7">
        <v>1</v>
      </c>
    </row>
    <row r="5" spans="1:12" ht="24.95" customHeight="1" x14ac:dyDescent="0.2">
      <c r="A5" s="13"/>
      <c r="B5" s="13"/>
      <c r="C5" s="13" t="s">
        <v>56</v>
      </c>
      <c r="D5" s="13"/>
      <c r="E5" s="13" t="s">
        <v>56</v>
      </c>
      <c r="F5" s="10" t="s">
        <v>544</v>
      </c>
      <c r="G5" s="10" t="s">
        <v>593</v>
      </c>
      <c r="H5" s="12" t="s">
        <v>9</v>
      </c>
      <c r="I5" s="10" t="s">
        <v>543</v>
      </c>
      <c r="J5" s="12" t="s">
        <v>20</v>
      </c>
      <c r="K5" s="10" t="s">
        <v>541</v>
      </c>
      <c r="L5" s="7">
        <v>1</v>
      </c>
    </row>
    <row r="6" spans="1:12" ht="12.75" x14ac:dyDescent="0.2">
      <c r="A6" s="13"/>
      <c r="B6" s="17" t="s">
        <v>214</v>
      </c>
      <c r="C6" s="18"/>
      <c r="D6" s="18"/>
      <c r="E6" s="18"/>
      <c r="F6" s="18"/>
      <c r="G6" s="18"/>
      <c r="H6" s="18"/>
      <c r="I6" s="18"/>
      <c r="J6" s="18"/>
      <c r="K6" s="18"/>
      <c r="L6" s="5">
        <v>2</v>
      </c>
    </row>
    <row r="7" spans="1:12" ht="24.95" customHeight="1" x14ac:dyDescent="0.2">
      <c r="A7" s="13"/>
      <c r="B7" s="11">
        <v>3</v>
      </c>
      <c r="C7" s="11" t="s">
        <v>56</v>
      </c>
      <c r="D7" s="11" t="s">
        <v>39</v>
      </c>
      <c r="E7" s="11" t="s">
        <v>56</v>
      </c>
      <c r="F7" s="10" t="s">
        <v>552</v>
      </c>
      <c r="G7" s="11" t="s">
        <v>594</v>
      </c>
      <c r="H7" s="11" t="s">
        <v>9</v>
      </c>
      <c r="I7" s="10" t="s">
        <v>551</v>
      </c>
      <c r="J7" s="11" t="s">
        <v>20</v>
      </c>
      <c r="K7" s="10" t="s">
        <v>549</v>
      </c>
      <c r="L7" s="7">
        <v>1</v>
      </c>
    </row>
    <row r="8" spans="1:12" ht="24.95" customHeight="1" x14ac:dyDescent="0.2">
      <c r="A8" s="13"/>
      <c r="B8" s="13"/>
      <c r="C8" s="13" t="s">
        <v>56</v>
      </c>
      <c r="D8" s="13"/>
      <c r="E8" s="13" t="s">
        <v>56</v>
      </c>
      <c r="F8" s="10" t="s">
        <v>555</v>
      </c>
      <c r="G8" s="12" t="s">
        <v>594</v>
      </c>
      <c r="H8" s="12" t="s">
        <v>9</v>
      </c>
      <c r="I8" s="10" t="s">
        <v>554</v>
      </c>
      <c r="J8" s="12" t="s">
        <v>20</v>
      </c>
      <c r="K8" s="10" t="s">
        <v>553</v>
      </c>
      <c r="L8" s="7">
        <v>1</v>
      </c>
    </row>
    <row r="9" spans="1:12" ht="24.95" customHeight="1" x14ac:dyDescent="0.2">
      <c r="A9" s="13"/>
      <c r="B9" s="13"/>
      <c r="C9" s="13" t="s">
        <v>56</v>
      </c>
      <c r="D9" s="13"/>
      <c r="E9" s="13" t="s">
        <v>56</v>
      </c>
      <c r="F9" s="10" t="s">
        <v>579</v>
      </c>
      <c r="G9" s="10" t="s">
        <v>161</v>
      </c>
      <c r="H9" s="12" t="s">
        <v>9</v>
      </c>
      <c r="I9" s="10" t="s">
        <v>578</v>
      </c>
      <c r="J9" s="12" t="s">
        <v>20</v>
      </c>
      <c r="K9" s="10" t="s">
        <v>576</v>
      </c>
      <c r="L9" s="7">
        <v>1</v>
      </c>
    </row>
    <row r="10" spans="1:12" ht="12.75" x14ac:dyDescent="0.2">
      <c r="A10" s="13"/>
      <c r="B10" s="17" t="s">
        <v>239</v>
      </c>
      <c r="C10" s="18"/>
      <c r="D10" s="18"/>
      <c r="E10" s="18"/>
      <c r="F10" s="18"/>
      <c r="G10" s="18"/>
      <c r="H10" s="18"/>
      <c r="I10" s="18"/>
      <c r="J10" s="18"/>
      <c r="K10" s="18"/>
      <c r="L10" s="5">
        <v>3</v>
      </c>
    </row>
    <row r="11" spans="1:12" ht="24.95" customHeight="1" x14ac:dyDescent="0.2">
      <c r="A11" s="13"/>
      <c r="B11" s="11">
        <v>4</v>
      </c>
      <c r="C11" s="11" t="s">
        <v>56</v>
      </c>
      <c r="D11" s="11" t="s">
        <v>39</v>
      </c>
      <c r="E11" s="11" t="s">
        <v>56</v>
      </c>
      <c r="F11" s="10" t="s">
        <v>571</v>
      </c>
      <c r="G11" s="10" t="s">
        <v>595</v>
      </c>
      <c r="H11" s="11" t="s">
        <v>9</v>
      </c>
      <c r="I11" s="10" t="s">
        <v>570</v>
      </c>
      <c r="J11" s="11" t="s">
        <v>20</v>
      </c>
      <c r="K11" s="10" t="s">
        <v>568</v>
      </c>
      <c r="L11" s="7">
        <v>1</v>
      </c>
    </row>
    <row r="12" spans="1:12" ht="24.95" customHeight="1" x14ac:dyDescent="0.2">
      <c r="A12" s="13"/>
      <c r="B12" s="13"/>
      <c r="C12" s="13" t="s">
        <v>56</v>
      </c>
      <c r="D12" s="13"/>
      <c r="E12" s="13" t="s">
        <v>56</v>
      </c>
      <c r="F12" s="10" t="s">
        <v>575</v>
      </c>
      <c r="G12" s="10" t="s">
        <v>596</v>
      </c>
      <c r="H12" s="12" t="s">
        <v>9</v>
      </c>
      <c r="I12" s="10" t="s">
        <v>574</v>
      </c>
      <c r="J12" s="12" t="s">
        <v>20</v>
      </c>
      <c r="K12" s="10" t="s">
        <v>572</v>
      </c>
      <c r="L12" s="7">
        <v>1</v>
      </c>
    </row>
    <row r="13" spans="1:12" ht="24.95" customHeight="1" x14ac:dyDescent="0.2">
      <c r="A13" s="13"/>
      <c r="B13" s="13"/>
      <c r="C13" s="13" t="s">
        <v>56</v>
      </c>
      <c r="D13" s="13"/>
      <c r="E13" s="13" t="s">
        <v>56</v>
      </c>
      <c r="F13" s="10" t="s">
        <v>586</v>
      </c>
      <c r="G13" s="10" t="s">
        <v>371</v>
      </c>
      <c r="H13" s="12" t="s">
        <v>9</v>
      </c>
      <c r="I13" s="10" t="s">
        <v>585</v>
      </c>
      <c r="J13" s="12" t="s">
        <v>20</v>
      </c>
      <c r="K13" s="10" t="s">
        <v>583</v>
      </c>
      <c r="L13" s="7">
        <v>1</v>
      </c>
    </row>
    <row r="14" spans="1:12" ht="12.75" x14ac:dyDescent="0.2">
      <c r="A14" s="13"/>
      <c r="B14" s="17" t="s">
        <v>240</v>
      </c>
      <c r="C14" s="18"/>
      <c r="D14" s="18"/>
      <c r="E14" s="18"/>
      <c r="F14" s="18"/>
      <c r="G14" s="18"/>
      <c r="H14" s="18"/>
      <c r="I14" s="18"/>
      <c r="J14" s="18"/>
      <c r="K14" s="18"/>
      <c r="L14" s="5">
        <v>3</v>
      </c>
    </row>
    <row r="15" spans="1:12" ht="24.95" customHeight="1" x14ac:dyDescent="0.2">
      <c r="A15" s="13"/>
      <c r="B15" s="10">
        <v>5</v>
      </c>
      <c r="C15" s="10" t="s">
        <v>56</v>
      </c>
      <c r="D15" s="10" t="s">
        <v>39</v>
      </c>
      <c r="E15" s="10" t="s">
        <v>56</v>
      </c>
      <c r="F15" s="10" t="s">
        <v>407</v>
      </c>
      <c r="G15" s="10" t="s">
        <v>263</v>
      </c>
      <c r="H15" s="10" t="s">
        <v>9</v>
      </c>
      <c r="I15" s="10" t="s">
        <v>592</v>
      </c>
      <c r="J15" s="10" t="s">
        <v>20</v>
      </c>
      <c r="K15" s="10" t="s">
        <v>591</v>
      </c>
      <c r="L15" s="7">
        <v>1</v>
      </c>
    </row>
    <row r="16" spans="1:12" ht="12.75" x14ac:dyDescent="0.2">
      <c r="A16" s="13"/>
      <c r="B16" s="17" t="s">
        <v>283</v>
      </c>
      <c r="C16" s="18"/>
      <c r="D16" s="18"/>
      <c r="E16" s="18"/>
      <c r="F16" s="18"/>
      <c r="G16" s="18"/>
      <c r="H16" s="18"/>
      <c r="I16" s="18"/>
      <c r="J16" s="18"/>
      <c r="K16" s="18"/>
      <c r="L16" s="5">
        <v>1</v>
      </c>
    </row>
    <row r="17" spans="1:12" ht="24.95" customHeight="1" x14ac:dyDescent="0.2">
      <c r="A17" s="13"/>
      <c r="B17" s="11">
        <v>6</v>
      </c>
      <c r="C17" s="11" t="s">
        <v>56</v>
      </c>
      <c r="D17" s="11" t="s">
        <v>39</v>
      </c>
      <c r="E17" s="11" t="s">
        <v>56</v>
      </c>
      <c r="F17" s="10" t="s">
        <v>567</v>
      </c>
      <c r="G17" s="10" t="s">
        <v>597</v>
      </c>
      <c r="H17" s="11" t="s">
        <v>9</v>
      </c>
      <c r="I17" s="10" t="s">
        <v>566</v>
      </c>
      <c r="J17" s="11" t="s">
        <v>20</v>
      </c>
      <c r="K17" s="10" t="s">
        <v>564</v>
      </c>
      <c r="L17" s="7">
        <v>1</v>
      </c>
    </row>
    <row r="18" spans="1:12" ht="24.95" customHeight="1" x14ac:dyDescent="0.2">
      <c r="A18" s="13"/>
      <c r="B18" s="13"/>
      <c r="C18" s="13" t="s">
        <v>56</v>
      </c>
      <c r="D18" s="13"/>
      <c r="E18" s="13" t="s">
        <v>56</v>
      </c>
      <c r="F18" s="10" t="s">
        <v>536</v>
      </c>
      <c r="G18" s="10" t="s">
        <v>371</v>
      </c>
      <c r="H18" s="12" t="s">
        <v>9</v>
      </c>
      <c r="I18" s="10" t="s">
        <v>535</v>
      </c>
      <c r="J18" s="12" t="s">
        <v>20</v>
      </c>
      <c r="K18" s="10" t="s">
        <v>533</v>
      </c>
      <c r="L18" s="7">
        <v>1</v>
      </c>
    </row>
    <row r="19" spans="1:12" ht="24.95" customHeight="1" x14ac:dyDescent="0.2">
      <c r="A19" s="13"/>
      <c r="B19" s="13"/>
      <c r="C19" s="13" t="s">
        <v>56</v>
      </c>
      <c r="D19" s="13"/>
      <c r="E19" s="13" t="s">
        <v>56</v>
      </c>
      <c r="F19" s="10" t="s">
        <v>540</v>
      </c>
      <c r="G19" s="10" t="s">
        <v>594</v>
      </c>
      <c r="H19" s="12" t="s">
        <v>9</v>
      </c>
      <c r="I19" s="10" t="s">
        <v>539</v>
      </c>
      <c r="J19" s="12" t="s">
        <v>20</v>
      </c>
      <c r="K19" s="10" t="s">
        <v>537</v>
      </c>
      <c r="L19" s="7">
        <v>1</v>
      </c>
    </row>
    <row r="20" spans="1:12" ht="12.75" x14ac:dyDescent="0.2">
      <c r="A20" s="13"/>
      <c r="B20" s="17" t="s">
        <v>316</v>
      </c>
      <c r="C20" s="18"/>
      <c r="D20" s="18"/>
      <c r="E20" s="18"/>
      <c r="F20" s="18"/>
      <c r="G20" s="18"/>
      <c r="H20" s="18"/>
      <c r="I20" s="18"/>
      <c r="J20" s="18"/>
      <c r="K20" s="18"/>
      <c r="L20" s="5">
        <v>3</v>
      </c>
    </row>
    <row r="21" spans="1:12" ht="24.95" customHeight="1" x14ac:dyDescent="0.2">
      <c r="A21" s="13"/>
      <c r="B21" s="11">
        <v>7</v>
      </c>
      <c r="C21" s="11" t="s">
        <v>56</v>
      </c>
      <c r="D21" s="11" t="s">
        <v>39</v>
      </c>
      <c r="E21" s="11" t="s">
        <v>56</v>
      </c>
      <c r="F21" s="10" t="s">
        <v>559</v>
      </c>
      <c r="G21" s="10" t="s">
        <v>594</v>
      </c>
      <c r="H21" s="11" t="s">
        <v>9</v>
      </c>
      <c r="I21" s="10" t="s">
        <v>558</v>
      </c>
      <c r="J21" s="11" t="s">
        <v>20</v>
      </c>
      <c r="K21" s="10" t="s">
        <v>556</v>
      </c>
      <c r="L21" s="7">
        <v>1</v>
      </c>
    </row>
    <row r="22" spans="1:12" ht="24.95" customHeight="1" x14ac:dyDescent="0.2">
      <c r="A22" s="13"/>
      <c r="B22" s="13"/>
      <c r="C22" s="13" t="s">
        <v>56</v>
      </c>
      <c r="D22" s="13"/>
      <c r="E22" s="13" t="s">
        <v>56</v>
      </c>
      <c r="F22" s="10" t="s">
        <v>582</v>
      </c>
      <c r="G22" s="10" t="s">
        <v>285</v>
      </c>
      <c r="H22" s="12" t="s">
        <v>9</v>
      </c>
      <c r="I22" s="10" t="s">
        <v>581</v>
      </c>
      <c r="J22" s="12" t="s">
        <v>20</v>
      </c>
      <c r="K22" s="10" t="s">
        <v>580</v>
      </c>
      <c r="L22" s="7">
        <v>1</v>
      </c>
    </row>
    <row r="23" spans="1:12" ht="24.95" customHeight="1" x14ac:dyDescent="0.2">
      <c r="A23" s="13"/>
      <c r="B23" s="13"/>
      <c r="C23" s="13" t="s">
        <v>56</v>
      </c>
      <c r="D23" s="13"/>
      <c r="E23" s="13" t="s">
        <v>56</v>
      </c>
      <c r="F23" s="10" t="s">
        <v>548</v>
      </c>
      <c r="G23" s="10" t="s">
        <v>371</v>
      </c>
      <c r="H23" s="12" t="s">
        <v>9</v>
      </c>
      <c r="I23" s="10" t="s">
        <v>547</v>
      </c>
      <c r="J23" s="12" t="s">
        <v>20</v>
      </c>
      <c r="K23" s="10" t="s">
        <v>545</v>
      </c>
      <c r="L23" s="7">
        <v>1</v>
      </c>
    </row>
    <row r="24" spans="1:12" ht="12.75" x14ac:dyDescent="0.2">
      <c r="A24" s="13"/>
      <c r="B24" s="17" t="s">
        <v>372</v>
      </c>
      <c r="C24" s="18"/>
      <c r="D24" s="18"/>
      <c r="E24" s="18"/>
      <c r="F24" s="18"/>
      <c r="G24" s="18"/>
      <c r="H24" s="18"/>
      <c r="I24" s="18"/>
      <c r="J24" s="18"/>
      <c r="K24" s="18"/>
      <c r="L24" s="5">
        <v>3</v>
      </c>
    </row>
    <row r="25" spans="1:12" ht="24.95" customHeight="1" x14ac:dyDescent="0.2">
      <c r="A25" s="13"/>
      <c r="B25" s="10">
        <v>8</v>
      </c>
      <c r="C25" s="10" t="s">
        <v>56</v>
      </c>
      <c r="D25" s="10" t="s">
        <v>39</v>
      </c>
      <c r="E25" s="10" t="s">
        <v>56</v>
      </c>
      <c r="F25" s="10" t="s">
        <v>590</v>
      </c>
      <c r="G25" s="10" t="s">
        <v>182</v>
      </c>
      <c r="H25" s="10" t="s">
        <v>9</v>
      </c>
      <c r="I25" s="10" t="s">
        <v>589</v>
      </c>
      <c r="J25" s="10" t="s">
        <v>20</v>
      </c>
      <c r="K25" s="10" t="s">
        <v>587</v>
      </c>
      <c r="L25" s="7">
        <v>1</v>
      </c>
    </row>
    <row r="26" spans="1:12" ht="12.75" x14ac:dyDescent="0.2">
      <c r="A26" s="13"/>
      <c r="B26" s="17" t="s">
        <v>284</v>
      </c>
      <c r="C26" s="18"/>
      <c r="D26" s="18"/>
      <c r="E26" s="18"/>
      <c r="F26" s="18"/>
      <c r="G26" s="18"/>
      <c r="H26" s="18"/>
      <c r="I26" s="18"/>
      <c r="J26" s="18"/>
      <c r="K26" s="18"/>
      <c r="L26" s="5">
        <v>1</v>
      </c>
    </row>
    <row r="27" spans="1:12" ht="24.95" customHeight="1" x14ac:dyDescent="0.2">
      <c r="A27" s="11" t="s">
        <v>236</v>
      </c>
      <c r="B27" s="10">
        <v>0</v>
      </c>
      <c r="C27" s="10" t="s">
        <v>56</v>
      </c>
      <c r="D27" s="10" t="s">
        <v>238</v>
      </c>
      <c r="E27" s="10" t="s">
        <v>56</v>
      </c>
      <c r="F27" s="10" t="s">
        <v>604</v>
      </c>
      <c r="G27" s="10" t="s">
        <v>65</v>
      </c>
      <c r="H27" s="10" t="s">
        <v>9</v>
      </c>
      <c r="I27" s="10" t="s">
        <v>56</v>
      </c>
      <c r="J27" s="10" t="s">
        <v>23</v>
      </c>
      <c r="K27" s="10" t="s">
        <v>529</v>
      </c>
      <c r="L27" s="7">
        <v>1</v>
      </c>
    </row>
    <row r="28" spans="1:12" ht="12.75" x14ac:dyDescent="0.2">
      <c r="A28" s="13"/>
      <c r="B28" s="17" t="s">
        <v>88</v>
      </c>
      <c r="C28" s="18"/>
      <c r="D28" s="18"/>
      <c r="E28" s="18"/>
      <c r="F28" s="18"/>
      <c r="G28" s="18"/>
      <c r="H28" s="18"/>
      <c r="I28" s="18"/>
      <c r="J28" s="18"/>
      <c r="K28" s="18"/>
      <c r="L28" s="5">
        <v>1</v>
      </c>
    </row>
    <row r="29" spans="1:12" ht="24.95" customHeight="1" x14ac:dyDescent="0.2">
      <c r="A29" s="11" t="s">
        <v>46</v>
      </c>
      <c r="B29" s="11">
        <v>0</v>
      </c>
      <c r="C29" s="11" t="s">
        <v>56</v>
      </c>
      <c r="D29" s="11" t="s">
        <v>49</v>
      </c>
      <c r="E29" s="11" t="s">
        <v>56</v>
      </c>
      <c r="F29" s="10" t="s">
        <v>215</v>
      </c>
      <c r="G29" s="10" t="s">
        <v>60</v>
      </c>
      <c r="H29" s="11" t="s">
        <v>92</v>
      </c>
      <c r="I29" s="11" t="s">
        <v>56</v>
      </c>
      <c r="J29" s="11" t="s">
        <v>23</v>
      </c>
      <c r="K29" s="10" t="s">
        <v>172</v>
      </c>
      <c r="L29" s="7">
        <v>1</v>
      </c>
    </row>
    <row r="30" spans="1:12" ht="24.95" customHeight="1" x14ac:dyDescent="0.2">
      <c r="A30" s="13"/>
      <c r="B30" s="13"/>
      <c r="C30" s="13" t="s">
        <v>56</v>
      </c>
      <c r="D30" s="13"/>
      <c r="E30" s="13" t="s">
        <v>56</v>
      </c>
      <c r="F30" s="10" t="s">
        <v>216</v>
      </c>
      <c r="G30" s="10" t="s">
        <v>103</v>
      </c>
      <c r="H30" s="12" t="s">
        <v>92</v>
      </c>
      <c r="I30" s="12" t="s">
        <v>56</v>
      </c>
      <c r="J30" s="12" t="s">
        <v>23</v>
      </c>
      <c r="K30" s="10" t="s">
        <v>175</v>
      </c>
      <c r="L30" s="7">
        <v>1</v>
      </c>
    </row>
    <row r="31" spans="1:12" ht="24.95" customHeight="1" x14ac:dyDescent="0.2">
      <c r="A31" s="13"/>
      <c r="B31" s="13"/>
      <c r="C31" s="13" t="s">
        <v>56</v>
      </c>
      <c r="D31" s="13"/>
      <c r="E31" s="13" t="s">
        <v>56</v>
      </c>
      <c r="F31" s="10" t="s">
        <v>217</v>
      </c>
      <c r="G31" s="10" t="s">
        <v>96</v>
      </c>
      <c r="H31" s="12" t="s">
        <v>92</v>
      </c>
      <c r="I31" s="12" t="s">
        <v>56</v>
      </c>
      <c r="J31" s="12" t="s">
        <v>23</v>
      </c>
      <c r="K31" s="10" t="s">
        <v>124</v>
      </c>
      <c r="L31" s="7">
        <v>1</v>
      </c>
    </row>
    <row r="32" spans="1:12" ht="24.95" customHeight="1" x14ac:dyDescent="0.2">
      <c r="A32" s="13"/>
      <c r="B32" s="13"/>
      <c r="C32" s="13" t="s">
        <v>56</v>
      </c>
      <c r="D32" s="13"/>
      <c r="E32" s="13" t="s">
        <v>56</v>
      </c>
      <c r="F32" s="10" t="s">
        <v>218</v>
      </c>
      <c r="G32" s="10" t="s">
        <v>59</v>
      </c>
      <c r="H32" s="12" t="s">
        <v>92</v>
      </c>
      <c r="I32" s="12" t="s">
        <v>56</v>
      </c>
      <c r="J32" s="12" t="s">
        <v>23</v>
      </c>
      <c r="K32" s="10" t="s">
        <v>129</v>
      </c>
      <c r="L32" s="7">
        <v>1</v>
      </c>
    </row>
    <row r="33" spans="1:12" ht="24.95" customHeight="1" x14ac:dyDescent="0.2">
      <c r="A33" s="13"/>
      <c r="B33" s="13"/>
      <c r="C33" s="13" t="s">
        <v>56</v>
      </c>
      <c r="D33" s="13"/>
      <c r="E33" s="13" t="s">
        <v>56</v>
      </c>
      <c r="F33" s="10" t="s">
        <v>318</v>
      </c>
      <c r="G33" s="10" t="s">
        <v>103</v>
      </c>
      <c r="H33" s="12" t="s">
        <v>92</v>
      </c>
      <c r="I33" s="12" t="s">
        <v>56</v>
      </c>
      <c r="J33" s="12" t="s">
        <v>23</v>
      </c>
      <c r="K33" s="10" t="s">
        <v>528</v>
      </c>
      <c r="L33" s="7">
        <v>1</v>
      </c>
    </row>
    <row r="34" spans="1:12" ht="24.95" customHeight="1" x14ac:dyDescent="0.2">
      <c r="A34" s="13"/>
      <c r="B34" s="13"/>
      <c r="C34" s="13" t="s">
        <v>56</v>
      </c>
      <c r="D34" s="10" t="s">
        <v>106</v>
      </c>
      <c r="E34" s="12" t="s">
        <v>56</v>
      </c>
      <c r="F34" s="10" t="s">
        <v>81</v>
      </c>
      <c r="G34" s="10" t="s">
        <v>82</v>
      </c>
      <c r="H34" s="12" t="s">
        <v>92</v>
      </c>
      <c r="I34" s="10" t="s">
        <v>153</v>
      </c>
      <c r="J34" s="10" t="s">
        <v>20</v>
      </c>
      <c r="K34" s="10" t="s">
        <v>152</v>
      </c>
      <c r="L34" s="7">
        <v>1</v>
      </c>
    </row>
    <row r="35" spans="1:12" ht="24.95" customHeight="1" x14ac:dyDescent="0.2">
      <c r="A35" s="13"/>
      <c r="B35" s="13"/>
      <c r="C35" s="13" t="s">
        <v>56</v>
      </c>
      <c r="D35" s="11" t="s">
        <v>48</v>
      </c>
      <c r="E35" s="12" t="s">
        <v>56</v>
      </c>
      <c r="F35" s="10" t="s">
        <v>219</v>
      </c>
      <c r="G35" s="10" t="s">
        <v>60</v>
      </c>
      <c r="H35" s="12" t="s">
        <v>92</v>
      </c>
      <c r="I35" s="11" t="s">
        <v>56</v>
      </c>
      <c r="J35" s="11" t="s">
        <v>23</v>
      </c>
      <c r="K35" s="10" t="s">
        <v>168</v>
      </c>
      <c r="L35" s="7">
        <v>1</v>
      </c>
    </row>
    <row r="36" spans="1:12" ht="24.95" customHeight="1" x14ac:dyDescent="0.2">
      <c r="A36" s="13"/>
      <c r="B36" s="13"/>
      <c r="C36" s="13" t="s">
        <v>56</v>
      </c>
      <c r="D36" s="13"/>
      <c r="E36" s="13" t="s">
        <v>56</v>
      </c>
      <c r="F36" s="10" t="s">
        <v>122</v>
      </c>
      <c r="G36" s="10" t="s">
        <v>59</v>
      </c>
      <c r="H36" s="12" t="s">
        <v>92</v>
      </c>
      <c r="I36" s="12" t="s">
        <v>56</v>
      </c>
      <c r="J36" s="12" t="s">
        <v>23</v>
      </c>
      <c r="K36" s="10" t="s">
        <v>120</v>
      </c>
      <c r="L36" s="7">
        <v>1</v>
      </c>
    </row>
    <row r="37" spans="1:12" ht="24.95" customHeight="1" x14ac:dyDescent="0.2">
      <c r="A37" s="13"/>
      <c r="B37" s="13"/>
      <c r="C37" s="13" t="s">
        <v>56</v>
      </c>
      <c r="D37" s="10" t="s">
        <v>108</v>
      </c>
      <c r="E37" s="12" t="s">
        <v>56</v>
      </c>
      <c r="F37" s="10" t="s">
        <v>220</v>
      </c>
      <c r="G37" s="10" t="s">
        <v>60</v>
      </c>
      <c r="H37" s="12" t="s">
        <v>92</v>
      </c>
      <c r="I37" s="12" t="s">
        <v>56</v>
      </c>
      <c r="J37" s="12" t="s">
        <v>23</v>
      </c>
      <c r="K37" s="10" t="s">
        <v>111</v>
      </c>
      <c r="L37" s="7">
        <v>1</v>
      </c>
    </row>
    <row r="38" spans="1:12" ht="24.95" customHeight="1" x14ac:dyDescent="0.2">
      <c r="A38" s="13"/>
      <c r="B38" s="13"/>
      <c r="C38" s="13" t="s">
        <v>56</v>
      </c>
      <c r="D38" s="10" t="s">
        <v>204</v>
      </c>
      <c r="E38" s="12" t="s">
        <v>56</v>
      </c>
      <c r="F38" s="10" t="s">
        <v>221</v>
      </c>
      <c r="G38" s="10" t="s">
        <v>103</v>
      </c>
      <c r="H38" s="10" t="s">
        <v>9</v>
      </c>
      <c r="I38" s="12" t="s">
        <v>56</v>
      </c>
      <c r="J38" s="12" t="s">
        <v>23</v>
      </c>
      <c r="K38" s="10" t="s">
        <v>201</v>
      </c>
      <c r="L38" s="7">
        <v>1</v>
      </c>
    </row>
    <row r="39" spans="1:12" ht="24.95" customHeight="1" x14ac:dyDescent="0.2">
      <c r="A39" s="13"/>
      <c r="B39" s="13"/>
      <c r="C39" s="13" t="s">
        <v>56</v>
      </c>
      <c r="D39" s="10" t="s">
        <v>281</v>
      </c>
      <c r="E39" s="12" t="s">
        <v>56</v>
      </c>
      <c r="F39" s="10" t="s">
        <v>286</v>
      </c>
      <c r="G39" s="10" t="s">
        <v>59</v>
      </c>
      <c r="H39" s="10" t="s">
        <v>92</v>
      </c>
      <c r="I39" s="12" t="s">
        <v>56</v>
      </c>
      <c r="J39" s="12" t="s">
        <v>23</v>
      </c>
      <c r="K39" s="10" t="s">
        <v>278</v>
      </c>
      <c r="L39" s="7">
        <v>1</v>
      </c>
    </row>
    <row r="40" spans="1:12" ht="12.75" x14ac:dyDescent="0.2">
      <c r="A40" s="13"/>
      <c r="B40" s="17" t="s">
        <v>88</v>
      </c>
      <c r="C40" s="18"/>
      <c r="D40" s="18"/>
      <c r="E40" s="18"/>
      <c r="F40" s="18"/>
      <c r="G40" s="18"/>
      <c r="H40" s="18"/>
      <c r="I40" s="18"/>
      <c r="J40" s="18"/>
      <c r="K40" s="18"/>
      <c r="L40" s="5">
        <v>11</v>
      </c>
    </row>
    <row r="41" spans="1:12" ht="24.95" customHeight="1" x14ac:dyDescent="0.2">
      <c r="A41" s="11" t="s">
        <v>35</v>
      </c>
      <c r="B41" s="10">
        <v>0</v>
      </c>
      <c r="C41" s="10" t="s">
        <v>56</v>
      </c>
      <c r="D41" s="10" t="s">
        <v>40</v>
      </c>
      <c r="E41" s="10" t="s">
        <v>56</v>
      </c>
      <c r="F41" s="10" t="s">
        <v>105</v>
      </c>
      <c r="G41" s="10" t="s">
        <v>60</v>
      </c>
      <c r="H41" s="10" t="s">
        <v>9</v>
      </c>
      <c r="I41" s="10" t="s">
        <v>150</v>
      </c>
      <c r="J41" s="10" t="s">
        <v>20</v>
      </c>
      <c r="K41" s="10" t="s">
        <v>149</v>
      </c>
      <c r="L41" s="7">
        <v>1</v>
      </c>
    </row>
    <row r="42" spans="1:12" ht="12.75" x14ac:dyDescent="0.2">
      <c r="A42" s="13"/>
      <c r="B42" s="17" t="s">
        <v>88</v>
      </c>
      <c r="C42" s="18"/>
      <c r="D42" s="18"/>
      <c r="E42" s="18"/>
      <c r="F42" s="18"/>
      <c r="G42" s="18"/>
      <c r="H42" s="18"/>
      <c r="I42" s="18"/>
      <c r="J42" s="18"/>
      <c r="K42" s="18"/>
      <c r="L42" s="5">
        <v>1</v>
      </c>
    </row>
    <row r="43" spans="1:12" ht="24.95" customHeight="1" x14ac:dyDescent="0.2">
      <c r="A43" s="13"/>
      <c r="B43" s="10">
        <v>3</v>
      </c>
      <c r="C43" s="10" t="s">
        <v>45</v>
      </c>
      <c r="D43" s="10" t="s">
        <v>44</v>
      </c>
      <c r="E43" s="10" t="s">
        <v>56</v>
      </c>
      <c r="F43" s="10" t="s">
        <v>522</v>
      </c>
      <c r="G43" s="10" t="s">
        <v>370</v>
      </c>
      <c r="H43" s="10" t="s">
        <v>9</v>
      </c>
      <c r="I43" s="10" t="s">
        <v>72</v>
      </c>
      <c r="J43" s="10" t="s">
        <v>20</v>
      </c>
      <c r="K43" s="10" t="s">
        <v>521</v>
      </c>
      <c r="L43" s="7">
        <v>1</v>
      </c>
    </row>
    <row r="44" spans="1:12" ht="12.75" x14ac:dyDescent="0.2">
      <c r="A44" s="13"/>
      <c r="B44" s="17" t="s">
        <v>239</v>
      </c>
      <c r="C44" s="18"/>
      <c r="D44" s="18"/>
      <c r="E44" s="18"/>
      <c r="F44" s="18"/>
      <c r="G44" s="18"/>
      <c r="H44" s="18"/>
      <c r="I44" s="18"/>
      <c r="J44" s="18"/>
      <c r="K44" s="18"/>
      <c r="L44" s="5">
        <v>1</v>
      </c>
    </row>
    <row r="45" spans="1:12" ht="24.95" customHeight="1" x14ac:dyDescent="0.2">
      <c r="A45" s="13"/>
      <c r="B45" s="11">
        <v>5</v>
      </c>
      <c r="C45" s="11" t="s">
        <v>56</v>
      </c>
      <c r="D45" s="11" t="s">
        <v>44</v>
      </c>
      <c r="E45" s="11" t="s">
        <v>56</v>
      </c>
      <c r="F45" s="10" t="s">
        <v>517</v>
      </c>
      <c r="G45" s="10" t="s">
        <v>115</v>
      </c>
      <c r="H45" s="11" t="s">
        <v>92</v>
      </c>
      <c r="I45" s="10" t="s">
        <v>405</v>
      </c>
      <c r="J45" s="11" t="s">
        <v>20</v>
      </c>
      <c r="K45" s="10" t="s">
        <v>516</v>
      </c>
      <c r="L45" s="7">
        <v>1</v>
      </c>
    </row>
    <row r="46" spans="1:12" ht="24.95" customHeight="1" x14ac:dyDescent="0.2">
      <c r="A46" s="13"/>
      <c r="B46" s="13"/>
      <c r="C46" s="13" t="s">
        <v>56</v>
      </c>
      <c r="D46" s="13"/>
      <c r="E46" s="13" t="s">
        <v>56</v>
      </c>
      <c r="F46" s="10" t="s">
        <v>319</v>
      </c>
      <c r="G46" s="11" t="s">
        <v>161</v>
      </c>
      <c r="H46" s="12" t="s">
        <v>92</v>
      </c>
      <c r="I46" s="10" t="s">
        <v>308</v>
      </c>
      <c r="J46" s="12" t="s">
        <v>20</v>
      </c>
      <c r="K46" s="10" t="s">
        <v>307</v>
      </c>
      <c r="L46" s="7">
        <v>1</v>
      </c>
    </row>
    <row r="47" spans="1:12" ht="24.95" customHeight="1" x14ac:dyDescent="0.2">
      <c r="A47" s="13"/>
      <c r="B47" s="13"/>
      <c r="C47" s="13" t="s">
        <v>56</v>
      </c>
      <c r="D47" s="13"/>
      <c r="E47" s="13" t="s">
        <v>56</v>
      </c>
      <c r="F47" s="10" t="s">
        <v>320</v>
      </c>
      <c r="G47" s="12" t="s">
        <v>161</v>
      </c>
      <c r="H47" s="12" t="s">
        <v>92</v>
      </c>
      <c r="I47" s="10" t="s">
        <v>312</v>
      </c>
      <c r="J47" s="12" t="s">
        <v>20</v>
      </c>
      <c r="K47" s="10" t="s">
        <v>310</v>
      </c>
      <c r="L47" s="7">
        <v>1</v>
      </c>
    </row>
    <row r="48" spans="1:12" ht="12.75" x14ac:dyDescent="0.2">
      <c r="A48" s="13"/>
      <c r="B48" s="17" t="s">
        <v>283</v>
      </c>
      <c r="C48" s="18"/>
      <c r="D48" s="18"/>
      <c r="E48" s="18"/>
      <c r="F48" s="18"/>
      <c r="G48" s="18"/>
      <c r="H48" s="18"/>
      <c r="I48" s="18"/>
      <c r="J48" s="18"/>
      <c r="K48" s="18"/>
      <c r="L48" s="5">
        <v>3</v>
      </c>
    </row>
    <row r="49" spans="1:12" ht="24.95" customHeight="1" x14ac:dyDescent="0.2">
      <c r="A49" s="13"/>
      <c r="B49" s="10">
        <v>6</v>
      </c>
      <c r="C49" s="10" t="s">
        <v>56</v>
      </c>
      <c r="D49" s="10" t="s">
        <v>340</v>
      </c>
      <c r="E49" s="10" t="s">
        <v>56</v>
      </c>
      <c r="F49" s="10" t="s">
        <v>498</v>
      </c>
      <c r="G49" s="10" t="s">
        <v>285</v>
      </c>
      <c r="H49" s="10" t="s">
        <v>9</v>
      </c>
      <c r="I49" s="10" t="s">
        <v>497</v>
      </c>
      <c r="J49" s="10" t="s">
        <v>20</v>
      </c>
      <c r="K49" s="10" t="s">
        <v>495</v>
      </c>
      <c r="L49" s="7">
        <v>1</v>
      </c>
    </row>
    <row r="50" spans="1:12" ht="12.75" x14ac:dyDescent="0.2">
      <c r="A50" s="13"/>
      <c r="B50" s="17" t="s">
        <v>316</v>
      </c>
      <c r="C50" s="18"/>
      <c r="D50" s="18"/>
      <c r="E50" s="18"/>
      <c r="F50" s="18"/>
      <c r="G50" s="18"/>
      <c r="H50" s="18"/>
      <c r="I50" s="18"/>
      <c r="J50" s="18"/>
      <c r="K50" s="18"/>
      <c r="L50" s="5">
        <v>1</v>
      </c>
    </row>
    <row r="51" spans="1:12" ht="24.95" customHeight="1" x14ac:dyDescent="0.2">
      <c r="A51" s="13"/>
      <c r="B51" s="10">
        <v>7</v>
      </c>
      <c r="C51" s="10" t="s">
        <v>56</v>
      </c>
      <c r="D51" s="10" t="s">
        <v>44</v>
      </c>
      <c r="E51" s="10" t="s">
        <v>56</v>
      </c>
      <c r="F51" s="10" t="s">
        <v>511</v>
      </c>
      <c r="G51" s="10" t="s">
        <v>598</v>
      </c>
      <c r="H51" s="10" t="s">
        <v>9</v>
      </c>
      <c r="I51" s="10" t="s">
        <v>510</v>
      </c>
      <c r="J51" s="10" t="s">
        <v>95</v>
      </c>
      <c r="K51" s="10" t="s">
        <v>509</v>
      </c>
      <c r="L51" s="7">
        <v>1</v>
      </c>
    </row>
    <row r="52" spans="1:12" ht="12.75" x14ac:dyDescent="0.2">
      <c r="A52" s="13"/>
      <c r="B52" s="17" t="s">
        <v>372</v>
      </c>
      <c r="C52" s="18"/>
      <c r="D52" s="18"/>
      <c r="E52" s="18"/>
      <c r="F52" s="18"/>
      <c r="G52" s="18"/>
      <c r="H52" s="18"/>
      <c r="I52" s="18"/>
      <c r="J52" s="18"/>
      <c r="K52" s="18"/>
      <c r="L52" s="5">
        <v>1</v>
      </c>
    </row>
    <row r="53" spans="1:12" ht="24.95" customHeight="1" x14ac:dyDescent="0.2">
      <c r="A53" s="13"/>
      <c r="B53" s="10">
        <v>9</v>
      </c>
      <c r="C53" s="10" t="s">
        <v>56</v>
      </c>
      <c r="D53" s="10" t="s">
        <v>44</v>
      </c>
      <c r="E53" s="10" t="s">
        <v>56</v>
      </c>
      <c r="F53" s="10" t="s">
        <v>515</v>
      </c>
      <c r="G53" s="10" t="s">
        <v>57</v>
      </c>
      <c r="H53" s="10" t="s">
        <v>9</v>
      </c>
      <c r="I53" s="10" t="s">
        <v>514</v>
      </c>
      <c r="J53" s="10" t="s">
        <v>20</v>
      </c>
      <c r="K53" s="10" t="s">
        <v>512</v>
      </c>
      <c r="L53" s="7">
        <v>1</v>
      </c>
    </row>
    <row r="54" spans="1:12" ht="12.75" x14ac:dyDescent="0.2">
      <c r="A54" s="13"/>
      <c r="B54" s="17" t="s">
        <v>264</v>
      </c>
      <c r="C54" s="18"/>
      <c r="D54" s="18"/>
      <c r="E54" s="18"/>
      <c r="F54" s="18"/>
      <c r="G54" s="18"/>
      <c r="H54" s="18"/>
      <c r="I54" s="18"/>
      <c r="J54" s="18"/>
      <c r="K54" s="18"/>
      <c r="L54" s="5">
        <v>1</v>
      </c>
    </row>
    <row r="55" spans="1:12" ht="24.95" customHeight="1" x14ac:dyDescent="0.2">
      <c r="A55" s="13"/>
      <c r="B55" s="10">
        <v>15</v>
      </c>
      <c r="C55" s="10" t="s">
        <v>56</v>
      </c>
      <c r="D55" s="10" t="s">
        <v>44</v>
      </c>
      <c r="E55" s="10" t="s">
        <v>56</v>
      </c>
      <c r="F55" s="10" t="s">
        <v>605</v>
      </c>
      <c r="G55" s="10" t="s">
        <v>57</v>
      </c>
      <c r="H55" s="10" t="s">
        <v>9</v>
      </c>
      <c r="I55" s="10" t="s">
        <v>507</v>
      </c>
      <c r="J55" s="10" t="s">
        <v>20</v>
      </c>
      <c r="K55" s="10" t="s">
        <v>505</v>
      </c>
      <c r="L55" s="7">
        <v>1</v>
      </c>
    </row>
    <row r="56" spans="1:12" ht="12.75" x14ac:dyDescent="0.2">
      <c r="A56" s="13"/>
      <c r="B56" s="17" t="s">
        <v>599</v>
      </c>
      <c r="C56" s="18"/>
      <c r="D56" s="18"/>
      <c r="E56" s="18"/>
      <c r="F56" s="18"/>
      <c r="G56" s="18"/>
      <c r="H56" s="18"/>
      <c r="I56" s="18"/>
      <c r="J56" s="18"/>
      <c r="K56" s="18"/>
      <c r="L56" s="5">
        <v>1</v>
      </c>
    </row>
    <row r="57" spans="1:12" ht="24.95" customHeight="1" x14ac:dyDescent="0.2">
      <c r="A57" s="13"/>
      <c r="B57" s="10">
        <v>17</v>
      </c>
      <c r="C57" s="10" t="s">
        <v>45</v>
      </c>
      <c r="D57" s="10" t="s">
        <v>44</v>
      </c>
      <c r="E57" s="10" t="s">
        <v>61</v>
      </c>
      <c r="F57" s="10" t="s">
        <v>42</v>
      </c>
      <c r="G57" s="10" t="s">
        <v>57</v>
      </c>
      <c r="H57" s="10" t="s">
        <v>9</v>
      </c>
      <c r="I57" s="10" t="s">
        <v>72</v>
      </c>
      <c r="J57" s="10" t="s">
        <v>20</v>
      </c>
      <c r="K57" s="10" t="s">
        <v>151</v>
      </c>
      <c r="L57" s="7">
        <v>1</v>
      </c>
    </row>
    <row r="58" spans="1:12" ht="12.75" x14ac:dyDescent="0.2">
      <c r="A58" s="13"/>
      <c r="B58" s="17" t="s">
        <v>373</v>
      </c>
      <c r="C58" s="18"/>
      <c r="D58" s="18"/>
      <c r="E58" s="18"/>
      <c r="F58" s="18"/>
      <c r="G58" s="18"/>
      <c r="H58" s="18"/>
      <c r="I58" s="18"/>
      <c r="J58" s="18"/>
      <c r="K58" s="18"/>
      <c r="L58" s="5">
        <v>1</v>
      </c>
    </row>
    <row r="59" spans="1:12" ht="24.95" customHeight="1" x14ac:dyDescent="0.2">
      <c r="A59" s="13"/>
      <c r="B59" s="11">
        <v>23</v>
      </c>
      <c r="C59" s="11" t="s">
        <v>56</v>
      </c>
      <c r="D59" s="11" t="s">
        <v>73</v>
      </c>
      <c r="E59" s="11" t="s">
        <v>56</v>
      </c>
      <c r="F59" s="10" t="s">
        <v>478</v>
      </c>
      <c r="G59" s="10" t="s">
        <v>593</v>
      </c>
      <c r="H59" s="11" t="s">
        <v>9</v>
      </c>
      <c r="I59" s="10" t="s">
        <v>477</v>
      </c>
      <c r="J59" s="10" t="s">
        <v>95</v>
      </c>
      <c r="K59" s="10" t="s">
        <v>476</v>
      </c>
      <c r="L59" s="7">
        <v>1</v>
      </c>
    </row>
    <row r="60" spans="1:12" ht="24.95" customHeight="1" x14ac:dyDescent="0.2">
      <c r="A60" s="13"/>
      <c r="B60" s="13"/>
      <c r="C60" s="13" t="s">
        <v>56</v>
      </c>
      <c r="D60" s="13"/>
      <c r="E60" s="13" t="s">
        <v>56</v>
      </c>
      <c r="F60" s="10" t="s">
        <v>606</v>
      </c>
      <c r="G60" s="10" t="s">
        <v>376</v>
      </c>
      <c r="H60" s="12" t="s">
        <v>9</v>
      </c>
      <c r="I60" s="10" t="s">
        <v>56</v>
      </c>
      <c r="J60" s="10" t="s">
        <v>23</v>
      </c>
      <c r="K60" s="10" t="s">
        <v>479</v>
      </c>
      <c r="L60" s="7">
        <v>1</v>
      </c>
    </row>
    <row r="61" spans="1:12" ht="12.75" x14ac:dyDescent="0.2">
      <c r="A61" s="13"/>
      <c r="B61" s="17" t="s">
        <v>600</v>
      </c>
      <c r="C61" s="18"/>
      <c r="D61" s="18"/>
      <c r="E61" s="18"/>
      <c r="F61" s="18"/>
      <c r="G61" s="18"/>
      <c r="H61" s="18"/>
      <c r="I61" s="18"/>
      <c r="J61" s="18"/>
      <c r="K61" s="18"/>
      <c r="L61" s="5">
        <v>2</v>
      </c>
    </row>
    <row r="62" spans="1:12" ht="24.95" customHeight="1" x14ac:dyDescent="0.2">
      <c r="A62" s="13"/>
      <c r="B62" s="10">
        <v>24</v>
      </c>
      <c r="C62" s="10" t="s">
        <v>56</v>
      </c>
      <c r="D62" s="10" t="s">
        <v>490</v>
      </c>
      <c r="E62" s="10" t="s">
        <v>56</v>
      </c>
      <c r="F62" s="10" t="s">
        <v>494</v>
      </c>
      <c r="G62" s="10" t="s">
        <v>263</v>
      </c>
      <c r="H62" s="10" t="s">
        <v>9</v>
      </c>
      <c r="I62" s="10" t="s">
        <v>493</v>
      </c>
      <c r="J62" s="10" t="s">
        <v>20</v>
      </c>
      <c r="K62" s="10" t="s">
        <v>491</v>
      </c>
      <c r="L62" s="7">
        <v>1</v>
      </c>
    </row>
    <row r="63" spans="1:12" ht="12.75" x14ac:dyDescent="0.2">
      <c r="A63" s="13"/>
      <c r="B63" s="17" t="s">
        <v>601</v>
      </c>
      <c r="C63" s="18"/>
      <c r="D63" s="18"/>
      <c r="E63" s="18"/>
      <c r="F63" s="18"/>
      <c r="G63" s="18"/>
      <c r="H63" s="18"/>
      <c r="I63" s="18"/>
      <c r="J63" s="18"/>
      <c r="K63" s="18"/>
      <c r="L63" s="5">
        <v>1</v>
      </c>
    </row>
    <row r="64" spans="1:12" ht="24.95" customHeight="1" x14ac:dyDescent="0.2">
      <c r="A64" s="13"/>
      <c r="B64" s="11">
        <v>26</v>
      </c>
      <c r="C64" s="11" t="s">
        <v>56</v>
      </c>
      <c r="D64" s="10" t="s">
        <v>160</v>
      </c>
      <c r="E64" s="11" t="s">
        <v>56</v>
      </c>
      <c r="F64" s="10" t="s">
        <v>159</v>
      </c>
      <c r="G64" s="10" t="s">
        <v>162</v>
      </c>
      <c r="H64" s="11" t="s">
        <v>9</v>
      </c>
      <c r="I64" s="10" t="s">
        <v>158</v>
      </c>
      <c r="J64" s="10" t="s">
        <v>95</v>
      </c>
      <c r="K64" s="10" t="s">
        <v>504</v>
      </c>
      <c r="L64" s="7">
        <v>1</v>
      </c>
    </row>
    <row r="65" spans="1:12" ht="24.95" customHeight="1" x14ac:dyDescent="0.2">
      <c r="A65" s="13"/>
      <c r="B65" s="13"/>
      <c r="C65" s="13" t="s">
        <v>56</v>
      </c>
      <c r="D65" s="10" t="s">
        <v>490</v>
      </c>
      <c r="E65" s="12" t="s">
        <v>56</v>
      </c>
      <c r="F65" s="10" t="s">
        <v>607</v>
      </c>
      <c r="G65" s="10" t="s">
        <v>371</v>
      </c>
      <c r="H65" s="12" t="s">
        <v>9</v>
      </c>
      <c r="I65" s="10" t="s">
        <v>488</v>
      </c>
      <c r="J65" s="10" t="s">
        <v>20</v>
      </c>
      <c r="K65" s="10" t="s">
        <v>486</v>
      </c>
      <c r="L65" s="7">
        <v>1</v>
      </c>
    </row>
    <row r="66" spans="1:12" ht="12.75" x14ac:dyDescent="0.2">
      <c r="A66" s="13"/>
      <c r="B66" s="17" t="s">
        <v>265</v>
      </c>
      <c r="C66" s="18"/>
      <c r="D66" s="18"/>
      <c r="E66" s="18"/>
      <c r="F66" s="18"/>
      <c r="G66" s="18"/>
      <c r="H66" s="18"/>
      <c r="I66" s="18"/>
      <c r="J66" s="18"/>
      <c r="K66" s="18"/>
      <c r="L66" s="5">
        <v>2</v>
      </c>
    </row>
    <row r="67" spans="1:12" ht="24.95" customHeight="1" x14ac:dyDescent="0.2">
      <c r="A67" s="13"/>
      <c r="B67" s="10">
        <v>27</v>
      </c>
      <c r="C67" s="10" t="s">
        <v>45</v>
      </c>
      <c r="D67" s="10" t="s">
        <v>527</v>
      </c>
      <c r="E67" s="10" t="s">
        <v>61</v>
      </c>
      <c r="F67" s="10" t="s">
        <v>526</v>
      </c>
      <c r="G67" s="10" t="s">
        <v>370</v>
      </c>
      <c r="H67" s="10" t="s">
        <v>9</v>
      </c>
      <c r="I67" s="10" t="s">
        <v>525</v>
      </c>
      <c r="J67" s="10" t="s">
        <v>20</v>
      </c>
      <c r="K67" s="10" t="s">
        <v>523</v>
      </c>
      <c r="L67" s="7">
        <v>1</v>
      </c>
    </row>
    <row r="68" spans="1:12" ht="12.75" x14ac:dyDescent="0.2">
      <c r="A68" s="13"/>
      <c r="B68" s="17" t="s">
        <v>374</v>
      </c>
      <c r="C68" s="18"/>
      <c r="D68" s="18"/>
      <c r="E68" s="18"/>
      <c r="F68" s="18"/>
      <c r="G68" s="18"/>
      <c r="H68" s="18"/>
      <c r="I68" s="18"/>
      <c r="J68" s="18"/>
      <c r="K68" s="18"/>
      <c r="L68" s="5">
        <v>1</v>
      </c>
    </row>
    <row r="69" spans="1:12" ht="24.95" customHeight="1" x14ac:dyDescent="0.2">
      <c r="A69" s="13"/>
      <c r="B69" s="10">
        <v>30</v>
      </c>
      <c r="C69" s="10" t="s">
        <v>56</v>
      </c>
      <c r="D69" s="10" t="s">
        <v>503</v>
      </c>
      <c r="E69" s="10" t="s">
        <v>56</v>
      </c>
      <c r="F69" s="10" t="s">
        <v>502</v>
      </c>
      <c r="G69" s="10" t="s">
        <v>62</v>
      </c>
      <c r="H69" s="10" t="s">
        <v>9</v>
      </c>
      <c r="I69" s="10" t="s">
        <v>501</v>
      </c>
      <c r="J69" s="10" t="s">
        <v>20</v>
      </c>
      <c r="K69" s="10" t="s">
        <v>499</v>
      </c>
      <c r="L69" s="7">
        <v>1</v>
      </c>
    </row>
    <row r="70" spans="1:12" ht="12.75" x14ac:dyDescent="0.2">
      <c r="A70" s="13"/>
      <c r="B70" s="17" t="s">
        <v>317</v>
      </c>
      <c r="C70" s="18"/>
      <c r="D70" s="18"/>
      <c r="E70" s="18"/>
      <c r="F70" s="18"/>
      <c r="G70" s="18"/>
      <c r="H70" s="18"/>
      <c r="I70" s="18"/>
      <c r="J70" s="18"/>
      <c r="K70" s="18"/>
      <c r="L70" s="5">
        <v>1</v>
      </c>
    </row>
    <row r="71" spans="1:12" ht="24.95" customHeight="1" x14ac:dyDescent="0.2">
      <c r="A71" s="13"/>
      <c r="B71" s="11">
        <v>31</v>
      </c>
      <c r="C71" s="11" t="s">
        <v>56</v>
      </c>
      <c r="D71" s="11" t="s">
        <v>40</v>
      </c>
      <c r="E71" s="11" t="s">
        <v>56</v>
      </c>
      <c r="F71" s="10" t="s">
        <v>51</v>
      </c>
      <c r="G71" s="11" t="s">
        <v>58</v>
      </c>
      <c r="H71" s="11" t="s">
        <v>9</v>
      </c>
      <c r="I71" s="10" t="s">
        <v>148</v>
      </c>
      <c r="J71" s="11" t="s">
        <v>20</v>
      </c>
      <c r="K71" s="10" t="s">
        <v>147</v>
      </c>
      <c r="L71" s="7">
        <v>1</v>
      </c>
    </row>
    <row r="72" spans="1:12" ht="24.95" customHeight="1" x14ac:dyDescent="0.2">
      <c r="A72" s="13"/>
      <c r="B72" s="13"/>
      <c r="C72" s="13" t="s">
        <v>56</v>
      </c>
      <c r="D72" s="13"/>
      <c r="E72" s="13" t="s">
        <v>56</v>
      </c>
      <c r="F72" s="10" t="s">
        <v>157</v>
      </c>
      <c r="G72" s="12" t="s">
        <v>58</v>
      </c>
      <c r="H72" s="12" t="s">
        <v>9</v>
      </c>
      <c r="I72" s="10" t="s">
        <v>156</v>
      </c>
      <c r="J72" s="12" t="s">
        <v>20</v>
      </c>
      <c r="K72" s="10" t="s">
        <v>154</v>
      </c>
      <c r="L72" s="7">
        <v>1</v>
      </c>
    </row>
    <row r="73" spans="1:12" ht="24.95" customHeight="1" x14ac:dyDescent="0.2">
      <c r="A73" s="13"/>
      <c r="B73" s="13"/>
      <c r="C73" s="13" t="s">
        <v>56</v>
      </c>
      <c r="D73" s="10" t="s">
        <v>39</v>
      </c>
      <c r="E73" s="12" t="s">
        <v>56</v>
      </c>
      <c r="F73" s="10" t="s">
        <v>38</v>
      </c>
      <c r="G73" s="10" t="s">
        <v>62</v>
      </c>
      <c r="H73" s="12" t="s">
        <v>9</v>
      </c>
      <c r="I73" s="10" t="s">
        <v>146</v>
      </c>
      <c r="J73" s="12" t="s">
        <v>20</v>
      </c>
      <c r="K73" s="10" t="s">
        <v>145</v>
      </c>
      <c r="L73" s="7">
        <v>1</v>
      </c>
    </row>
    <row r="74" spans="1:12" ht="24.95" customHeight="1" x14ac:dyDescent="0.2">
      <c r="A74" s="13"/>
      <c r="B74" s="13"/>
      <c r="C74" s="13" t="s">
        <v>56</v>
      </c>
      <c r="D74" s="10" t="s">
        <v>73</v>
      </c>
      <c r="E74" s="12" t="s">
        <v>56</v>
      </c>
      <c r="F74" s="10" t="s">
        <v>608</v>
      </c>
      <c r="G74" s="10" t="s">
        <v>594</v>
      </c>
      <c r="H74" s="10" t="s">
        <v>92</v>
      </c>
      <c r="I74" s="10" t="s">
        <v>484</v>
      </c>
      <c r="J74" s="10" t="s">
        <v>23</v>
      </c>
      <c r="K74" s="10" t="s">
        <v>482</v>
      </c>
      <c r="L74" s="7">
        <v>1</v>
      </c>
    </row>
    <row r="75" spans="1:12" ht="12.75" x14ac:dyDescent="0.2">
      <c r="A75" s="13"/>
      <c r="B75" s="17" t="s">
        <v>188</v>
      </c>
      <c r="C75" s="18"/>
      <c r="D75" s="18"/>
      <c r="E75" s="18"/>
      <c r="F75" s="18"/>
      <c r="G75" s="18"/>
      <c r="H75" s="18"/>
      <c r="I75" s="18"/>
      <c r="J75" s="18"/>
      <c r="K75" s="18"/>
      <c r="L75" s="5">
        <v>4</v>
      </c>
    </row>
    <row r="76" spans="1:12" ht="24.95" customHeight="1" x14ac:dyDescent="0.2">
      <c r="A76" s="13"/>
      <c r="B76" s="10">
        <v>32</v>
      </c>
      <c r="C76" s="10" t="s">
        <v>56</v>
      </c>
      <c r="D76" s="10" t="s">
        <v>44</v>
      </c>
      <c r="E76" s="10" t="s">
        <v>61</v>
      </c>
      <c r="F76" s="10" t="s">
        <v>520</v>
      </c>
      <c r="G76" s="10" t="s">
        <v>57</v>
      </c>
      <c r="H76" s="10" t="s">
        <v>9</v>
      </c>
      <c r="I76" s="10" t="s">
        <v>72</v>
      </c>
      <c r="J76" s="10" t="s">
        <v>20</v>
      </c>
      <c r="K76" s="10" t="s">
        <v>518</v>
      </c>
      <c r="L76" s="7">
        <v>1</v>
      </c>
    </row>
    <row r="77" spans="1:12" ht="12.75" x14ac:dyDescent="0.2">
      <c r="A77" s="13"/>
      <c r="B77" s="17" t="s">
        <v>602</v>
      </c>
      <c r="C77" s="18"/>
      <c r="D77" s="18"/>
      <c r="E77" s="18"/>
      <c r="F77" s="18"/>
      <c r="G77" s="18"/>
      <c r="H77" s="18"/>
      <c r="I77" s="18"/>
      <c r="J77" s="18"/>
      <c r="K77" s="18"/>
      <c r="L77" s="5">
        <v>1</v>
      </c>
    </row>
    <row r="78" spans="1:12" ht="24.95" customHeight="1" x14ac:dyDescent="0.2">
      <c r="A78" s="11" t="s">
        <v>19</v>
      </c>
      <c r="B78" s="11">
        <v>0</v>
      </c>
      <c r="C78" s="11" t="s">
        <v>56</v>
      </c>
      <c r="D78" s="11" t="s">
        <v>34</v>
      </c>
      <c r="E78" s="11" t="s">
        <v>56</v>
      </c>
      <c r="F78" s="10" t="s">
        <v>33</v>
      </c>
      <c r="G78" s="10" t="s">
        <v>66</v>
      </c>
      <c r="H78" s="11" t="s">
        <v>92</v>
      </c>
      <c r="I78" s="10" t="s">
        <v>144</v>
      </c>
      <c r="J78" s="10" t="s">
        <v>20</v>
      </c>
      <c r="K78" s="10" t="s">
        <v>143</v>
      </c>
      <c r="L78" s="7">
        <v>1</v>
      </c>
    </row>
    <row r="79" spans="1:12" ht="24.95" customHeight="1" x14ac:dyDescent="0.2">
      <c r="A79" s="13"/>
      <c r="B79" s="13"/>
      <c r="C79" s="13" t="s">
        <v>56</v>
      </c>
      <c r="D79" s="13"/>
      <c r="E79" s="13" t="s">
        <v>56</v>
      </c>
      <c r="F79" s="10" t="s">
        <v>609</v>
      </c>
      <c r="G79" s="10" t="s">
        <v>64</v>
      </c>
      <c r="H79" s="12" t="s">
        <v>92</v>
      </c>
      <c r="I79" s="11" t="s">
        <v>56</v>
      </c>
      <c r="J79" s="11" t="s">
        <v>23</v>
      </c>
      <c r="K79" s="10" t="s">
        <v>467</v>
      </c>
      <c r="L79" s="7">
        <v>1</v>
      </c>
    </row>
    <row r="80" spans="1:12" ht="24.95" customHeight="1" x14ac:dyDescent="0.2">
      <c r="A80" s="13"/>
      <c r="B80" s="13"/>
      <c r="C80" s="13" t="s">
        <v>56</v>
      </c>
      <c r="D80" s="11" t="s">
        <v>31</v>
      </c>
      <c r="E80" s="12" t="s">
        <v>56</v>
      </c>
      <c r="F80" s="10" t="s">
        <v>287</v>
      </c>
      <c r="G80" s="11" t="s">
        <v>63</v>
      </c>
      <c r="H80" s="12" t="s">
        <v>92</v>
      </c>
      <c r="I80" s="12" t="s">
        <v>56</v>
      </c>
      <c r="J80" s="12" t="s">
        <v>23</v>
      </c>
      <c r="K80" s="10" t="s">
        <v>276</v>
      </c>
      <c r="L80" s="7">
        <v>1</v>
      </c>
    </row>
    <row r="81" spans="1:12" ht="24.95" customHeight="1" x14ac:dyDescent="0.2">
      <c r="A81" s="13"/>
      <c r="B81" s="13"/>
      <c r="C81" s="13" t="s">
        <v>56</v>
      </c>
      <c r="D81" s="13"/>
      <c r="E81" s="13" t="s">
        <v>56</v>
      </c>
      <c r="F81" s="10" t="s">
        <v>222</v>
      </c>
      <c r="G81" s="12" t="s">
        <v>63</v>
      </c>
      <c r="H81" s="10" t="s">
        <v>9</v>
      </c>
      <c r="I81" s="12" t="s">
        <v>56</v>
      </c>
      <c r="J81" s="12" t="s">
        <v>23</v>
      </c>
      <c r="K81" s="10" t="s">
        <v>207</v>
      </c>
      <c r="L81" s="7">
        <v>1</v>
      </c>
    </row>
    <row r="82" spans="1:12" ht="24.95" customHeight="1" x14ac:dyDescent="0.2">
      <c r="A82" s="13"/>
      <c r="B82" s="13"/>
      <c r="C82" s="13" t="s">
        <v>56</v>
      </c>
      <c r="D82" s="13"/>
      <c r="E82" s="13" t="s">
        <v>56</v>
      </c>
      <c r="F82" s="10" t="s">
        <v>460</v>
      </c>
      <c r="G82" s="12" t="s">
        <v>63</v>
      </c>
      <c r="H82" s="11" t="s">
        <v>92</v>
      </c>
      <c r="I82" s="10" t="s">
        <v>459</v>
      </c>
      <c r="J82" s="10" t="s">
        <v>20</v>
      </c>
      <c r="K82" s="10" t="s">
        <v>457</v>
      </c>
      <c r="L82" s="7">
        <v>1</v>
      </c>
    </row>
    <row r="83" spans="1:12" ht="24.95" customHeight="1" x14ac:dyDescent="0.2">
      <c r="A83" s="13"/>
      <c r="B83" s="13"/>
      <c r="C83" s="13" t="s">
        <v>56</v>
      </c>
      <c r="D83" s="13"/>
      <c r="E83" s="13" t="s">
        <v>56</v>
      </c>
      <c r="F83" s="10" t="s">
        <v>377</v>
      </c>
      <c r="G83" s="10" t="s">
        <v>91</v>
      </c>
      <c r="H83" s="12" t="s">
        <v>92</v>
      </c>
      <c r="I83" s="10" t="s">
        <v>56</v>
      </c>
      <c r="J83" s="10" t="s">
        <v>23</v>
      </c>
      <c r="K83" s="10" t="s">
        <v>363</v>
      </c>
      <c r="L83" s="7">
        <v>1</v>
      </c>
    </row>
    <row r="84" spans="1:12" ht="24.95" customHeight="1" x14ac:dyDescent="0.2">
      <c r="A84" s="13"/>
      <c r="B84" s="13"/>
      <c r="C84" s="13" t="s">
        <v>56</v>
      </c>
      <c r="D84" s="10" t="s">
        <v>456</v>
      </c>
      <c r="E84" s="12" t="s">
        <v>56</v>
      </c>
      <c r="F84" s="10" t="s">
        <v>455</v>
      </c>
      <c r="G84" s="10" t="s">
        <v>115</v>
      </c>
      <c r="H84" s="12" t="s">
        <v>92</v>
      </c>
      <c r="I84" s="10" t="s">
        <v>454</v>
      </c>
      <c r="J84" s="11" t="s">
        <v>20</v>
      </c>
      <c r="K84" s="10" t="s">
        <v>452</v>
      </c>
      <c r="L84" s="7">
        <v>1</v>
      </c>
    </row>
    <row r="85" spans="1:12" ht="24.95" customHeight="1" x14ac:dyDescent="0.2">
      <c r="A85" s="13"/>
      <c r="B85" s="13"/>
      <c r="C85" s="13" t="s">
        <v>56</v>
      </c>
      <c r="D85" s="11" t="s">
        <v>77</v>
      </c>
      <c r="E85" s="12" t="s">
        <v>56</v>
      </c>
      <c r="F85" s="10" t="s">
        <v>79</v>
      </c>
      <c r="G85" s="11" t="s">
        <v>66</v>
      </c>
      <c r="H85" s="12" t="s">
        <v>92</v>
      </c>
      <c r="I85" s="10" t="s">
        <v>139</v>
      </c>
      <c r="J85" s="12" t="s">
        <v>20</v>
      </c>
      <c r="K85" s="10" t="s">
        <v>138</v>
      </c>
      <c r="L85" s="7">
        <v>1</v>
      </c>
    </row>
    <row r="86" spans="1:12" ht="24.95" customHeight="1" x14ac:dyDescent="0.2">
      <c r="A86" s="13"/>
      <c r="B86" s="13"/>
      <c r="C86" s="13" t="s">
        <v>56</v>
      </c>
      <c r="D86" s="13"/>
      <c r="E86" s="13" t="s">
        <v>56</v>
      </c>
      <c r="F86" s="10" t="s">
        <v>223</v>
      </c>
      <c r="G86" s="12" t="s">
        <v>66</v>
      </c>
      <c r="H86" s="12" t="s">
        <v>92</v>
      </c>
      <c r="I86" s="10" t="s">
        <v>141</v>
      </c>
      <c r="J86" s="12" t="s">
        <v>20</v>
      </c>
      <c r="K86" s="10" t="s">
        <v>140</v>
      </c>
      <c r="L86" s="7">
        <v>1</v>
      </c>
    </row>
    <row r="87" spans="1:12" ht="24.95" customHeight="1" x14ac:dyDescent="0.2">
      <c r="A87" s="13"/>
      <c r="B87" s="13"/>
      <c r="C87" s="13" t="s">
        <v>56</v>
      </c>
      <c r="D87" s="13"/>
      <c r="E87" s="13" t="s">
        <v>56</v>
      </c>
      <c r="F87" s="10" t="s">
        <v>224</v>
      </c>
      <c r="G87" s="12" t="s">
        <v>66</v>
      </c>
      <c r="H87" s="12" t="s">
        <v>92</v>
      </c>
      <c r="I87" s="10" t="s">
        <v>142</v>
      </c>
      <c r="J87" s="12" t="s">
        <v>20</v>
      </c>
      <c r="K87" s="10" t="s">
        <v>360</v>
      </c>
      <c r="L87" s="7">
        <v>1</v>
      </c>
    </row>
    <row r="88" spans="1:12" ht="24.95" customHeight="1" x14ac:dyDescent="0.2">
      <c r="A88" s="13"/>
      <c r="B88" s="13"/>
      <c r="C88" s="13" t="s">
        <v>56</v>
      </c>
      <c r="D88" s="10" t="s">
        <v>30</v>
      </c>
      <c r="E88" s="12" t="s">
        <v>56</v>
      </c>
      <c r="F88" s="10" t="s">
        <v>29</v>
      </c>
      <c r="G88" s="10" t="s">
        <v>68</v>
      </c>
      <c r="H88" s="12" t="s">
        <v>92</v>
      </c>
      <c r="I88" s="10" t="s">
        <v>114</v>
      </c>
      <c r="J88" s="11" t="s">
        <v>23</v>
      </c>
      <c r="K88" s="10" t="s">
        <v>275</v>
      </c>
      <c r="L88" s="7">
        <v>1</v>
      </c>
    </row>
    <row r="89" spans="1:12" ht="24.95" customHeight="1" x14ac:dyDescent="0.2">
      <c r="A89" s="13"/>
      <c r="B89" s="13"/>
      <c r="C89" s="13" t="s">
        <v>56</v>
      </c>
      <c r="D89" s="10" t="s">
        <v>163</v>
      </c>
      <c r="E89" s="12" t="s">
        <v>56</v>
      </c>
      <c r="F89" s="10" t="s">
        <v>225</v>
      </c>
      <c r="G89" s="10" t="s">
        <v>91</v>
      </c>
      <c r="H89" s="12" t="s">
        <v>92</v>
      </c>
      <c r="I89" s="10" t="s">
        <v>56</v>
      </c>
      <c r="J89" s="12" t="s">
        <v>23</v>
      </c>
      <c r="K89" s="10" t="s">
        <v>358</v>
      </c>
      <c r="L89" s="7">
        <v>1</v>
      </c>
    </row>
    <row r="90" spans="1:12" ht="24.95" customHeight="1" x14ac:dyDescent="0.2">
      <c r="A90" s="13"/>
      <c r="B90" s="13"/>
      <c r="C90" s="13" t="s">
        <v>56</v>
      </c>
      <c r="D90" s="11" t="s">
        <v>74</v>
      </c>
      <c r="E90" s="12" t="s">
        <v>56</v>
      </c>
      <c r="F90" s="10" t="s">
        <v>342</v>
      </c>
      <c r="G90" s="10" t="s">
        <v>65</v>
      </c>
      <c r="H90" s="12" t="s">
        <v>92</v>
      </c>
      <c r="I90" s="10" t="s">
        <v>333</v>
      </c>
      <c r="J90" s="10" t="s">
        <v>20</v>
      </c>
      <c r="K90" s="10" t="s">
        <v>331</v>
      </c>
      <c r="L90" s="7">
        <v>1</v>
      </c>
    </row>
    <row r="91" spans="1:12" ht="24.95" customHeight="1" x14ac:dyDescent="0.2">
      <c r="A91" s="13"/>
      <c r="B91" s="13"/>
      <c r="C91" s="13" t="s">
        <v>56</v>
      </c>
      <c r="D91" s="13"/>
      <c r="E91" s="13" t="s">
        <v>56</v>
      </c>
      <c r="F91" s="10" t="s">
        <v>226</v>
      </c>
      <c r="G91" s="10" t="s">
        <v>171</v>
      </c>
      <c r="H91" s="12" t="s">
        <v>92</v>
      </c>
      <c r="I91" s="10" t="s">
        <v>56</v>
      </c>
      <c r="J91" s="10" t="s">
        <v>23</v>
      </c>
      <c r="K91" s="10" t="s">
        <v>191</v>
      </c>
      <c r="L91" s="7">
        <v>1</v>
      </c>
    </row>
    <row r="92" spans="1:12" ht="24.95" customHeight="1" x14ac:dyDescent="0.2">
      <c r="A92" s="13"/>
      <c r="B92" s="13"/>
      <c r="C92" s="13" t="s">
        <v>56</v>
      </c>
      <c r="D92" s="13"/>
      <c r="E92" s="13" t="s">
        <v>56</v>
      </c>
      <c r="F92" s="10" t="s">
        <v>227</v>
      </c>
      <c r="G92" s="11" t="s">
        <v>65</v>
      </c>
      <c r="H92" s="12" t="s">
        <v>92</v>
      </c>
      <c r="I92" s="10" t="s">
        <v>295</v>
      </c>
      <c r="J92" s="11" t="s">
        <v>20</v>
      </c>
      <c r="K92" s="10" t="s">
        <v>294</v>
      </c>
      <c r="L92" s="7">
        <v>1</v>
      </c>
    </row>
    <row r="93" spans="1:12" ht="24.95" customHeight="1" x14ac:dyDescent="0.2">
      <c r="A93" s="13"/>
      <c r="B93" s="13"/>
      <c r="C93" s="13" t="s">
        <v>56</v>
      </c>
      <c r="D93" s="13"/>
      <c r="E93" s="13" t="s">
        <v>56</v>
      </c>
      <c r="F93" s="10" t="s">
        <v>228</v>
      </c>
      <c r="G93" s="12" t="s">
        <v>65</v>
      </c>
      <c r="H93" s="12" t="s">
        <v>92</v>
      </c>
      <c r="I93" s="10" t="s">
        <v>293</v>
      </c>
      <c r="J93" s="12" t="s">
        <v>20</v>
      </c>
      <c r="K93" s="10" t="s">
        <v>292</v>
      </c>
      <c r="L93" s="7">
        <v>1</v>
      </c>
    </row>
    <row r="94" spans="1:12" ht="24.95" customHeight="1" x14ac:dyDescent="0.2">
      <c r="A94" s="13"/>
      <c r="B94" s="13"/>
      <c r="C94" s="13" t="s">
        <v>56</v>
      </c>
      <c r="D94" s="13"/>
      <c r="E94" s="13" t="s">
        <v>56</v>
      </c>
      <c r="F94" s="10" t="s">
        <v>266</v>
      </c>
      <c r="G94" s="10" t="s">
        <v>91</v>
      </c>
      <c r="H94" s="12" t="s">
        <v>92</v>
      </c>
      <c r="I94" s="11" t="s">
        <v>56</v>
      </c>
      <c r="J94" s="11" t="s">
        <v>23</v>
      </c>
      <c r="K94" s="10" t="s">
        <v>246</v>
      </c>
      <c r="L94" s="7">
        <v>1</v>
      </c>
    </row>
    <row r="95" spans="1:12" ht="24.95" customHeight="1" x14ac:dyDescent="0.2">
      <c r="A95" s="13"/>
      <c r="B95" s="13"/>
      <c r="C95" s="13" t="s">
        <v>56</v>
      </c>
      <c r="D95" s="13"/>
      <c r="E95" s="13" t="s">
        <v>56</v>
      </c>
      <c r="F95" s="10" t="s">
        <v>267</v>
      </c>
      <c r="G95" s="11" t="s">
        <v>64</v>
      </c>
      <c r="H95" s="12" t="s">
        <v>92</v>
      </c>
      <c r="I95" s="12" t="s">
        <v>56</v>
      </c>
      <c r="J95" s="12" t="s">
        <v>23</v>
      </c>
      <c r="K95" s="10" t="s">
        <v>249</v>
      </c>
      <c r="L95" s="7">
        <v>1</v>
      </c>
    </row>
    <row r="96" spans="1:12" ht="24.95" customHeight="1" x14ac:dyDescent="0.2">
      <c r="A96" s="13"/>
      <c r="B96" s="13"/>
      <c r="C96" s="13" t="s">
        <v>56</v>
      </c>
      <c r="D96" s="13"/>
      <c r="E96" s="13" t="s">
        <v>56</v>
      </c>
      <c r="F96" s="10" t="s">
        <v>268</v>
      </c>
      <c r="G96" s="12" t="s">
        <v>64</v>
      </c>
      <c r="H96" s="12" t="s">
        <v>92</v>
      </c>
      <c r="I96" s="12" t="s">
        <v>56</v>
      </c>
      <c r="J96" s="12" t="s">
        <v>23</v>
      </c>
      <c r="K96" s="10" t="s">
        <v>252</v>
      </c>
      <c r="L96" s="7">
        <v>1</v>
      </c>
    </row>
    <row r="97" spans="1:12" ht="24.95" customHeight="1" x14ac:dyDescent="0.2">
      <c r="A97" s="13"/>
      <c r="B97" s="13"/>
      <c r="C97" s="13" t="s">
        <v>56</v>
      </c>
      <c r="D97" s="13"/>
      <c r="E97" s="13" t="s">
        <v>56</v>
      </c>
      <c r="F97" s="10" t="s">
        <v>256</v>
      </c>
      <c r="G97" s="11" t="s">
        <v>65</v>
      </c>
      <c r="H97" s="12" t="s">
        <v>92</v>
      </c>
      <c r="I97" s="10" t="s">
        <v>255</v>
      </c>
      <c r="J97" s="11" t="s">
        <v>20</v>
      </c>
      <c r="K97" s="10" t="s">
        <v>254</v>
      </c>
      <c r="L97" s="7">
        <v>1</v>
      </c>
    </row>
    <row r="98" spans="1:12" ht="24.95" customHeight="1" x14ac:dyDescent="0.2">
      <c r="A98" s="13"/>
      <c r="B98" s="13"/>
      <c r="C98" s="13" t="s">
        <v>56</v>
      </c>
      <c r="D98" s="13"/>
      <c r="E98" s="13" t="s">
        <v>56</v>
      </c>
      <c r="F98" s="10" t="s">
        <v>259</v>
      </c>
      <c r="G98" s="12" t="s">
        <v>65</v>
      </c>
      <c r="H98" s="12" t="s">
        <v>92</v>
      </c>
      <c r="I98" s="10" t="s">
        <v>258</v>
      </c>
      <c r="J98" s="12" t="s">
        <v>20</v>
      </c>
      <c r="K98" s="10" t="s">
        <v>257</v>
      </c>
      <c r="L98" s="7">
        <v>1</v>
      </c>
    </row>
    <row r="99" spans="1:12" ht="24.95" customHeight="1" x14ac:dyDescent="0.2">
      <c r="A99" s="13"/>
      <c r="B99" s="13"/>
      <c r="C99" s="13" t="s">
        <v>56</v>
      </c>
      <c r="D99" s="13"/>
      <c r="E99" s="13" t="s">
        <v>56</v>
      </c>
      <c r="F99" s="10" t="s">
        <v>321</v>
      </c>
      <c r="G99" s="10" t="s">
        <v>63</v>
      </c>
      <c r="H99" s="12" t="s">
        <v>92</v>
      </c>
      <c r="I99" s="10" t="s">
        <v>56</v>
      </c>
      <c r="J99" s="10" t="s">
        <v>23</v>
      </c>
      <c r="K99" s="10" t="s">
        <v>296</v>
      </c>
      <c r="L99" s="7">
        <v>1</v>
      </c>
    </row>
    <row r="100" spans="1:12" ht="24.95" customHeight="1" x14ac:dyDescent="0.2">
      <c r="A100" s="13"/>
      <c r="B100" s="13"/>
      <c r="C100" s="13" t="s">
        <v>56</v>
      </c>
      <c r="D100" s="13"/>
      <c r="E100" s="13" t="s">
        <v>56</v>
      </c>
      <c r="F100" s="10" t="s">
        <v>322</v>
      </c>
      <c r="G100" s="10" t="s">
        <v>91</v>
      </c>
      <c r="H100" s="12" t="s">
        <v>92</v>
      </c>
      <c r="I100" s="10" t="s">
        <v>300</v>
      </c>
      <c r="J100" s="10" t="s">
        <v>20</v>
      </c>
      <c r="K100" s="10" t="s">
        <v>299</v>
      </c>
      <c r="L100" s="7">
        <v>1</v>
      </c>
    </row>
    <row r="101" spans="1:12" ht="24.95" customHeight="1" x14ac:dyDescent="0.2">
      <c r="A101" s="13"/>
      <c r="B101" s="13"/>
      <c r="C101" s="13" t="s">
        <v>56</v>
      </c>
      <c r="D101" s="13"/>
      <c r="E101" s="13" t="s">
        <v>56</v>
      </c>
      <c r="F101" s="10" t="s">
        <v>343</v>
      </c>
      <c r="G101" s="10" t="s">
        <v>66</v>
      </c>
      <c r="H101" s="12" t="s">
        <v>92</v>
      </c>
      <c r="I101" s="10" t="s">
        <v>56</v>
      </c>
      <c r="J101" s="10" t="s">
        <v>23</v>
      </c>
      <c r="K101" s="10" t="s">
        <v>328</v>
      </c>
      <c r="L101" s="7">
        <v>1</v>
      </c>
    </row>
    <row r="102" spans="1:12" ht="24.95" customHeight="1" x14ac:dyDescent="0.2">
      <c r="A102" s="13"/>
      <c r="B102" s="13"/>
      <c r="C102" s="13" t="s">
        <v>56</v>
      </c>
      <c r="D102" s="11" t="s">
        <v>25</v>
      </c>
      <c r="E102" s="12" t="s">
        <v>56</v>
      </c>
      <c r="F102" s="10" t="s">
        <v>27</v>
      </c>
      <c r="G102" s="10" t="s">
        <v>67</v>
      </c>
      <c r="H102" s="12" t="s">
        <v>92</v>
      </c>
      <c r="I102" s="10" t="s">
        <v>137</v>
      </c>
      <c r="J102" s="11" t="s">
        <v>20</v>
      </c>
      <c r="K102" s="10" t="s">
        <v>385</v>
      </c>
      <c r="L102" s="7">
        <v>1</v>
      </c>
    </row>
    <row r="103" spans="1:12" ht="24.95" customHeight="1" x14ac:dyDescent="0.2">
      <c r="A103" s="13"/>
      <c r="B103" s="13"/>
      <c r="C103" s="13" t="s">
        <v>56</v>
      </c>
      <c r="D103" s="13"/>
      <c r="E103" s="13" t="s">
        <v>56</v>
      </c>
      <c r="F103" s="10" t="s">
        <v>432</v>
      </c>
      <c r="G103" s="10" t="s">
        <v>241</v>
      </c>
      <c r="H103" s="12" t="s">
        <v>92</v>
      </c>
      <c r="I103" s="10" t="s">
        <v>431</v>
      </c>
      <c r="J103" s="12" t="s">
        <v>20</v>
      </c>
      <c r="K103" s="10" t="s">
        <v>430</v>
      </c>
      <c r="L103" s="7">
        <v>1</v>
      </c>
    </row>
    <row r="104" spans="1:12" ht="24.95" customHeight="1" x14ac:dyDescent="0.2">
      <c r="A104" s="13"/>
      <c r="B104" s="13"/>
      <c r="C104" s="13" t="s">
        <v>56</v>
      </c>
      <c r="D104" s="13"/>
      <c r="E104" s="13" t="s">
        <v>56</v>
      </c>
      <c r="F104" s="10" t="s">
        <v>113</v>
      </c>
      <c r="G104" s="10" t="s">
        <v>115</v>
      </c>
      <c r="H104" s="12" t="s">
        <v>92</v>
      </c>
      <c r="I104" s="10" t="s">
        <v>136</v>
      </c>
      <c r="J104" s="12" t="s">
        <v>20</v>
      </c>
      <c r="K104" s="10" t="s">
        <v>245</v>
      </c>
      <c r="L104" s="7">
        <v>1</v>
      </c>
    </row>
    <row r="105" spans="1:12" ht="24.95" customHeight="1" x14ac:dyDescent="0.2">
      <c r="A105" s="13"/>
      <c r="B105" s="13"/>
      <c r="C105" s="13" t="s">
        <v>56</v>
      </c>
      <c r="D105" s="11" t="s">
        <v>75</v>
      </c>
      <c r="E105" s="12" t="s">
        <v>56</v>
      </c>
      <c r="F105" s="10" t="s">
        <v>269</v>
      </c>
      <c r="G105" s="10" t="s">
        <v>91</v>
      </c>
      <c r="H105" s="12" t="s">
        <v>92</v>
      </c>
      <c r="I105" s="11" t="s">
        <v>56</v>
      </c>
      <c r="J105" s="11" t="s">
        <v>23</v>
      </c>
      <c r="K105" s="10" t="s">
        <v>242</v>
      </c>
      <c r="L105" s="7">
        <v>1</v>
      </c>
    </row>
    <row r="106" spans="1:12" ht="24.95" customHeight="1" x14ac:dyDescent="0.2">
      <c r="A106" s="13"/>
      <c r="B106" s="13"/>
      <c r="C106" s="13" t="s">
        <v>56</v>
      </c>
      <c r="D106" s="13"/>
      <c r="E106" s="13" t="s">
        <v>56</v>
      </c>
      <c r="F106" s="10" t="s">
        <v>229</v>
      </c>
      <c r="G106" s="10" t="s">
        <v>115</v>
      </c>
      <c r="H106" s="12" t="s">
        <v>92</v>
      </c>
      <c r="I106" s="12" t="s">
        <v>56</v>
      </c>
      <c r="J106" s="12" t="s">
        <v>23</v>
      </c>
      <c r="K106" s="10" t="s">
        <v>384</v>
      </c>
      <c r="L106" s="7">
        <v>1</v>
      </c>
    </row>
    <row r="107" spans="1:12" ht="24.95" customHeight="1" x14ac:dyDescent="0.2">
      <c r="A107" s="13"/>
      <c r="B107" s="13"/>
      <c r="C107" s="13" t="s">
        <v>56</v>
      </c>
      <c r="D107" s="13"/>
      <c r="E107" s="13" t="s">
        <v>56</v>
      </c>
      <c r="F107" s="10" t="s">
        <v>230</v>
      </c>
      <c r="G107" s="10" t="s">
        <v>64</v>
      </c>
      <c r="H107" s="12" t="s">
        <v>92</v>
      </c>
      <c r="I107" s="12" t="s">
        <v>56</v>
      </c>
      <c r="J107" s="12" t="s">
        <v>23</v>
      </c>
      <c r="K107" s="10" t="s">
        <v>209</v>
      </c>
      <c r="L107" s="7">
        <v>1</v>
      </c>
    </row>
    <row r="108" spans="1:12" ht="24.95" customHeight="1" x14ac:dyDescent="0.2">
      <c r="A108" s="13"/>
      <c r="B108" s="13"/>
      <c r="C108" s="13" t="s">
        <v>56</v>
      </c>
      <c r="D108" s="13"/>
      <c r="E108" s="13" t="s">
        <v>56</v>
      </c>
      <c r="F108" s="10" t="s">
        <v>288</v>
      </c>
      <c r="G108" s="10" t="s">
        <v>241</v>
      </c>
      <c r="H108" s="10" t="s">
        <v>9</v>
      </c>
      <c r="I108" s="12" t="s">
        <v>56</v>
      </c>
      <c r="J108" s="12" t="s">
        <v>23</v>
      </c>
      <c r="K108" s="10" t="s">
        <v>272</v>
      </c>
      <c r="L108" s="7">
        <v>1</v>
      </c>
    </row>
    <row r="109" spans="1:12" ht="24.95" customHeight="1" x14ac:dyDescent="0.2">
      <c r="A109" s="13"/>
      <c r="B109" s="13"/>
      <c r="C109" s="13" t="s">
        <v>56</v>
      </c>
      <c r="D109" s="13"/>
      <c r="E109" s="13" t="s">
        <v>56</v>
      </c>
      <c r="F109" s="10" t="s">
        <v>378</v>
      </c>
      <c r="G109" s="10" t="s">
        <v>375</v>
      </c>
      <c r="H109" s="11" t="s">
        <v>92</v>
      </c>
      <c r="I109" s="12" t="s">
        <v>56</v>
      </c>
      <c r="J109" s="12" t="s">
        <v>23</v>
      </c>
      <c r="K109" s="10" t="s">
        <v>356</v>
      </c>
      <c r="L109" s="7">
        <v>1</v>
      </c>
    </row>
    <row r="110" spans="1:12" ht="24.95" customHeight="1" x14ac:dyDescent="0.2">
      <c r="A110" s="13"/>
      <c r="B110" s="13"/>
      <c r="C110" s="13" t="s">
        <v>56</v>
      </c>
      <c r="D110" s="11" t="s">
        <v>69</v>
      </c>
      <c r="E110" s="12" t="s">
        <v>56</v>
      </c>
      <c r="F110" s="10" t="s">
        <v>71</v>
      </c>
      <c r="G110" s="10" t="s">
        <v>65</v>
      </c>
      <c r="H110" s="12" t="s">
        <v>92</v>
      </c>
      <c r="I110" s="10" t="s">
        <v>133</v>
      </c>
      <c r="J110" s="10" t="s">
        <v>20</v>
      </c>
      <c r="K110" s="10" t="s">
        <v>271</v>
      </c>
      <c r="L110" s="7">
        <v>1</v>
      </c>
    </row>
    <row r="111" spans="1:12" ht="24.95" customHeight="1" x14ac:dyDescent="0.2">
      <c r="A111" s="13"/>
      <c r="B111" s="13"/>
      <c r="C111" s="13" t="s">
        <v>56</v>
      </c>
      <c r="D111" s="13"/>
      <c r="E111" s="13" t="s">
        <v>56</v>
      </c>
      <c r="F111" s="10" t="s">
        <v>379</v>
      </c>
      <c r="G111" s="10" t="s">
        <v>91</v>
      </c>
      <c r="H111" s="12" t="s">
        <v>92</v>
      </c>
      <c r="I111" s="11" t="s">
        <v>56</v>
      </c>
      <c r="J111" s="11" t="s">
        <v>23</v>
      </c>
      <c r="K111" s="10" t="s">
        <v>350</v>
      </c>
      <c r="L111" s="7">
        <v>1</v>
      </c>
    </row>
    <row r="112" spans="1:12" ht="24.95" customHeight="1" x14ac:dyDescent="0.2">
      <c r="A112" s="13"/>
      <c r="B112" s="13"/>
      <c r="C112" s="13" t="s">
        <v>56</v>
      </c>
      <c r="D112" s="13"/>
      <c r="E112" s="13" t="s">
        <v>56</v>
      </c>
      <c r="F112" s="10" t="s">
        <v>380</v>
      </c>
      <c r="G112" s="10" t="s">
        <v>64</v>
      </c>
      <c r="H112" s="12" t="s">
        <v>92</v>
      </c>
      <c r="I112" s="12" t="s">
        <v>56</v>
      </c>
      <c r="J112" s="12" t="s">
        <v>23</v>
      </c>
      <c r="K112" s="10" t="s">
        <v>353</v>
      </c>
      <c r="L112" s="7">
        <v>1</v>
      </c>
    </row>
    <row r="113" spans="1:12" ht="24.95" customHeight="1" x14ac:dyDescent="0.2">
      <c r="A113" s="13"/>
      <c r="B113" s="13"/>
      <c r="C113" s="13" t="s">
        <v>56</v>
      </c>
      <c r="D113" s="13"/>
      <c r="E113" s="13" t="s">
        <v>56</v>
      </c>
      <c r="F113" s="10" t="s">
        <v>231</v>
      </c>
      <c r="G113" s="10" t="s">
        <v>63</v>
      </c>
      <c r="H113" s="10" t="s">
        <v>9</v>
      </c>
      <c r="I113" s="12" t="s">
        <v>56</v>
      </c>
      <c r="J113" s="12" t="s">
        <v>23</v>
      </c>
      <c r="K113" s="10" t="s">
        <v>190</v>
      </c>
      <c r="L113" s="7">
        <v>1</v>
      </c>
    </row>
    <row r="114" spans="1:12" ht="24.95" customHeight="1" x14ac:dyDescent="0.2">
      <c r="A114" s="13"/>
      <c r="B114" s="13"/>
      <c r="C114" s="13" t="s">
        <v>56</v>
      </c>
      <c r="D114" s="11" t="s">
        <v>70</v>
      </c>
      <c r="E114" s="12" t="s">
        <v>56</v>
      </c>
      <c r="F114" s="10" t="s">
        <v>426</v>
      </c>
      <c r="G114" s="10" t="s">
        <v>66</v>
      </c>
      <c r="H114" s="11" t="s">
        <v>92</v>
      </c>
      <c r="I114" s="10" t="s">
        <v>425</v>
      </c>
      <c r="J114" s="11" t="s">
        <v>20</v>
      </c>
      <c r="K114" s="10" t="s">
        <v>423</v>
      </c>
      <c r="L114" s="7">
        <v>1</v>
      </c>
    </row>
    <row r="115" spans="1:12" ht="24.95" customHeight="1" x14ac:dyDescent="0.2">
      <c r="A115" s="13"/>
      <c r="B115" s="13"/>
      <c r="C115" s="13" t="s">
        <v>56</v>
      </c>
      <c r="D115" s="13"/>
      <c r="E115" s="13" t="s">
        <v>56</v>
      </c>
      <c r="F115" s="10" t="s">
        <v>94</v>
      </c>
      <c r="G115" s="11" t="s">
        <v>65</v>
      </c>
      <c r="H115" s="12" t="s">
        <v>92</v>
      </c>
      <c r="I115" s="10" t="s">
        <v>132</v>
      </c>
      <c r="J115" s="12" t="s">
        <v>20</v>
      </c>
      <c r="K115" s="10" t="s">
        <v>206</v>
      </c>
      <c r="L115" s="7">
        <v>1</v>
      </c>
    </row>
    <row r="116" spans="1:12" ht="24.95" customHeight="1" x14ac:dyDescent="0.2">
      <c r="A116" s="13"/>
      <c r="B116" s="13"/>
      <c r="C116" s="13" t="s">
        <v>56</v>
      </c>
      <c r="D116" s="13"/>
      <c r="E116" s="13" t="s">
        <v>56</v>
      </c>
      <c r="F116" s="10" t="s">
        <v>128</v>
      </c>
      <c r="G116" s="12" t="s">
        <v>65</v>
      </c>
      <c r="H116" s="12" t="s">
        <v>92</v>
      </c>
      <c r="I116" s="10" t="s">
        <v>127</v>
      </c>
      <c r="J116" s="12" t="s">
        <v>20</v>
      </c>
      <c r="K116" s="10" t="s">
        <v>184</v>
      </c>
      <c r="L116" s="7">
        <v>1</v>
      </c>
    </row>
    <row r="117" spans="1:12" ht="24.95" customHeight="1" x14ac:dyDescent="0.2">
      <c r="A117" s="13"/>
      <c r="B117" s="13"/>
      <c r="C117" s="13" t="s">
        <v>56</v>
      </c>
      <c r="D117" s="13"/>
      <c r="E117" s="13" t="s">
        <v>56</v>
      </c>
      <c r="F117" s="10" t="s">
        <v>381</v>
      </c>
      <c r="G117" s="10" t="s">
        <v>68</v>
      </c>
      <c r="H117" s="12" t="s">
        <v>92</v>
      </c>
      <c r="I117" s="10" t="s">
        <v>56</v>
      </c>
      <c r="J117" s="10" t="s">
        <v>23</v>
      </c>
      <c r="K117" s="10" t="s">
        <v>383</v>
      </c>
      <c r="L117" s="7">
        <v>1</v>
      </c>
    </row>
    <row r="118" spans="1:12" ht="24.95" customHeight="1" x14ac:dyDescent="0.2">
      <c r="A118" s="13"/>
      <c r="B118" s="13"/>
      <c r="C118" s="13" t="s">
        <v>56</v>
      </c>
      <c r="D118" s="10" t="s">
        <v>422</v>
      </c>
      <c r="E118" s="12" t="s">
        <v>56</v>
      </c>
      <c r="F118" s="10" t="s">
        <v>421</v>
      </c>
      <c r="G118" s="10" t="s">
        <v>65</v>
      </c>
      <c r="H118" s="12" t="s">
        <v>92</v>
      </c>
      <c r="I118" s="10" t="s">
        <v>420</v>
      </c>
      <c r="J118" s="10" t="s">
        <v>20</v>
      </c>
      <c r="K118" s="10" t="s">
        <v>418</v>
      </c>
      <c r="L118" s="7">
        <v>1</v>
      </c>
    </row>
    <row r="119" spans="1:12" ht="24.95" customHeight="1" x14ac:dyDescent="0.2">
      <c r="A119" s="13"/>
      <c r="B119" s="13"/>
      <c r="C119" s="13" t="s">
        <v>56</v>
      </c>
      <c r="D119" s="11" t="s">
        <v>101</v>
      </c>
      <c r="E119" s="12" t="s">
        <v>56</v>
      </c>
      <c r="F119" s="10" t="s">
        <v>344</v>
      </c>
      <c r="G119" s="10" t="s">
        <v>205</v>
      </c>
      <c r="H119" s="12" t="s">
        <v>92</v>
      </c>
      <c r="I119" s="10" t="s">
        <v>56</v>
      </c>
      <c r="J119" s="10" t="s">
        <v>23</v>
      </c>
      <c r="K119" s="10" t="s">
        <v>366</v>
      </c>
      <c r="L119" s="7">
        <v>1</v>
      </c>
    </row>
    <row r="120" spans="1:12" ht="24.95" customHeight="1" x14ac:dyDescent="0.2">
      <c r="A120" s="13"/>
      <c r="B120" s="13"/>
      <c r="C120" s="13" t="s">
        <v>56</v>
      </c>
      <c r="D120" s="13"/>
      <c r="E120" s="13" t="s">
        <v>56</v>
      </c>
      <c r="F120" s="10" t="s">
        <v>232</v>
      </c>
      <c r="G120" s="10" t="s">
        <v>103</v>
      </c>
      <c r="H120" s="12" t="s">
        <v>92</v>
      </c>
      <c r="I120" s="10" t="s">
        <v>303</v>
      </c>
      <c r="J120" s="10" t="s">
        <v>20</v>
      </c>
      <c r="K120" s="10" t="s">
        <v>302</v>
      </c>
      <c r="L120" s="7">
        <v>1</v>
      </c>
    </row>
    <row r="121" spans="1:12" ht="24.95" customHeight="1" x14ac:dyDescent="0.2">
      <c r="A121" s="13"/>
      <c r="B121" s="13"/>
      <c r="C121" s="13" t="s">
        <v>56</v>
      </c>
      <c r="D121" s="13"/>
      <c r="E121" s="13" t="s">
        <v>56</v>
      </c>
      <c r="F121" s="10" t="s">
        <v>233</v>
      </c>
      <c r="G121" s="10" t="s">
        <v>205</v>
      </c>
      <c r="H121" s="12" t="s">
        <v>92</v>
      </c>
      <c r="I121" s="10" t="s">
        <v>56</v>
      </c>
      <c r="J121" s="10" t="s">
        <v>23</v>
      </c>
      <c r="K121" s="10" t="s">
        <v>198</v>
      </c>
      <c r="L121" s="7">
        <v>1</v>
      </c>
    </row>
    <row r="122" spans="1:12" ht="24.95" customHeight="1" x14ac:dyDescent="0.2">
      <c r="A122" s="13"/>
      <c r="B122" s="13"/>
      <c r="C122" s="13" t="s">
        <v>56</v>
      </c>
      <c r="D122" s="13"/>
      <c r="E122" s="13" t="s">
        <v>56</v>
      </c>
      <c r="F122" s="10" t="s">
        <v>339</v>
      </c>
      <c r="G122" s="10" t="s">
        <v>341</v>
      </c>
      <c r="H122" s="12" t="s">
        <v>92</v>
      </c>
      <c r="I122" s="10" t="s">
        <v>338</v>
      </c>
      <c r="J122" s="11" t="s">
        <v>20</v>
      </c>
      <c r="K122" s="10" t="s">
        <v>337</v>
      </c>
      <c r="L122" s="7">
        <v>1</v>
      </c>
    </row>
    <row r="123" spans="1:12" ht="24.95" customHeight="1" x14ac:dyDescent="0.2">
      <c r="A123" s="13"/>
      <c r="B123" s="13"/>
      <c r="C123" s="13" t="s">
        <v>56</v>
      </c>
      <c r="D123" s="13"/>
      <c r="E123" s="13" t="s">
        <v>56</v>
      </c>
      <c r="F123" s="10" t="s">
        <v>323</v>
      </c>
      <c r="G123" s="10" t="s">
        <v>82</v>
      </c>
      <c r="H123" s="12" t="s">
        <v>92</v>
      </c>
      <c r="I123" s="10" t="s">
        <v>305</v>
      </c>
      <c r="J123" s="12" t="s">
        <v>20</v>
      </c>
      <c r="K123" s="10" t="s">
        <v>304</v>
      </c>
      <c r="L123" s="7">
        <v>1</v>
      </c>
    </row>
    <row r="124" spans="1:12" ht="24.95" customHeight="1" x14ac:dyDescent="0.2">
      <c r="A124" s="13"/>
      <c r="B124" s="13"/>
      <c r="C124" s="13" t="s">
        <v>56</v>
      </c>
      <c r="D124" s="13"/>
      <c r="E124" s="13" t="s">
        <v>56</v>
      </c>
      <c r="F124" s="10" t="s">
        <v>382</v>
      </c>
      <c r="G124" s="10" t="s">
        <v>62</v>
      </c>
      <c r="H124" s="12" t="s">
        <v>92</v>
      </c>
      <c r="I124" s="11" t="s">
        <v>56</v>
      </c>
      <c r="J124" s="11" t="s">
        <v>23</v>
      </c>
      <c r="K124" s="10" t="s">
        <v>367</v>
      </c>
      <c r="L124" s="7">
        <v>1</v>
      </c>
    </row>
    <row r="125" spans="1:12" ht="24.95" customHeight="1" x14ac:dyDescent="0.2">
      <c r="A125" s="13"/>
      <c r="B125" s="13"/>
      <c r="C125" s="13" t="s">
        <v>56</v>
      </c>
      <c r="D125" s="13"/>
      <c r="E125" s="13" t="s">
        <v>56</v>
      </c>
      <c r="F125" s="10" t="s">
        <v>610</v>
      </c>
      <c r="G125" s="10" t="s">
        <v>594</v>
      </c>
      <c r="H125" s="12" t="s">
        <v>92</v>
      </c>
      <c r="I125" s="12" t="s">
        <v>56</v>
      </c>
      <c r="J125" s="12" t="s">
        <v>23</v>
      </c>
      <c r="K125" s="10" t="s">
        <v>470</v>
      </c>
      <c r="L125" s="7">
        <v>1</v>
      </c>
    </row>
    <row r="126" spans="1:12" ht="24.95" customHeight="1" x14ac:dyDescent="0.2">
      <c r="A126" s="13"/>
      <c r="B126" s="13"/>
      <c r="C126" s="13" t="s">
        <v>56</v>
      </c>
      <c r="D126" s="13"/>
      <c r="E126" s="13" t="s">
        <v>56</v>
      </c>
      <c r="F126" s="10" t="s">
        <v>611</v>
      </c>
      <c r="G126" s="10" t="s">
        <v>205</v>
      </c>
      <c r="H126" s="12" t="s">
        <v>92</v>
      </c>
      <c r="I126" s="12" t="s">
        <v>56</v>
      </c>
      <c r="J126" s="12" t="s">
        <v>23</v>
      </c>
      <c r="K126" s="10" t="s">
        <v>473</v>
      </c>
      <c r="L126" s="7">
        <v>1</v>
      </c>
    </row>
    <row r="127" spans="1:12" ht="24.95" customHeight="1" x14ac:dyDescent="0.2">
      <c r="A127" s="13"/>
      <c r="B127" s="13"/>
      <c r="C127" s="13" t="s">
        <v>56</v>
      </c>
      <c r="D127" s="11" t="s">
        <v>176</v>
      </c>
      <c r="E127" s="12" t="s">
        <v>56</v>
      </c>
      <c r="F127" s="10" t="s">
        <v>234</v>
      </c>
      <c r="G127" s="10" t="s">
        <v>91</v>
      </c>
      <c r="H127" s="12" t="s">
        <v>92</v>
      </c>
      <c r="I127" s="12" t="s">
        <v>56</v>
      </c>
      <c r="J127" s="12" t="s">
        <v>23</v>
      </c>
      <c r="K127" s="10" t="s">
        <v>189</v>
      </c>
      <c r="L127" s="7">
        <v>1</v>
      </c>
    </row>
    <row r="128" spans="1:12" ht="24.95" customHeight="1" x14ac:dyDescent="0.2">
      <c r="A128" s="13"/>
      <c r="B128" s="13"/>
      <c r="C128" s="13" t="s">
        <v>56</v>
      </c>
      <c r="D128" s="13"/>
      <c r="E128" s="13" t="s">
        <v>56</v>
      </c>
      <c r="F128" s="10" t="s">
        <v>324</v>
      </c>
      <c r="G128" s="11" t="s">
        <v>63</v>
      </c>
      <c r="H128" s="12" t="s">
        <v>92</v>
      </c>
      <c r="I128" s="12" t="s">
        <v>56</v>
      </c>
      <c r="J128" s="12" t="s">
        <v>23</v>
      </c>
      <c r="K128" s="10" t="s">
        <v>289</v>
      </c>
      <c r="L128" s="7">
        <v>1</v>
      </c>
    </row>
    <row r="129" spans="1:12" ht="24.95" customHeight="1" x14ac:dyDescent="0.2">
      <c r="A129" s="13"/>
      <c r="B129" s="13"/>
      <c r="C129" s="13" t="s">
        <v>56</v>
      </c>
      <c r="D129" s="13"/>
      <c r="E129" s="13" t="s">
        <v>56</v>
      </c>
      <c r="F129" s="10" t="s">
        <v>345</v>
      </c>
      <c r="G129" s="12" t="s">
        <v>63</v>
      </c>
      <c r="H129" s="12" t="s">
        <v>92</v>
      </c>
      <c r="I129" s="12" t="s">
        <v>56</v>
      </c>
      <c r="J129" s="12" t="s">
        <v>23</v>
      </c>
      <c r="K129" s="10" t="s">
        <v>325</v>
      </c>
      <c r="L129" s="7">
        <v>1</v>
      </c>
    </row>
    <row r="130" spans="1:12" ht="24.95" customHeight="1" x14ac:dyDescent="0.2">
      <c r="A130" s="13"/>
      <c r="B130" s="13"/>
      <c r="C130" s="13" t="s">
        <v>56</v>
      </c>
      <c r="D130" s="11" t="s">
        <v>99</v>
      </c>
      <c r="E130" s="12" t="s">
        <v>56</v>
      </c>
      <c r="F130" s="10" t="s">
        <v>410</v>
      </c>
      <c r="G130" s="10" t="s">
        <v>96</v>
      </c>
      <c r="H130" s="12" t="s">
        <v>92</v>
      </c>
      <c r="I130" s="12" t="s">
        <v>56</v>
      </c>
      <c r="J130" s="12" t="s">
        <v>23</v>
      </c>
      <c r="K130" s="10" t="s">
        <v>399</v>
      </c>
      <c r="L130" s="7">
        <v>1</v>
      </c>
    </row>
    <row r="131" spans="1:12" ht="24.95" customHeight="1" x14ac:dyDescent="0.2">
      <c r="A131" s="13"/>
      <c r="B131" s="13"/>
      <c r="C131" s="13" t="s">
        <v>56</v>
      </c>
      <c r="D131" s="13"/>
      <c r="E131" s="13" t="s">
        <v>56</v>
      </c>
      <c r="F131" s="10" t="s">
        <v>411</v>
      </c>
      <c r="G131" s="10" t="s">
        <v>408</v>
      </c>
      <c r="H131" s="12" t="s">
        <v>92</v>
      </c>
      <c r="I131" s="12" t="s">
        <v>56</v>
      </c>
      <c r="J131" s="12" t="s">
        <v>23</v>
      </c>
      <c r="K131" s="10" t="s">
        <v>402</v>
      </c>
      <c r="L131" s="7">
        <v>1</v>
      </c>
    </row>
    <row r="132" spans="1:12" ht="24.95" customHeight="1" x14ac:dyDescent="0.2">
      <c r="A132" s="13"/>
      <c r="B132" s="13"/>
      <c r="C132" s="13" t="s">
        <v>56</v>
      </c>
      <c r="D132" s="13"/>
      <c r="E132" s="13" t="s">
        <v>56</v>
      </c>
      <c r="F132" s="10" t="s">
        <v>612</v>
      </c>
      <c r="G132" s="10" t="s">
        <v>603</v>
      </c>
      <c r="H132" s="12" t="s">
        <v>92</v>
      </c>
      <c r="I132" s="12" t="s">
        <v>56</v>
      </c>
      <c r="J132" s="12" t="s">
        <v>23</v>
      </c>
      <c r="K132" s="10" t="s">
        <v>461</v>
      </c>
      <c r="L132" s="7">
        <v>1</v>
      </c>
    </row>
    <row r="133" spans="1:12" ht="24.95" customHeight="1" x14ac:dyDescent="0.2">
      <c r="A133" s="13"/>
      <c r="B133" s="13"/>
      <c r="C133" s="13" t="s">
        <v>56</v>
      </c>
      <c r="D133" s="13"/>
      <c r="E133" s="13" t="s">
        <v>56</v>
      </c>
      <c r="F133" s="10" t="s">
        <v>613</v>
      </c>
      <c r="G133" s="10" t="s">
        <v>96</v>
      </c>
      <c r="H133" s="12" t="s">
        <v>92</v>
      </c>
      <c r="I133" s="12" t="s">
        <v>56</v>
      </c>
      <c r="J133" s="12" t="s">
        <v>23</v>
      </c>
      <c r="K133" s="10" t="s">
        <v>464</v>
      </c>
      <c r="L133" s="7">
        <v>1</v>
      </c>
    </row>
    <row r="134" spans="1:12" ht="24.95" customHeight="1" x14ac:dyDescent="0.2">
      <c r="A134" s="13"/>
      <c r="B134" s="13"/>
      <c r="C134" s="13" t="s">
        <v>56</v>
      </c>
      <c r="D134" s="11" t="s">
        <v>362</v>
      </c>
      <c r="E134" s="12" t="s">
        <v>56</v>
      </c>
      <c r="F134" s="10" t="s">
        <v>412</v>
      </c>
      <c r="G134" s="11" t="s">
        <v>171</v>
      </c>
      <c r="H134" s="12" t="s">
        <v>92</v>
      </c>
      <c r="I134" s="12" t="s">
        <v>56</v>
      </c>
      <c r="J134" s="12" t="s">
        <v>23</v>
      </c>
      <c r="K134" s="10" t="s">
        <v>440</v>
      </c>
      <c r="L134" s="7">
        <v>1</v>
      </c>
    </row>
    <row r="135" spans="1:12" ht="24.95" customHeight="1" x14ac:dyDescent="0.2">
      <c r="A135" s="13"/>
      <c r="B135" s="13"/>
      <c r="C135" s="13" t="s">
        <v>56</v>
      </c>
      <c r="D135" s="13"/>
      <c r="E135" s="13" t="s">
        <v>56</v>
      </c>
      <c r="F135" s="10" t="s">
        <v>614</v>
      </c>
      <c r="G135" s="12" t="s">
        <v>171</v>
      </c>
      <c r="H135" s="12" t="s">
        <v>92</v>
      </c>
      <c r="I135" s="12" t="s">
        <v>56</v>
      </c>
      <c r="J135" s="12" t="s">
        <v>23</v>
      </c>
      <c r="K135" s="10" t="s">
        <v>437</v>
      </c>
      <c r="L135" s="7">
        <v>1</v>
      </c>
    </row>
    <row r="136" spans="1:12" ht="24.95" customHeight="1" x14ac:dyDescent="0.2">
      <c r="A136" s="13"/>
      <c r="B136" s="13"/>
      <c r="C136" s="13" t="s">
        <v>56</v>
      </c>
      <c r="D136" s="13"/>
      <c r="E136" s="13" t="s">
        <v>56</v>
      </c>
      <c r="F136" s="10" t="s">
        <v>413</v>
      </c>
      <c r="G136" s="10" t="s">
        <v>409</v>
      </c>
      <c r="H136" s="12" t="s">
        <v>92</v>
      </c>
      <c r="I136" s="12" t="s">
        <v>56</v>
      </c>
      <c r="J136" s="12" t="s">
        <v>23</v>
      </c>
      <c r="K136" s="10" t="s">
        <v>386</v>
      </c>
      <c r="L136" s="7">
        <v>1</v>
      </c>
    </row>
    <row r="137" spans="1:12" ht="24.95" customHeight="1" x14ac:dyDescent="0.2">
      <c r="A137" s="13"/>
      <c r="B137" s="13"/>
      <c r="C137" s="13" t="s">
        <v>56</v>
      </c>
      <c r="D137" s="13"/>
      <c r="E137" s="13" t="s">
        <v>56</v>
      </c>
      <c r="F137" s="10" t="s">
        <v>414</v>
      </c>
      <c r="G137" s="11" t="s">
        <v>171</v>
      </c>
      <c r="H137" s="12" t="s">
        <v>92</v>
      </c>
      <c r="I137" s="12" t="s">
        <v>56</v>
      </c>
      <c r="J137" s="12" t="s">
        <v>23</v>
      </c>
      <c r="K137" s="10" t="s">
        <v>389</v>
      </c>
      <c r="L137" s="7">
        <v>1</v>
      </c>
    </row>
    <row r="138" spans="1:12" ht="24.95" customHeight="1" x14ac:dyDescent="0.2">
      <c r="A138" s="13"/>
      <c r="B138" s="13"/>
      <c r="C138" s="13" t="s">
        <v>56</v>
      </c>
      <c r="D138" s="13"/>
      <c r="E138" s="13" t="s">
        <v>56</v>
      </c>
      <c r="F138" s="10" t="s">
        <v>415</v>
      </c>
      <c r="G138" s="12" t="s">
        <v>171</v>
      </c>
      <c r="H138" s="12" t="s">
        <v>92</v>
      </c>
      <c r="I138" s="12" t="s">
        <v>56</v>
      </c>
      <c r="J138" s="12" t="s">
        <v>23</v>
      </c>
      <c r="K138" s="10" t="s">
        <v>392</v>
      </c>
      <c r="L138" s="7">
        <v>1</v>
      </c>
    </row>
    <row r="139" spans="1:12" ht="24.95" customHeight="1" x14ac:dyDescent="0.2">
      <c r="A139" s="13"/>
      <c r="B139" s="13"/>
      <c r="C139" s="13" t="s">
        <v>56</v>
      </c>
      <c r="D139" s="13"/>
      <c r="E139" s="13" t="s">
        <v>56</v>
      </c>
      <c r="F139" s="10" t="s">
        <v>416</v>
      </c>
      <c r="G139" s="12" t="s">
        <v>171</v>
      </c>
      <c r="H139" s="12" t="s">
        <v>92</v>
      </c>
      <c r="I139" s="12" t="s">
        <v>56</v>
      </c>
      <c r="J139" s="12" t="s">
        <v>23</v>
      </c>
      <c r="K139" s="10" t="s">
        <v>394</v>
      </c>
      <c r="L139" s="7">
        <v>1</v>
      </c>
    </row>
    <row r="140" spans="1:12" ht="24.95" customHeight="1" x14ac:dyDescent="0.2">
      <c r="A140" s="13"/>
      <c r="B140" s="13"/>
      <c r="C140" s="13" t="s">
        <v>56</v>
      </c>
      <c r="D140" s="13"/>
      <c r="E140" s="13" t="s">
        <v>56</v>
      </c>
      <c r="F140" s="10" t="s">
        <v>417</v>
      </c>
      <c r="G140" s="12" t="s">
        <v>171</v>
      </c>
      <c r="H140" s="12" t="s">
        <v>92</v>
      </c>
      <c r="I140" s="12" t="s">
        <v>56</v>
      </c>
      <c r="J140" s="12" t="s">
        <v>23</v>
      </c>
      <c r="K140" s="10" t="s">
        <v>397</v>
      </c>
      <c r="L140" s="7">
        <v>1</v>
      </c>
    </row>
    <row r="141" spans="1:12" ht="24.95" customHeight="1" x14ac:dyDescent="0.2">
      <c r="A141" s="13"/>
      <c r="B141" s="13"/>
      <c r="C141" s="13" t="s">
        <v>56</v>
      </c>
      <c r="D141" s="13"/>
      <c r="E141" s="13" t="s">
        <v>56</v>
      </c>
      <c r="F141" s="10" t="s">
        <v>615</v>
      </c>
      <c r="G141" s="12" t="s">
        <v>171</v>
      </c>
      <c r="H141" s="12" t="s">
        <v>92</v>
      </c>
      <c r="I141" s="12" t="s">
        <v>56</v>
      </c>
      <c r="J141" s="12" t="s">
        <v>23</v>
      </c>
      <c r="K141" s="10" t="s">
        <v>443</v>
      </c>
      <c r="L141" s="7">
        <v>1</v>
      </c>
    </row>
    <row r="142" spans="1:12" ht="24.95" customHeight="1" x14ac:dyDescent="0.2">
      <c r="A142" s="13"/>
      <c r="B142" s="13"/>
      <c r="C142" s="13" t="s">
        <v>56</v>
      </c>
      <c r="D142" s="13"/>
      <c r="E142" s="13" t="s">
        <v>56</v>
      </c>
      <c r="F142" s="10" t="s">
        <v>616</v>
      </c>
      <c r="G142" s="12" t="s">
        <v>171</v>
      </c>
      <c r="H142" s="12" t="s">
        <v>92</v>
      </c>
      <c r="I142" s="12" t="s">
        <v>56</v>
      </c>
      <c r="J142" s="12" t="s">
        <v>23</v>
      </c>
      <c r="K142" s="10" t="s">
        <v>446</v>
      </c>
      <c r="L142" s="7">
        <v>1</v>
      </c>
    </row>
    <row r="143" spans="1:12" ht="24.95" customHeight="1" x14ac:dyDescent="0.2">
      <c r="A143" s="13"/>
      <c r="B143" s="13"/>
      <c r="C143" s="13" t="s">
        <v>56</v>
      </c>
      <c r="D143" s="13"/>
      <c r="E143" s="13" t="s">
        <v>56</v>
      </c>
      <c r="F143" s="10" t="s">
        <v>617</v>
      </c>
      <c r="G143" s="12" t="s">
        <v>171</v>
      </c>
      <c r="H143" s="12" t="s">
        <v>92</v>
      </c>
      <c r="I143" s="12" t="s">
        <v>56</v>
      </c>
      <c r="J143" s="12" t="s">
        <v>23</v>
      </c>
      <c r="K143" s="10" t="s">
        <v>449</v>
      </c>
      <c r="L143" s="7">
        <v>1</v>
      </c>
    </row>
    <row r="144" spans="1:12" ht="24.95" customHeight="1" x14ac:dyDescent="0.2">
      <c r="A144" s="13"/>
      <c r="B144" s="13"/>
      <c r="C144" s="13" t="s">
        <v>56</v>
      </c>
      <c r="D144" s="10" t="s">
        <v>436</v>
      </c>
      <c r="E144" s="12" t="s">
        <v>56</v>
      </c>
      <c r="F144" s="10" t="s">
        <v>618</v>
      </c>
      <c r="G144" s="10" t="s">
        <v>65</v>
      </c>
      <c r="H144" s="10" t="s">
        <v>9</v>
      </c>
      <c r="I144" s="12" t="s">
        <v>56</v>
      </c>
      <c r="J144" s="12" t="s">
        <v>23</v>
      </c>
      <c r="K144" s="10" t="s">
        <v>433</v>
      </c>
      <c r="L144" s="7">
        <v>1</v>
      </c>
    </row>
    <row r="145" spans="1:12" ht="24.95" customHeight="1" x14ac:dyDescent="0.2">
      <c r="A145" s="13"/>
      <c r="B145" s="13"/>
      <c r="C145" s="13" t="s">
        <v>56</v>
      </c>
      <c r="D145" s="10" t="s">
        <v>167</v>
      </c>
      <c r="E145" s="12" t="s">
        <v>56</v>
      </c>
      <c r="F145" s="10" t="s">
        <v>235</v>
      </c>
      <c r="G145" s="11" t="s">
        <v>64</v>
      </c>
      <c r="H145" s="11" t="s">
        <v>92</v>
      </c>
      <c r="I145" s="12" t="s">
        <v>56</v>
      </c>
      <c r="J145" s="12" t="s">
        <v>23</v>
      </c>
      <c r="K145" s="10" t="s">
        <v>164</v>
      </c>
      <c r="L145" s="7">
        <v>1</v>
      </c>
    </row>
    <row r="146" spans="1:12" ht="24.95" customHeight="1" x14ac:dyDescent="0.2">
      <c r="A146" s="13"/>
      <c r="B146" s="13"/>
      <c r="C146" s="13" t="s">
        <v>56</v>
      </c>
      <c r="D146" s="10" t="s">
        <v>262</v>
      </c>
      <c r="E146" s="12" t="s">
        <v>56</v>
      </c>
      <c r="F146" s="10" t="s">
        <v>270</v>
      </c>
      <c r="G146" s="12" t="s">
        <v>64</v>
      </c>
      <c r="H146" s="12" t="s">
        <v>92</v>
      </c>
      <c r="I146" s="12" t="s">
        <v>56</v>
      </c>
      <c r="J146" s="12" t="s">
        <v>23</v>
      </c>
      <c r="K146" s="10" t="s">
        <v>260</v>
      </c>
      <c r="L146" s="7">
        <v>1</v>
      </c>
    </row>
    <row r="147" spans="1:12" ht="24.95" customHeight="1" x14ac:dyDescent="0.2">
      <c r="A147" s="13"/>
      <c r="B147" s="13"/>
      <c r="C147" s="10" t="s">
        <v>45</v>
      </c>
      <c r="D147" s="10" t="s">
        <v>69</v>
      </c>
      <c r="E147" s="12" t="s">
        <v>56</v>
      </c>
      <c r="F147" s="10" t="s">
        <v>619</v>
      </c>
      <c r="G147" s="12" t="s">
        <v>64</v>
      </c>
      <c r="H147" s="12" t="s">
        <v>92</v>
      </c>
      <c r="I147" s="12" t="s">
        <v>56</v>
      </c>
      <c r="J147" s="12" t="s">
        <v>23</v>
      </c>
      <c r="K147" s="10" t="s">
        <v>427</v>
      </c>
      <c r="L147" s="7">
        <v>1</v>
      </c>
    </row>
    <row r="148" spans="1:12" ht="12.75" x14ac:dyDescent="0.2">
      <c r="A148" s="16"/>
      <c r="B148" s="14" t="s">
        <v>88</v>
      </c>
      <c r="C148" s="15"/>
      <c r="D148" s="15"/>
      <c r="E148" s="15"/>
      <c r="F148" s="15"/>
      <c r="G148" s="15"/>
      <c r="H148" s="15"/>
      <c r="I148" s="15"/>
      <c r="J148" s="15"/>
      <c r="K148" s="15"/>
      <c r="L148" s="6">
        <v>70</v>
      </c>
    </row>
    <row r="149" spans="1:12" ht="24.9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 s="9"/>
    </row>
    <row r="150" spans="1:12" ht="24.9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 s="9"/>
    </row>
    <row r="151" spans="1:12" ht="24.9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 s="9"/>
    </row>
    <row r="152" spans="1:12" ht="24.9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 s="9"/>
    </row>
    <row r="153" spans="1:12" ht="24.9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 s="9"/>
    </row>
    <row r="154" spans="1:12" ht="24.9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9"/>
    </row>
    <row r="155" spans="1:12" ht="24.9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9"/>
    </row>
    <row r="156" spans="1:12" ht="24.9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9"/>
    </row>
    <row r="157" spans="1:12" ht="24.9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9"/>
    </row>
    <row r="158" spans="1:12" ht="24.9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9"/>
    </row>
    <row r="159" spans="1:12" ht="24.9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9"/>
    </row>
    <row r="160" spans="1:12" ht="24.9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9"/>
    </row>
    <row r="161" spans="1:12" ht="24.9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9"/>
    </row>
    <row r="162" spans="1:12" ht="24.9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9"/>
    </row>
    <row r="163" spans="1:12" ht="24.9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9"/>
    </row>
    <row r="164" spans="1:12" ht="24.9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9"/>
    </row>
    <row r="165" spans="1:12" ht="24.9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9"/>
    </row>
    <row r="166" spans="1:12" ht="24.9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9"/>
    </row>
    <row r="167" spans="1:12" ht="24.9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9"/>
    </row>
    <row r="168" spans="1:12" ht="24.9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9"/>
    </row>
    <row r="169" spans="1:12" ht="24.9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9"/>
    </row>
    <row r="170" spans="1:12" ht="24.9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9"/>
    </row>
    <row r="171" spans="1:12" ht="24.9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9"/>
    </row>
    <row r="172" spans="1:12" ht="24.9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9"/>
    </row>
    <row r="173" spans="1:12" ht="24.9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9"/>
    </row>
    <row r="174" spans="1:12" ht="24.9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9"/>
    </row>
    <row r="175" spans="1:12" ht="24.9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9"/>
    </row>
    <row r="176" spans="1:12" ht="24.9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9"/>
    </row>
    <row r="177" spans="1:12" ht="24.9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9"/>
    </row>
    <row r="178" spans="1:12" ht="24.9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9"/>
    </row>
    <row r="179" spans="1:12" ht="24.9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9"/>
    </row>
    <row r="180" spans="1:12" ht="24.9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9"/>
    </row>
    <row r="181" spans="1:12" ht="24.9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9"/>
    </row>
    <row r="182" spans="1:12" ht="24.9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9"/>
    </row>
    <row r="183" spans="1:12" ht="24.9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9"/>
    </row>
    <row r="184" spans="1:12" ht="24.9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9"/>
    </row>
    <row r="185" spans="1:12" ht="24.9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9"/>
    </row>
    <row r="186" spans="1:12" ht="24.9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9"/>
    </row>
    <row r="187" spans="1:12" ht="24.9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9"/>
    </row>
    <row r="188" spans="1:12" ht="24.9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9"/>
    </row>
    <row r="189" spans="1:12" ht="24.9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9"/>
    </row>
    <row r="190" spans="1:12" ht="24.9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9"/>
    </row>
    <row r="191" spans="1:12" ht="24.9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9"/>
    </row>
    <row r="192" spans="1:12" ht="24.9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9"/>
    </row>
    <row r="193" spans="1:12" ht="24.9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9"/>
    </row>
    <row r="194" spans="1:12" ht="24.9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9"/>
    </row>
    <row r="195" spans="1:12" ht="24.9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9"/>
    </row>
    <row r="196" spans="1:12" ht="24.9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9"/>
    </row>
    <row r="197" spans="1:12" ht="24.9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9"/>
    </row>
    <row r="198" spans="1:12" ht="24.9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9"/>
    </row>
    <row r="199" spans="1:12" ht="24.9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9"/>
    </row>
    <row r="200" spans="1:12" ht="24.9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9"/>
    </row>
    <row r="201" spans="1:12" ht="24.9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9"/>
    </row>
    <row r="202" spans="1:12" ht="24.9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9"/>
    </row>
    <row r="203" spans="1:12" ht="24.9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9"/>
    </row>
    <row r="204" spans="1:12" ht="24.9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9"/>
    </row>
    <row r="205" spans="1:12" ht="24.9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9"/>
    </row>
    <row r="206" spans="1:12" ht="24.9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9"/>
    </row>
    <row r="207" spans="1:12" ht="24.9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9"/>
    </row>
    <row r="208" spans="1:12" ht="24.9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9"/>
    </row>
    <row r="209" spans="1:12" ht="24.9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9"/>
    </row>
    <row r="210" spans="1:12" ht="24.9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9"/>
    </row>
    <row r="211" spans="1:12" ht="24.9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9"/>
    </row>
    <row r="212" spans="1:12" ht="24.9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9"/>
    </row>
    <row r="213" spans="1:12" ht="24.9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9"/>
    </row>
    <row r="214" spans="1:12" ht="24.9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9"/>
    </row>
    <row r="215" spans="1:12" ht="24.9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9"/>
    </row>
    <row r="216" spans="1:12" ht="24.9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9"/>
    </row>
    <row r="217" spans="1:12" ht="24.9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9"/>
    </row>
    <row r="218" spans="1:12" ht="24.9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9"/>
    </row>
    <row r="219" spans="1:12" ht="24.9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9"/>
    </row>
    <row r="220" spans="1:12" ht="24.9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9"/>
    </row>
    <row r="221" spans="1:12" ht="24.9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9"/>
    </row>
    <row r="222" spans="1:12" ht="24.9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9"/>
    </row>
    <row r="223" spans="1:12" ht="24.95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9"/>
    </row>
    <row r="224" spans="1:12" ht="24.95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9"/>
    </row>
    <row r="225" spans="1:12" ht="24.95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9"/>
    </row>
    <row r="226" spans="1:12" ht="24.95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9"/>
    </row>
    <row r="227" spans="1:12" ht="24.95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9"/>
    </row>
    <row r="228" spans="1:12" ht="24.95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9"/>
    </row>
    <row r="229" spans="1:12" ht="24.95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9"/>
    </row>
    <row r="230" spans="1:12" ht="24.95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9"/>
    </row>
    <row r="231" spans="1:12" ht="24.95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9"/>
    </row>
    <row r="232" spans="1:12" ht="24.95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9"/>
    </row>
    <row r="233" spans="1:12" ht="24.95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9"/>
    </row>
    <row r="234" spans="1:12" ht="24.95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9"/>
    </row>
    <row r="235" spans="1:12" ht="24.95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9"/>
    </row>
    <row r="236" spans="1:12" ht="24.95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9"/>
    </row>
    <row r="237" spans="1:12" ht="24.95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9"/>
    </row>
    <row r="238" spans="1:12" ht="24.95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9"/>
    </row>
    <row r="239" spans="1:12" ht="24.95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9"/>
    </row>
    <row r="240" spans="1:12" ht="24.95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9"/>
    </row>
    <row r="241" spans="1:12" ht="24.95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9"/>
    </row>
    <row r="242" spans="1:12" ht="24.95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9"/>
    </row>
    <row r="243" spans="1:12" ht="24.95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9"/>
    </row>
    <row r="244" spans="1:12" ht="24.95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9"/>
    </row>
    <row r="245" spans="1:12" ht="24.95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9"/>
    </row>
    <row r="246" spans="1:12" ht="24.95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9"/>
    </row>
    <row r="247" spans="1:12" ht="24.95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9"/>
    </row>
    <row r="248" spans="1:12" ht="24.95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9"/>
    </row>
    <row r="249" spans="1:12" ht="24.95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9"/>
    </row>
    <row r="250" spans="1:12" ht="24.95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9"/>
    </row>
    <row r="251" spans="1:12" ht="24.95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9"/>
    </row>
    <row r="252" spans="1:12" ht="24.95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9"/>
    </row>
    <row r="253" spans="1:12" ht="24.95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9"/>
    </row>
    <row r="254" spans="1:12" ht="24.95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9"/>
    </row>
    <row r="255" spans="1:12" ht="24.95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9"/>
    </row>
    <row r="256" spans="1:12" ht="24.95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9"/>
    </row>
    <row r="257" spans="1:12" ht="24.95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9"/>
    </row>
    <row r="258" spans="1:12" ht="24.95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9"/>
    </row>
    <row r="259" spans="1:12" ht="24.95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9"/>
    </row>
    <row r="260" spans="1:12" ht="24.95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9"/>
    </row>
    <row r="261" spans="1:12" ht="24.95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9"/>
    </row>
    <row r="262" spans="1:12" ht="24.95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9"/>
    </row>
    <row r="263" spans="1:12" ht="24.95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9"/>
    </row>
    <row r="264" spans="1:12" ht="24.95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9"/>
    </row>
    <row r="265" spans="1:12" ht="24.95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9"/>
    </row>
    <row r="266" spans="1:12" ht="24.95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9"/>
    </row>
    <row r="267" spans="1:12" ht="24.95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9"/>
    </row>
    <row r="268" spans="1:12" ht="24.95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9"/>
    </row>
    <row r="269" spans="1:12" ht="24.95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9"/>
    </row>
    <row r="270" spans="1:12" ht="24.95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9"/>
    </row>
    <row r="271" spans="1:12" ht="24.95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9"/>
    </row>
    <row r="272" spans="1:12" ht="24.95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9"/>
    </row>
    <row r="273" spans="1:12" ht="24.95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9"/>
    </row>
    <row r="274" spans="1:12" ht="24.95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9"/>
    </row>
    <row r="275" spans="1:12" ht="24.95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9"/>
    </row>
    <row r="276" spans="1:12" ht="24.95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9"/>
    </row>
    <row r="277" spans="1:12" ht="24.95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9"/>
    </row>
  </sheetData>
  <mergeCells count="143">
    <mergeCell ref="J102:J104"/>
    <mergeCell ref="J105:J109"/>
    <mergeCell ref="J111:J113"/>
    <mergeCell ref="J114:J116"/>
    <mergeCell ref="J122:J123"/>
    <mergeCell ref="J124:J147"/>
    <mergeCell ref="J4:J5"/>
    <mergeCell ref="J7:J9"/>
    <mergeCell ref="J11:J13"/>
    <mergeCell ref="J17:J19"/>
    <mergeCell ref="J21:J23"/>
    <mergeCell ref="J29:J33"/>
    <mergeCell ref="J35:J39"/>
    <mergeCell ref="J45:J47"/>
    <mergeCell ref="J71:J73"/>
    <mergeCell ref="H71:H73"/>
    <mergeCell ref="H78:H80"/>
    <mergeCell ref="H82:H107"/>
    <mergeCell ref="H109:H112"/>
    <mergeCell ref="H114:H143"/>
    <mergeCell ref="H145:H147"/>
    <mergeCell ref="I29:I33"/>
    <mergeCell ref="I35:I39"/>
    <mergeCell ref="I79:I81"/>
    <mergeCell ref="I94:I96"/>
    <mergeCell ref="I105:I109"/>
    <mergeCell ref="I111:I113"/>
    <mergeCell ref="I124:I147"/>
    <mergeCell ref="H4:H5"/>
    <mergeCell ref="H7:H9"/>
    <mergeCell ref="H11:H13"/>
    <mergeCell ref="H17:H19"/>
    <mergeCell ref="H21:H23"/>
    <mergeCell ref="H29:H37"/>
    <mergeCell ref="H45:H47"/>
    <mergeCell ref="H59:H60"/>
    <mergeCell ref="H64:H65"/>
    <mergeCell ref="E45:E47"/>
    <mergeCell ref="E59:E60"/>
    <mergeCell ref="E64:E65"/>
    <mergeCell ref="E71:E74"/>
    <mergeCell ref="E78:E147"/>
    <mergeCell ref="G7:G8"/>
    <mergeCell ref="G46:G47"/>
    <mergeCell ref="G71:G72"/>
    <mergeCell ref="G80:G82"/>
    <mergeCell ref="G85:G87"/>
    <mergeCell ref="G92:G93"/>
    <mergeCell ref="G95:G96"/>
    <mergeCell ref="G97:G98"/>
    <mergeCell ref="G115:G116"/>
    <mergeCell ref="G128:G129"/>
    <mergeCell ref="G134:G135"/>
    <mergeCell ref="G137:G143"/>
    <mergeCell ref="G145:G147"/>
    <mergeCell ref="B148:K148"/>
    <mergeCell ref="C4:C5"/>
    <mergeCell ref="C7:C9"/>
    <mergeCell ref="C11:C13"/>
    <mergeCell ref="C17:C19"/>
    <mergeCell ref="C21:C23"/>
    <mergeCell ref="C29:C39"/>
    <mergeCell ref="C45:C47"/>
    <mergeCell ref="C59:C60"/>
    <mergeCell ref="C64:C65"/>
    <mergeCell ref="C71:C74"/>
    <mergeCell ref="C78:C146"/>
    <mergeCell ref="D4:D5"/>
    <mergeCell ref="D7:D9"/>
    <mergeCell ref="D11:D13"/>
    <mergeCell ref="D17:D19"/>
    <mergeCell ref="D21:D23"/>
    <mergeCell ref="D29:D33"/>
    <mergeCell ref="D35:D36"/>
    <mergeCell ref="D45:D47"/>
    <mergeCell ref="D59:D60"/>
    <mergeCell ref="D71:D72"/>
    <mergeCell ref="D78:D79"/>
    <mergeCell ref="D80:D83"/>
    <mergeCell ref="A2:A3"/>
    <mergeCell ref="A4:A26"/>
    <mergeCell ref="A27:A28"/>
    <mergeCell ref="A29:A40"/>
    <mergeCell ref="A41:A77"/>
    <mergeCell ref="A78:A148"/>
    <mergeCell ref="B3:K3"/>
    <mergeCell ref="B4:B5"/>
    <mergeCell ref="B6:K6"/>
    <mergeCell ref="B7:B9"/>
    <mergeCell ref="B10:K10"/>
    <mergeCell ref="B11:B13"/>
    <mergeCell ref="B14:K14"/>
    <mergeCell ref="B16:K16"/>
    <mergeCell ref="B17:B19"/>
    <mergeCell ref="B20:K20"/>
    <mergeCell ref="B21:B23"/>
    <mergeCell ref="B24:K24"/>
    <mergeCell ref="B26:K26"/>
    <mergeCell ref="B28:K28"/>
    <mergeCell ref="B29:B39"/>
    <mergeCell ref="B40:K40"/>
    <mergeCell ref="B42:K42"/>
    <mergeCell ref="B44:K44"/>
    <mergeCell ref="B45:B47"/>
    <mergeCell ref="B48:K48"/>
    <mergeCell ref="B50:K50"/>
    <mergeCell ref="B52:K52"/>
    <mergeCell ref="B54:K54"/>
    <mergeCell ref="B56:K56"/>
    <mergeCell ref="B58:K58"/>
    <mergeCell ref="B59:B60"/>
    <mergeCell ref="B61:K61"/>
    <mergeCell ref="B63:K63"/>
    <mergeCell ref="B64:B65"/>
    <mergeCell ref="B66:K66"/>
    <mergeCell ref="B68:K68"/>
    <mergeCell ref="B70:K70"/>
    <mergeCell ref="B71:B74"/>
    <mergeCell ref="B75:K75"/>
    <mergeCell ref="B77:K77"/>
    <mergeCell ref="B78:B147"/>
    <mergeCell ref="D85:D87"/>
    <mergeCell ref="D90:D101"/>
    <mergeCell ref="D102:D104"/>
    <mergeCell ref="D105:D109"/>
    <mergeCell ref="D110:D113"/>
    <mergeCell ref="D114:D117"/>
    <mergeCell ref="D119:D126"/>
    <mergeCell ref="D127:D129"/>
    <mergeCell ref="D130:D133"/>
    <mergeCell ref="D134:D143"/>
    <mergeCell ref="E4:E5"/>
    <mergeCell ref="E7:E9"/>
    <mergeCell ref="E11:E13"/>
    <mergeCell ref="E17:E19"/>
    <mergeCell ref="E21:E23"/>
    <mergeCell ref="E29:E39"/>
    <mergeCell ref="J79:J81"/>
    <mergeCell ref="J84:J87"/>
    <mergeCell ref="J88:J89"/>
    <mergeCell ref="J92:J93"/>
    <mergeCell ref="J94:J96"/>
    <mergeCell ref="J97:J98"/>
  </mergeCells>
  <conditionalFormatting sqref="E1:E1048576">
    <cfRule type="cellIs" dxfId="20" priority="2" operator="equal">
      <formula>"&gt;DIFIERE&lt;"</formula>
    </cfRule>
  </conditionalFormatting>
  <conditionalFormatting sqref="I1:I1048576">
    <cfRule type="cellIs" dxfId="19" priority="6" operator="equal">
      <formula>"&gt;PENDIENTE&lt;"</formula>
    </cfRule>
  </conditionalFormatting>
  <conditionalFormatting sqref="C1:C1048576">
    <cfRule type="cellIs" dxfId="18" priority="1" operator="equal">
      <formula>"Faltante"</formula>
    </cfRule>
  </conditionalFormatting>
  <conditionalFormatting sqref="H1:H1048576">
    <cfRule type="cellIs" dxfId="17" priority="4" operator="equal">
      <formula>"Color"</formula>
    </cfRule>
  </conditionalFormatting>
  <conditionalFormatting sqref="J1:J1048576">
    <cfRule type="cellIs" dxfId="16" priority="16" operator="equal">
      <formula>"Cuenta Corriente"</formula>
    </cfRule>
  </conditionalFormatting>
  <printOptions horizontalCentered="1"/>
  <pageMargins left="0" right="0.39370078740157483" top="0.59055118110236227" bottom="0.59055118110236227" header="0.19685039370078741" footer="0.19685039370078741"/>
  <pageSetup paperSize="9" scale="92" fitToHeight="0" orientation="landscape" cellComments="atEnd" r:id="rId2"/>
  <headerFooter alignWithMargins="0">
    <oddHeader>&amp;L32 páginas&amp;C121 avisos&amp;Rmartes 23 marzo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2021-03-23T12:26:38Z</cp:lastPrinted>
  <dcterms:created xsi:type="dcterms:W3CDTF">2015-10-29T20:42:16Z</dcterms:created>
  <dcterms:modified xsi:type="dcterms:W3CDTF">2021-03-23T12:28:08Z</dcterms:modified>
</cp:coreProperties>
</file>